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ão 2025" sheetId="1" state="visible" r:id="rId1"/>
    <sheet name="Resumo mensal" sheetId="2" state="visible" r:id="rId2"/>
  </sheets>
  <definedNames>
    <definedName name="_xlnm._FilterDatabase" localSheetId="0" hidden="1">'Razão 2025'!$A$5:$G$415</definedName>
    <definedName name="_xlnm.Print_Titles" localSheetId="0">'Razão 2025'!$5:$5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yyyy-mm-dd"/>
    <numFmt numFmtId="166" formatCode="dd/mm/yyyy"/>
    <numFmt numFmtId="167" formatCode="mmm/yyyy"/>
  </numFmts>
  <fonts count="7">
    <font>
      <name val="Calibri"/>
      <family val="2"/>
      <color theme="1"/>
      <sz val="11"/>
      <scheme val="minor"/>
    </font>
    <font>
      <b val="1"/>
      <color rgb="009C6B3C"/>
      <sz val="16"/>
    </font>
    <font>
      <color rgb="00555555"/>
      <sz val="10"/>
    </font>
    <font>
      <b val="1"/>
      <color rgb="00FFFFFF"/>
    </font>
    <font>
      <b val="1"/>
    </font>
    <font>
      <color rgb="00B00020"/>
    </font>
    <font>
      <color rgb="001B7F3B"/>
    </font>
  </fonts>
  <fills count="4">
    <fill>
      <patternFill/>
    </fill>
    <fill>
      <patternFill patternType="gray125"/>
    </fill>
    <fill>
      <patternFill patternType="solid">
        <fgColor rgb="009C6B3C"/>
      </patternFill>
    </fill>
    <fill>
      <patternFill patternType="solid">
        <fgColor rgb="00F3E7D3"/>
      </patternFill>
    </fill>
  </fills>
  <borders count="3">
    <border>
      <left/>
      <right/>
      <top/>
      <bottom/>
      <diagonal/>
    </border>
    <border>
      <bottom style="thin">
        <color rgb="00D9C9AE"/>
      </bottom>
    </border>
    <border>
      <top style="medium">
        <color rgb="009C6B3C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pivotButton="0" quotePrefix="0" xfId="0"/>
    <xf numFmtId="164" fontId="0" fillId="3" borderId="0" pivotButton="0" quotePrefix="0" xfId="0"/>
    <xf numFmtId="166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4" fillId="3" borderId="2" pivotButton="0" quotePrefix="0" xfId="0"/>
    <xf numFmtId="164" fontId="4" fillId="3" borderId="2" pivotButton="0" quotePrefix="0" xfId="0"/>
    <xf numFmtId="167" fontId="0" fillId="0" borderId="1" pivotButton="0" quotePrefix="0" xfId="0"/>
    <xf numFmtId="164" fontId="0" fillId="0" borderId="1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17" customWidth="1" min="4" max="4"/>
    <col width="17" customWidth="1" min="5" max="5"/>
    <col width="18" customWidth="1" min="6" max="6"/>
    <col width="6" customWidth="1" min="7" max="7"/>
  </cols>
  <sheetData>
    <row r="1">
      <c r="A1" s="1" t="inlineStr">
        <is>
          <t>LIVRO RAZÃO – 2025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Período: 01/01/2025 a 31/12/2025  |  Saldo credor = ICMS a recolher (passivo)</t>
        </is>
      </c>
    </row>
    <row r="5" ht="24" customHeight="1">
      <c r="A5" s="3" t="inlineStr">
        <is>
          <t>Data</t>
        </is>
      </c>
      <c r="B5" s="3" t="inlineStr">
        <is>
          <t>Histórico</t>
        </is>
      </c>
      <c r="C5" s="3" t="inlineStr">
        <is>
          <t>Nº Lançamento</t>
        </is>
      </c>
      <c r="D5" s="3" t="inlineStr">
        <is>
          <t>Saída (Débito)</t>
        </is>
      </c>
      <c r="E5" s="3" t="inlineStr">
        <is>
          <t>Entrada (Crédito)</t>
        </is>
      </c>
      <c r="F5" s="3" t="inlineStr">
        <is>
          <t>Saldo acumulado</t>
        </is>
      </c>
      <c r="G5" s="3" t="inlineStr">
        <is>
          <t>D/C</t>
        </is>
      </c>
    </row>
    <row r="6">
      <c r="A6" s="4" t="n"/>
      <c r="B6" s="5" t="inlineStr">
        <is>
          <t>SALDO INICIAL</t>
        </is>
      </c>
      <c r="C6" s="4" t="n"/>
      <c r="D6" s="4" t="n"/>
      <c r="E6" s="4" t="n"/>
      <c r="F6" s="6" t="n">
        <v>152049.49</v>
      </c>
      <c r="G6" s="4" t="inlineStr">
        <is>
          <t>C</t>
        </is>
      </c>
    </row>
    <row r="7">
      <c r="A7" s="7" t="n">
        <v>45659</v>
      </c>
      <c r="B7" s="8" t="inlineStr">
        <is>
          <t>DEB C/C PG.ICMS REF. NF 57183</t>
        </is>
      </c>
      <c r="C7" s="9" t="n">
        <v>106</v>
      </c>
      <c r="D7" s="10" t="n">
        <v>6732</v>
      </c>
      <c r="E7" s="11" t="n"/>
      <c r="F7" s="11">
        <f>F6+E7-D7</f>
        <v/>
      </c>
      <c r="G7" s="9">
        <f>IF(F7&gt;=0,"C","D")</f>
        <v/>
      </c>
    </row>
    <row r="8">
      <c r="A8" s="7" t="n">
        <v>45659</v>
      </c>
      <c r="B8" s="8" t="inlineStr">
        <is>
          <t>VLR ICMS FCP S/ NF 57183 HOSPITAL CENTRAL DO EXERCITO</t>
        </is>
      </c>
      <c r="C8" s="9" t="n">
        <v>91</v>
      </c>
      <c r="D8" s="11" t="n"/>
      <c r="E8" s="12" t="n">
        <v>748</v>
      </c>
      <c r="F8" s="11">
        <f>F7+E8-D8</f>
        <v/>
      </c>
      <c r="G8" s="9">
        <f>IF(F8&gt;=0,"C","D")</f>
        <v/>
      </c>
    </row>
    <row r="9">
      <c r="A9" s="7" t="n">
        <v>45659</v>
      </c>
      <c r="B9" s="8" t="inlineStr">
        <is>
          <t>VLR ICMS DEST S/ NF 57183 HOSPITAL CENTRAL DO EXERCITO</t>
        </is>
      </c>
      <c r="C9" s="9" t="n">
        <v>92</v>
      </c>
      <c r="D9" s="11" t="n"/>
      <c r="E9" s="12" t="n">
        <v>5984</v>
      </c>
      <c r="F9" s="11">
        <f>F8+E9-D9</f>
        <v/>
      </c>
      <c r="G9" s="9">
        <f>IF(F9&gt;=0,"C","D")</f>
        <v/>
      </c>
    </row>
    <row r="10">
      <c r="A10" s="7" t="n">
        <v>45659</v>
      </c>
      <c r="B10" s="8" t="inlineStr">
        <is>
          <t>VLR ICMS DEST S/ NF 57205 UNIMED DO SUDOESTE COOPERATIVA DE TRABALHO MEDICO LTDA</t>
        </is>
      </c>
      <c r="C10" s="9" t="n">
        <v>93</v>
      </c>
      <c r="D10" s="11" t="n"/>
      <c r="E10" s="12" t="n">
        <v>1155</v>
      </c>
      <c r="F10" s="11">
        <f>F9+E10-D10</f>
        <v/>
      </c>
      <c r="G10" s="9">
        <f>IF(F10&gt;=0,"C","D")</f>
        <v/>
      </c>
    </row>
    <row r="11">
      <c r="A11" s="7" t="n">
        <v>45660</v>
      </c>
      <c r="B11" s="8" t="inlineStr">
        <is>
          <t>VLR ICMS DEST S/ NF 57230 UNIMED DO SUDOESTE COOPERATIVA DE TRABALHO MEDICO LTDA</t>
        </is>
      </c>
      <c r="C11" s="9" t="n">
        <v>239</v>
      </c>
      <c r="D11" s="11" t="n"/>
      <c r="E11" s="12" t="n">
        <v>1930.5</v>
      </c>
      <c r="F11" s="11">
        <f>F10+E11-D11</f>
        <v/>
      </c>
      <c r="G11" s="9">
        <f>IF(F11&gt;=0,"C","D")</f>
        <v/>
      </c>
    </row>
    <row r="12">
      <c r="A12" s="7" t="n">
        <v>45660</v>
      </c>
      <c r="B12" s="8" t="inlineStr">
        <is>
          <t>VLR ICMS DEST S/ NF 57232 UNIMED DO SUDOESTE COOPERATIVA DE TRABALHO MEDICO LTDA</t>
        </is>
      </c>
      <c r="C12" s="9" t="n">
        <v>240</v>
      </c>
      <c r="D12" s="11" t="n"/>
      <c r="E12" s="12" t="n">
        <v>1930.5</v>
      </c>
      <c r="F12" s="11">
        <f>F11+E12-D12</f>
        <v/>
      </c>
      <c r="G12" s="9">
        <f>IF(F12&gt;=0,"C","D")</f>
        <v/>
      </c>
    </row>
    <row r="13">
      <c r="A13" s="7" t="n">
        <v>45660</v>
      </c>
      <c r="B13" s="8" t="inlineStr">
        <is>
          <t>VLR ICMS DEST S/ NF 57233 UNIMED DO SUDOESTE COOPERATIVA DE TRABALHO MEDICO LTDA</t>
        </is>
      </c>
      <c r="C13" s="9" t="n">
        <v>241</v>
      </c>
      <c r="D13" s="11" t="n"/>
      <c r="E13" s="12" t="n">
        <v>1930.5</v>
      </c>
      <c r="F13" s="11">
        <f>F12+E13-D13</f>
        <v/>
      </c>
      <c r="G13" s="9">
        <f>IF(F13&gt;=0,"C","D")</f>
        <v/>
      </c>
    </row>
    <row r="14">
      <c r="A14" s="7" t="n">
        <v>45663</v>
      </c>
      <c r="B14" s="8" t="inlineStr">
        <is>
          <t>VLR ICMS DEST S/ NF 7306322 SUPRICORP SUPRIMENTOS LTDA</t>
        </is>
      </c>
      <c r="C14" s="9" t="n">
        <v>505</v>
      </c>
      <c r="D14" s="11" t="n"/>
      <c r="E14" s="12" t="n">
        <v>24.75</v>
      </c>
      <c r="F14" s="11">
        <f>F13+E14-D14</f>
        <v/>
      </c>
      <c r="G14" s="9">
        <f>IF(F14&gt;=0,"C","D")</f>
        <v/>
      </c>
    </row>
    <row r="15">
      <c r="A15" s="7" t="n">
        <v>45666</v>
      </c>
      <c r="B15" s="8" t="inlineStr">
        <is>
          <t>DEB C/C PG.ICMS REF. 12/2024</t>
        </is>
      </c>
      <c r="C15" s="9" t="n">
        <v>828</v>
      </c>
      <c r="D15" s="10" t="n">
        <v>2.95</v>
      </c>
      <c r="E15" s="11" t="n"/>
      <c r="F15" s="11">
        <f>F14+E15-D15</f>
        <v/>
      </c>
      <c r="G15" s="9">
        <f>IF(F15&gt;=0,"C","D")</f>
        <v/>
      </c>
    </row>
    <row r="16">
      <c r="A16" s="7" t="n">
        <v>45667</v>
      </c>
      <c r="B16" s="8" t="inlineStr">
        <is>
          <t>DEB C/C PG.ICMS REF. 12/2024</t>
        </is>
      </c>
      <c r="C16" s="9" t="n">
        <v>968</v>
      </c>
      <c r="D16" s="10" t="n">
        <v>29108.45</v>
      </c>
      <c r="E16" s="11" t="n"/>
      <c r="F16" s="11">
        <f>F15+E16-D16</f>
        <v/>
      </c>
      <c r="G16" s="9">
        <f>IF(F16&gt;=0,"C","D")</f>
        <v/>
      </c>
    </row>
    <row r="17">
      <c r="A17" s="7" t="n">
        <v>45672</v>
      </c>
      <c r="B17" s="8" t="inlineStr">
        <is>
          <t>DEB C/C PG.ICMS REF. 12/2024</t>
        </is>
      </c>
      <c r="C17" s="9" t="n">
        <v>1359</v>
      </c>
      <c r="D17" s="10" t="n">
        <v>11200.46</v>
      </c>
      <c r="E17" s="11" t="n"/>
      <c r="F17" s="11">
        <f>F16+E17-D17</f>
        <v/>
      </c>
      <c r="G17" s="9">
        <f>IF(F17&gt;=0,"C","D")</f>
        <v/>
      </c>
    </row>
    <row r="18">
      <c r="A18" s="7" t="n">
        <v>45672</v>
      </c>
      <c r="B18" s="8" t="inlineStr">
        <is>
          <t>DEB C/C PG.ICMS REF. 12/2024</t>
        </is>
      </c>
      <c r="C18" s="9" t="n">
        <v>1360</v>
      </c>
      <c r="D18" s="10" t="n">
        <v>617.99</v>
      </c>
      <c r="E18" s="11" t="n"/>
      <c r="F18" s="11">
        <f>F17+E18-D18</f>
        <v/>
      </c>
      <c r="G18" s="9">
        <f>IF(F18&gt;=0,"C","D")</f>
        <v/>
      </c>
    </row>
    <row r="19">
      <c r="A19" s="7" t="n">
        <v>45672</v>
      </c>
      <c r="B19" s="8" t="inlineStr">
        <is>
          <t>DEB C/C PG.ICMS REF. 12/2024</t>
        </is>
      </c>
      <c r="C19" s="9" t="n">
        <v>1361</v>
      </c>
      <c r="D19" s="10" t="n">
        <v>111119.64</v>
      </c>
      <c r="E19" s="11" t="n"/>
      <c r="F19" s="11">
        <f>F18+E19-D19</f>
        <v/>
      </c>
      <c r="G19" s="9">
        <f>IF(F19&gt;=0,"C","D")</f>
        <v/>
      </c>
    </row>
    <row r="20">
      <c r="A20" s="7" t="n">
        <v>45678</v>
      </c>
      <c r="B20" s="8" t="inlineStr">
        <is>
          <t>VLR ICMS DEST S/ NF 57589 CAIXA DE ASSISTENCIA DOS FUNCIONARIOS DO BANCO DO BRASIL</t>
        </is>
      </c>
      <c r="C20" s="9" t="n">
        <v>1878</v>
      </c>
      <c r="D20" s="11" t="n"/>
      <c r="E20" s="12" t="n">
        <v>2646</v>
      </c>
      <c r="F20" s="11">
        <f>F19+E20-D20</f>
        <v/>
      </c>
      <c r="G20" s="9">
        <f>IF(F20&gt;=0,"C","D")</f>
        <v/>
      </c>
    </row>
    <row r="21">
      <c r="A21" s="7" t="n">
        <v>45678</v>
      </c>
      <c r="B21" s="8" t="inlineStr">
        <is>
          <t>VLR ICMS DEST S/ NF 9278 CENTRAL NACIONAL UNIMED - COOPERATIVA CENTRAL</t>
        </is>
      </c>
      <c r="C21" s="9" t="n">
        <v>1907</v>
      </c>
      <c r="D21" s="11" t="n"/>
      <c r="E21" s="12" t="n">
        <v>33.6</v>
      </c>
      <c r="F21" s="11">
        <f>F20+E21-D21</f>
        <v/>
      </c>
      <c r="G21" s="9">
        <f>IF(F21&gt;=0,"C","D")</f>
        <v/>
      </c>
    </row>
    <row r="22">
      <c r="A22" s="7" t="n">
        <v>45678</v>
      </c>
      <c r="B22" s="8" t="inlineStr">
        <is>
          <t>DEB C/C PG.ICMS REF. NF 57589</t>
        </is>
      </c>
      <c r="C22" s="9" t="n">
        <v>1909</v>
      </c>
      <c r="D22" s="10" t="n">
        <v>2646</v>
      </c>
      <c r="E22" s="11" t="n"/>
      <c r="F22" s="11">
        <f>F21+E22-D22</f>
        <v/>
      </c>
      <c r="G22" s="9">
        <f>IF(F22&gt;=0,"C","D")</f>
        <v/>
      </c>
    </row>
    <row r="23">
      <c r="A23" s="7" t="n">
        <v>45679</v>
      </c>
      <c r="B23" s="8" t="inlineStr">
        <is>
          <t>VLR ICMS DEST S/ NF 57602 HOSPITAL DA FUNDACAO CASA DE CARIDADE DE SAO LOURENCO</t>
        </is>
      </c>
      <c r="C23" s="9" t="n">
        <v>2033</v>
      </c>
      <c r="D23" s="11" t="n"/>
      <c r="E23" s="12" t="n">
        <v>1902</v>
      </c>
      <c r="F23" s="11">
        <f>F22+E23-D23</f>
        <v/>
      </c>
      <c r="G23" s="9">
        <f>IF(F23&gt;=0,"C","D")</f>
        <v/>
      </c>
    </row>
    <row r="24">
      <c r="A24" s="7" t="n">
        <v>45679</v>
      </c>
      <c r="B24" s="8" t="inlineStr">
        <is>
          <t>VLR ICMS DEST S/ NF 9297 CENTRAL NACIONAL UNIMED - COOPERATIVA CENTRAL</t>
        </is>
      </c>
      <c r="C24" s="9" t="n">
        <v>2069</v>
      </c>
      <c r="D24" s="11" t="n"/>
      <c r="E24" s="12" t="n">
        <v>28</v>
      </c>
      <c r="F24" s="11">
        <f>F23+E24-D24</f>
        <v/>
      </c>
      <c r="G24" s="9">
        <f>IF(F24&gt;=0,"C","D")</f>
        <v/>
      </c>
    </row>
    <row r="25">
      <c r="A25" s="7" t="n">
        <v>45680</v>
      </c>
      <c r="B25" s="8" t="inlineStr">
        <is>
          <t>VLR ICMS DEST S/ NF 57645 HOSPITAL SAO RAFAEL SA</t>
        </is>
      </c>
      <c r="C25" s="9" t="n">
        <v>2230</v>
      </c>
      <c r="D25" s="11" t="n"/>
      <c r="E25" s="12" t="n">
        <v>588.0599999999999</v>
      </c>
      <c r="F25" s="11">
        <f>F24+E25-D25</f>
        <v/>
      </c>
      <c r="G25" s="9">
        <f>IF(F25&gt;=0,"C","D")</f>
        <v/>
      </c>
    </row>
    <row r="26">
      <c r="A26" s="7" t="n">
        <v>45680</v>
      </c>
      <c r="B26" s="8" t="inlineStr">
        <is>
          <t>VLR ICMS DEST S/ NF 57669 UNIMED SUDOESTE DE MINAS COOPERATIVA DE TRABALHO MEDICO</t>
        </is>
      </c>
      <c r="C26" s="9" t="n">
        <v>2231</v>
      </c>
      <c r="D26" s="11" t="n"/>
      <c r="E26" s="12" t="n">
        <v>49</v>
      </c>
      <c r="F26" s="11">
        <f>F25+E26-D26</f>
        <v/>
      </c>
      <c r="G26" s="9">
        <f>IF(F26&gt;=0,"C","D")</f>
        <v/>
      </c>
    </row>
    <row r="27">
      <c r="A27" s="7" t="n">
        <v>45685</v>
      </c>
      <c r="B27" s="8" t="inlineStr">
        <is>
          <t>DEB C/C PG.ICMS DIFER. ALÍQUOTA REF. NF 57753</t>
        </is>
      </c>
      <c r="C27" s="9" t="n">
        <v>2548</v>
      </c>
      <c r="D27" s="10" t="n">
        <v>31680</v>
      </c>
      <c r="E27" s="11" t="n"/>
      <c r="F27" s="11">
        <f>F26+E27-D27</f>
        <v/>
      </c>
      <c r="G27" s="9">
        <f>IF(F27&gt;=0,"C","D")</f>
        <v/>
      </c>
    </row>
    <row r="28">
      <c r="A28" s="7" t="n">
        <v>45685</v>
      </c>
      <c r="B28" s="8" t="inlineStr">
        <is>
          <t>VLR ICMS DEST S/ NF 57753 UNIMED JOAO PESSOA COOPERATIVA DE TRABALHO MEDICO</t>
        </is>
      </c>
      <c r="C28" s="9" t="n">
        <v>2581</v>
      </c>
      <c r="D28" s="11" t="n"/>
      <c r="E28" s="12" t="n">
        <v>31680</v>
      </c>
      <c r="F28" s="11">
        <f>F27+E28-D28</f>
        <v/>
      </c>
      <c r="G28" s="9">
        <f>IF(F28&gt;=0,"C","D")</f>
        <v/>
      </c>
    </row>
    <row r="29">
      <c r="A29" s="7" t="n">
        <v>45686</v>
      </c>
      <c r="B29" s="8" t="inlineStr">
        <is>
          <t>VLR ICMS DEST S/ NF 57826 UNIMED NORTE MATO GROSSO COOPERATIVA TRABALHO MEDICO</t>
        </is>
      </c>
      <c r="C29" s="9" t="n">
        <v>2702</v>
      </c>
      <c r="D29" s="11" t="n"/>
      <c r="E29" s="12" t="n">
        <v>24960</v>
      </c>
      <c r="F29" s="11">
        <f>F28+E29-D29</f>
        <v/>
      </c>
      <c r="G29" s="9">
        <f>IF(F29&gt;=0,"C","D")</f>
        <v/>
      </c>
    </row>
    <row r="30">
      <c r="A30" s="7" t="n">
        <v>45686</v>
      </c>
      <c r="B30" s="8" t="inlineStr">
        <is>
          <t>VLR ICMS DEST S/ NF 57827 UNIMED NORTE MATO GROSSO COOPERATIVA TRABALHO MEDICO</t>
        </is>
      </c>
      <c r="C30" s="9" t="n">
        <v>2703</v>
      </c>
      <c r="D30" s="11" t="n"/>
      <c r="E30" s="12" t="n">
        <v>24960</v>
      </c>
      <c r="F30" s="11">
        <f>F29+E30-D30</f>
        <v/>
      </c>
      <c r="G30" s="9">
        <f>IF(F30&gt;=0,"C","D")</f>
        <v/>
      </c>
    </row>
    <row r="31">
      <c r="A31" s="7" t="n">
        <v>45686</v>
      </c>
      <c r="B31" s="8" t="inlineStr">
        <is>
          <t>VLR ICMS DEST S/ NF 57828 UNIMED NORTE MATO GROSSO COOPERATIVA TRABALHO MEDICO</t>
        </is>
      </c>
      <c r="C31" s="9" t="n">
        <v>2704</v>
      </c>
      <c r="D31" s="11" t="n"/>
      <c r="E31" s="12" t="n">
        <v>24960</v>
      </c>
      <c r="F31" s="11">
        <f>F30+E31-D31</f>
        <v/>
      </c>
      <c r="G31" s="9">
        <f>IF(F31&gt;=0,"C","D")</f>
        <v/>
      </c>
    </row>
    <row r="32">
      <c r="A32" s="7" t="n">
        <v>45686</v>
      </c>
      <c r="B32" s="8" t="inlineStr">
        <is>
          <t>DEB C/C PG.ICMS DIFER. ALÍQUOTA REF. NF 57826</t>
        </is>
      </c>
      <c r="C32" s="9" t="n">
        <v>2722</v>
      </c>
      <c r="D32" s="10" t="n">
        <v>24960</v>
      </c>
      <c r="E32" s="11" t="n"/>
      <c r="F32" s="11">
        <f>F31+E32-D32</f>
        <v/>
      </c>
      <c r="G32" s="9">
        <f>IF(F32&gt;=0,"C","D")</f>
        <v/>
      </c>
    </row>
    <row r="33">
      <c r="A33" s="7" t="n">
        <v>45686</v>
      </c>
      <c r="B33" s="8" t="inlineStr">
        <is>
          <t>DEB C/C PG.ICMS DIFER. ALÍQUOTA REF. NF 57827</t>
        </is>
      </c>
      <c r="C33" s="9" t="n">
        <v>2723</v>
      </c>
      <c r="D33" s="10" t="n">
        <v>24960</v>
      </c>
      <c r="E33" s="11" t="n"/>
      <c r="F33" s="11">
        <f>F32+E33-D33</f>
        <v/>
      </c>
      <c r="G33" s="9">
        <f>IF(F33&gt;=0,"C","D")</f>
        <v/>
      </c>
    </row>
    <row r="34">
      <c r="A34" s="7" t="n">
        <v>45686</v>
      </c>
      <c r="B34" s="8" t="inlineStr">
        <is>
          <t>DEB C/C PG.ICMS DIFER. ALÍQUOTA REF. NF 57828</t>
        </is>
      </c>
      <c r="C34" s="9" t="n">
        <v>2724</v>
      </c>
      <c r="D34" s="10" t="n">
        <v>24960</v>
      </c>
      <c r="E34" s="11" t="n"/>
      <c r="F34" s="11">
        <f>F33+E34-D34</f>
        <v/>
      </c>
      <c r="G34" s="9">
        <f>IF(F34&gt;=0,"C","D")</f>
        <v/>
      </c>
    </row>
    <row r="35">
      <c r="A35" s="7" t="n">
        <v>45688</v>
      </c>
      <c r="B35" s="8" t="inlineStr">
        <is>
          <t>TRANSF. SALDO DEVEDOR ICMS DO MÊS F1</t>
        </is>
      </c>
      <c r="C35" s="9" t="n">
        <v>3159</v>
      </c>
      <c r="D35" s="11" t="n"/>
      <c r="E35" s="12" t="n">
        <v>4832.9</v>
      </c>
      <c r="F35" s="11">
        <f>F34+E35-D35</f>
        <v/>
      </c>
      <c r="G35" s="9">
        <f>IF(F35&gt;=0,"C","D")</f>
        <v/>
      </c>
    </row>
    <row r="36">
      <c r="A36" s="7" t="n">
        <v>45688</v>
      </c>
      <c r="B36" s="8" t="inlineStr">
        <is>
          <t>VLR ICMS DEST S/ NF 58004 FUNDACAO FELICE ROSSO</t>
        </is>
      </c>
      <c r="C36" s="9" t="n">
        <v>3225</v>
      </c>
      <c r="D36" s="11" t="n"/>
      <c r="E36" s="12" t="n">
        <v>36118.18</v>
      </c>
      <c r="F36" s="11">
        <f>F35+E36-D36</f>
        <v/>
      </c>
      <c r="G36" s="9">
        <f>IF(F36&gt;=0,"C","D")</f>
        <v/>
      </c>
    </row>
    <row r="37">
      <c r="A37" s="7" t="n">
        <v>45688</v>
      </c>
      <c r="B37" s="8" t="inlineStr">
        <is>
          <t>VLR ICMS DEST S/ NF 58005 FUNDACAO FELICE ROSSO</t>
        </is>
      </c>
      <c r="C37" s="9" t="n">
        <v>3226</v>
      </c>
      <c r="D37" s="11" t="n"/>
      <c r="E37" s="12" t="n">
        <v>35184.8</v>
      </c>
      <c r="F37" s="11">
        <f>F36+E37-D37</f>
        <v/>
      </c>
      <c r="G37" s="9">
        <f>IF(F37&gt;=0,"C","D")</f>
        <v/>
      </c>
    </row>
    <row r="38">
      <c r="A38" s="7" t="n">
        <v>45695</v>
      </c>
      <c r="B38" s="8" t="inlineStr">
        <is>
          <t>DEB C/C PG.ICMS DIFER. ALÍQUOTA REF. NF 58154</t>
        </is>
      </c>
      <c r="C38" s="9" t="n">
        <v>3772</v>
      </c>
      <c r="D38" s="10" t="n">
        <v>330.26</v>
      </c>
      <c r="E38" s="11" t="n"/>
      <c r="F38" s="11">
        <f>F37+E38-D38</f>
        <v/>
      </c>
      <c r="G38" s="9">
        <f>IF(F38&gt;=0,"C","D")</f>
        <v/>
      </c>
    </row>
    <row r="39">
      <c r="A39" s="7" t="n">
        <v>45695</v>
      </c>
      <c r="B39" s="8" t="inlineStr">
        <is>
          <t>DEB C/C PG.ICMS DIFER. ALÍQUOTA REF. NF 58156</t>
        </is>
      </c>
      <c r="C39" s="9" t="n">
        <v>3773</v>
      </c>
      <c r="D39" s="10" t="n">
        <v>381.07</v>
      </c>
      <c r="E39" s="11" t="n"/>
      <c r="F39" s="11">
        <f>F38+E39-D39</f>
        <v/>
      </c>
      <c r="G39" s="9">
        <f>IF(F39&gt;=0,"C","D")</f>
        <v/>
      </c>
    </row>
    <row r="40">
      <c r="A40" s="7" t="n">
        <v>45695</v>
      </c>
      <c r="B40" s="8" t="inlineStr">
        <is>
          <t>DEB C/C PG.ICMS DIFER. ALÍQUOTA REF. NF 58155</t>
        </is>
      </c>
      <c r="C40" s="9" t="n">
        <v>3774</v>
      </c>
      <c r="D40" s="10" t="n">
        <v>330.26</v>
      </c>
      <c r="E40" s="11" t="n"/>
      <c r="F40" s="11">
        <f>F39+E40-D40</f>
        <v/>
      </c>
      <c r="G40" s="9">
        <f>IF(F40&gt;=0,"C","D")</f>
        <v/>
      </c>
    </row>
    <row r="41">
      <c r="A41" s="7" t="n">
        <v>45695</v>
      </c>
      <c r="B41" s="8" t="inlineStr">
        <is>
          <t>DEB C/C PG.ICMS DIFER. ALÍQUOTA REF. NF 58153</t>
        </is>
      </c>
      <c r="C41" s="9" t="n">
        <v>3775</v>
      </c>
      <c r="D41" s="10" t="n">
        <v>406.47</v>
      </c>
      <c r="E41" s="11" t="n"/>
      <c r="F41" s="11">
        <f>F40+E41-D41</f>
        <v/>
      </c>
      <c r="G41" s="9">
        <f>IF(F41&gt;=0,"C","D")</f>
        <v/>
      </c>
    </row>
    <row r="42">
      <c r="A42" s="7" t="n">
        <v>45695</v>
      </c>
      <c r="B42" s="8" t="inlineStr">
        <is>
          <t>DEB C/C PG.ICMS DIFER. ALÍQUOTA REF. 58152</t>
        </is>
      </c>
      <c r="C42" s="9" t="n">
        <v>3776</v>
      </c>
      <c r="D42" s="10" t="n">
        <v>406.47</v>
      </c>
      <c r="E42" s="11" t="n"/>
      <c r="F42" s="11">
        <f>F41+E42-D42</f>
        <v/>
      </c>
      <c r="G42" s="9">
        <f>IF(F42&gt;=0,"C","D")</f>
        <v/>
      </c>
    </row>
    <row r="43">
      <c r="A43" s="7" t="n">
        <v>45695</v>
      </c>
      <c r="B43" s="8" t="inlineStr">
        <is>
          <t>VLR ICMS DEST S/ NF 58152 ISIS EMANUELLY DA SILVA SANTOS CAVALCANTE</t>
        </is>
      </c>
      <c r="C43" s="9" t="n">
        <v>3875</v>
      </c>
      <c r="D43" s="11" t="n"/>
      <c r="E43" s="12" t="n">
        <v>406.47</v>
      </c>
      <c r="F43" s="11">
        <f>F42+E43-D43</f>
        <v/>
      </c>
      <c r="G43" s="9">
        <f>IF(F43&gt;=0,"C","D")</f>
        <v/>
      </c>
    </row>
    <row r="44">
      <c r="A44" s="7" t="n">
        <v>45695</v>
      </c>
      <c r="B44" s="8" t="inlineStr">
        <is>
          <t>VLR ICMS DEST S/ NF 58153 BENJAMIN JOSE FAGUNDES LIMA DE CASTRO</t>
        </is>
      </c>
      <c r="C44" s="9" t="n">
        <v>3876</v>
      </c>
      <c r="D44" s="11" t="n"/>
      <c r="E44" s="12" t="n">
        <v>406.47</v>
      </c>
      <c r="F44" s="11">
        <f>F43+E44-D44</f>
        <v/>
      </c>
      <c r="G44" s="9">
        <f>IF(F44&gt;=0,"C","D")</f>
        <v/>
      </c>
    </row>
    <row r="45">
      <c r="A45" s="7" t="n">
        <v>45695</v>
      </c>
      <c r="B45" s="8" t="inlineStr">
        <is>
          <t>VLR ICMS DEST S/ NF 58154 PEDRO ALMEIDA DA SILVA</t>
        </is>
      </c>
      <c r="C45" s="9" t="n">
        <v>3877</v>
      </c>
      <c r="D45" s="11" t="n"/>
      <c r="E45" s="12" t="n">
        <v>330.26</v>
      </c>
      <c r="F45" s="11">
        <f>F44+E45-D45</f>
        <v/>
      </c>
      <c r="G45" s="9">
        <f>IF(F45&gt;=0,"C","D")</f>
        <v/>
      </c>
    </row>
    <row r="46">
      <c r="A46" s="7" t="n">
        <v>45695</v>
      </c>
      <c r="B46" s="8" t="inlineStr">
        <is>
          <t>VLR ICMS DEST S/ NF 58155 NATAN DOS SANTOS CAMPOS</t>
        </is>
      </c>
      <c r="C46" s="9" t="n">
        <v>3878</v>
      </c>
      <c r="D46" s="11" t="n"/>
      <c r="E46" s="12" t="n">
        <v>330.26</v>
      </c>
      <c r="F46" s="11">
        <f>F45+E46-D46</f>
        <v/>
      </c>
      <c r="G46" s="9">
        <f>IF(F46&gt;=0,"C","D")</f>
        <v/>
      </c>
    </row>
    <row r="47">
      <c r="A47" s="7" t="n">
        <v>45695</v>
      </c>
      <c r="B47" s="8" t="inlineStr">
        <is>
          <t>VLR ICMS DEST S/ NF 58156 LUCCA DE OLIVEIRA MULLER</t>
        </is>
      </c>
      <c r="C47" s="9" t="n">
        <v>3879</v>
      </c>
      <c r="D47" s="11" t="n"/>
      <c r="E47" s="12" t="n">
        <v>381.07</v>
      </c>
      <c r="F47" s="11">
        <f>F46+E47-D47</f>
        <v/>
      </c>
      <c r="G47" s="9">
        <f>IF(F47&gt;=0,"C","D")</f>
        <v/>
      </c>
    </row>
    <row r="48">
      <c r="A48" s="7" t="n">
        <v>45699</v>
      </c>
      <c r="B48" s="8" t="inlineStr">
        <is>
          <t>DEB C/C PG.ICMS DIFER. ALÍQUOTA REF. NF</t>
        </is>
      </c>
      <c r="C48" s="9" t="n">
        <v>4092</v>
      </c>
      <c r="D48" s="10" t="n">
        <v>24.84</v>
      </c>
      <c r="E48" s="11" t="n"/>
      <c r="F48" s="11">
        <f>F47+E48-D48</f>
        <v/>
      </c>
      <c r="G48" s="9">
        <f>IF(F48&gt;=0,"C","D")</f>
        <v/>
      </c>
    </row>
    <row r="49">
      <c r="A49" s="7" t="n">
        <v>45699</v>
      </c>
      <c r="B49" s="8" t="inlineStr">
        <is>
          <t>DEB C/C PG.ICMS REF. 01/2025</t>
        </is>
      </c>
      <c r="C49" s="9" t="n">
        <v>4093</v>
      </c>
      <c r="D49" s="10" t="n">
        <v>4848.85</v>
      </c>
      <c r="E49" s="11" t="n"/>
      <c r="F49" s="11">
        <f>F48+E49-D49</f>
        <v/>
      </c>
      <c r="G49" s="9">
        <f>IF(F49&gt;=0,"C","D")</f>
        <v/>
      </c>
    </row>
    <row r="50">
      <c r="A50" s="7" t="n">
        <v>45699</v>
      </c>
      <c r="B50" s="8" t="inlineStr">
        <is>
          <t>TRANSF DE JUROS ICMS REF. 01/2025</t>
        </is>
      </c>
      <c r="C50" s="9" t="n">
        <v>4096</v>
      </c>
      <c r="D50" s="11" t="n"/>
      <c r="E50" s="12" t="n">
        <v>15.95</v>
      </c>
      <c r="F50" s="11">
        <f>F49+E50-D50</f>
        <v/>
      </c>
      <c r="G50" s="9">
        <f>IF(F50&gt;=0,"C","D")</f>
        <v/>
      </c>
    </row>
    <row r="51">
      <c r="A51" s="7" t="n">
        <v>45699</v>
      </c>
      <c r="B51" s="8" t="inlineStr">
        <is>
          <t>TRANSF JUROS S/ NF 7303322 SUPRICORP SUPRIMENTOS</t>
        </is>
      </c>
      <c r="C51" s="9" t="n">
        <v>4128</v>
      </c>
      <c r="D51" s="11" t="n"/>
      <c r="E51" s="12" t="n">
        <v>0.09</v>
      </c>
      <c r="F51" s="11">
        <f>F50+E51-D51</f>
        <v/>
      </c>
      <c r="G51" s="9">
        <f>IF(F51&gt;=0,"C","D")</f>
        <v/>
      </c>
    </row>
    <row r="52">
      <c r="A52" s="7" t="n">
        <v>45701</v>
      </c>
      <c r="B52" s="8" t="inlineStr">
        <is>
          <t>DEB C/C PG.ICMS DIFER. ALÍQUOTA REF. NF 9489</t>
        </is>
      </c>
      <c r="C52" s="9" t="n">
        <v>4270</v>
      </c>
      <c r="D52" s="10" t="n">
        <v>441.22</v>
      </c>
      <c r="E52" s="11" t="n"/>
      <c r="F52" s="11">
        <f>F51+E52-D52</f>
        <v/>
      </c>
      <c r="G52" s="9">
        <f>IF(F52&gt;=0,"C","D")</f>
        <v/>
      </c>
    </row>
    <row r="53">
      <c r="A53" s="7" t="n">
        <v>45701</v>
      </c>
      <c r="B53" s="8" t="inlineStr">
        <is>
          <t>VLR ICMS DEST S/ NF 9489 SAMEDIL - SERVICOS DE ATENDIMENTO MEDICO S/A - F1</t>
        </is>
      </c>
      <c r="C53" s="9" t="n">
        <v>4289</v>
      </c>
      <c r="D53" s="11" t="n"/>
      <c r="E53" s="12" t="n">
        <v>441.22</v>
      </c>
      <c r="F53" s="11">
        <f>F52+E53-D53</f>
        <v/>
      </c>
      <c r="G53" s="9">
        <f>IF(F53&gt;=0,"C","D")</f>
        <v/>
      </c>
    </row>
    <row r="54">
      <c r="A54" s="7" t="n">
        <v>45701</v>
      </c>
      <c r="B54" s="8" t="inlineStr">
        <is>
          <t>VLR ICMS DEST S/ NF 58261 SANTA CASA DE MISERICORDIA DE VITORIA DA CONQUISTA</t>
        </is>
      </c>
      <c r="C54" s="9" t="n">
        <v>4326</v>
      </c>
      <c r="D54" s="11" t="n"/>
      <c r="E54" s="12" t="n">
        <v>1939.58</v>
      </c>
      <c r="F54" s="11">
        <f>F53+E54-D54</f>
        <v/>
      </c>
      <c r="G54" s="9">
        <f>IF(F54&gt;=0,"C","D")</f>
        <v/>
      </c>
    </row>
    <row r="55">
      <c r="A55" s="7" t="n">
        <v>45701</v>
      </c>
      <c r="B55" s="8" t="inlineStr">
        <is>
          <t>VLR ICMS DEST S/ NF 58262 SANTA CASA DE MISERICORDIA DE VITORIA DA CONQUISTA</t>
        </is>
      </c>
      <c r="C55" s="9" t="n">
        <v>4327</v>
      </c>
      <c r="D55" s="11" t="n"/>
      <c r="E55" s="12" t="n">
        <v>716.1</v>
      </c>
      <c r="F55" s="11">
        <f>F54+E55-D55</f>
        <v/>
      </c>
      <c r="G55" s="9">
        <f>IF(F55&gt;=0,"C","D")</f>
        <v/>
      </c>
    </row>
    <row r="56">
      <c r="A56" s="7" t="n">
        <v>45701</v>
      </c>
      <c r="B56" s="8" t="inlineStr">
        <is>
          <t>VLR ICMS DEST S/ NF 58293 UNIMED DO SUDOESTE COOPERATIVA DE TRABALHO MEDICO LTDA</t>
        </is>
      </c>
      <c r="C56" s="9" t="n">
        <v>4328</v>
      </c>
      <c r="D56" s="11" t="n"/>
      <c r="E56" s="12" t="n">
        <v>229.5</v>
      </c>
      <c r="F56" s="11">
        <f>F55+E56-D56</f>
        <v/>
      </c>
      <c r="G56" s="9">
        <f>IF(F56&gt;=0,"C","D")</f>
        <v/>
      </c>
    </row>
    <row r="57">
      <c r="A57" s="7" t="n">
        <v>45701</v>
      </c>
      <c r="B57" s="8" t="inlineStr">
        <is>
          <t>VLR ICMS DEST S/ NF 58295 SANTA CASA DE MISERICORDIA DA BAHIA</t>
        </is>
      </c>
      <c r="C57" s="9" t="n">
        <v>4329</v>
      </c>
      <c r="D57" s="11" t="n"/>
      <c r="E57" s="12" t="n">
        <v>1173.54</v>
      </c>
      <c r="F57" s="11">
        <f>F56+E57-D57</f>
        <v/>
      </c>
      <c r="G57" s="9">
        <f>IF(F57&gt;=0,"C","D")</f>
        <v/>
      </c>
    </row>
    <row r="58">
      <c r="A58" s="7" t="n">
        <v>45702</v>
      </c>
      <c r="B58" s="8" t="inlineStr">
        <is>
          <t>DEB C/C PG.ICMS DIFER. ALÍQUOTA REF. NF 58314</t>
        </is>
      </c>
      <c r="C58" s="9" t="n">
        <v>4423</v>
      </c>
      <c r="D58" s="10" t="n">
        <v>31680</v>
      </c>
      <c r="E58" s="11" t="n"/>
      <c r="F58" s="11">
        <f>F57+E58-D58</f>
        <v/>
      </c>
      <c r="G58" s="9">
        <f>IF(F58&gt;=0,"C","D")</f>
        <v/>
      </c>
    </row>
    <row r="59">
      <c r="A59" s="7" t="n">
        <v>45702</v>
      </c>
      <c r="B59" s="8" t="inlineStr">
        <is>
          <t>VLR ICMS DEST S/ NF 58314 HOSPITAL SAO DOMINGOS LTDA.</t>
        </is>
      </c>
      <c r="C59" s="9" t="n">
        <v>4620</v>
      </c>
      <c r="D59" s="11" t="n"/>
      <c r="E59" s="12" t="n">
        <v>31680</v>
      </c>
      <c r="F59" s="11">
        <f>F58+E59-D59</f>
        <v/>
      </c>
      <c r="G59" s="9">
        <f>IF(F59&gt;=0,"C","D")</f>
        <v/>
      </c>
    </row>
    <row r="60">
      <c r="A60" s="7" t="n">
        <v>45705</v>
      </c>
      <c r="B60" s="8" t="inlineStr">
        <is>
          <t>DEB C/C PG.ICMS REF. 01/2025</t>
        </is>
      </c>
      <c r="C60" s="9" t="n">
        <v>4728</v>
      </c>
      <c r="D60" s="10" t="n">
        <v>7534.56</v>
      </c>
      <c r="E60" s="11" t="n"/>
      <c r="F60" s="11">
        <f>F59+E60-D60</f>
        <v/>
      </c>
      <c r="G60" s="9">
        <f>IF(F60&gt;=0,"C","D")</f>
        <v/>
      </c>
    </row>
    <row r="61">
      <c r="A61" s="7" t="n">
        <v>45705</v>
      </c>
      <c r="B61" s="8" t="inlineStr">
        <is>
          <t>DEB C/C PG.ICMS REF. 01/2025</t>
        </is>
      </c>
      <c r="C61" s="9" t="n">
        <v>4729</v>
      </c>
      <c r="D61" s="10" t="n">
        <v>73253.98</v>
      </c>
      <c r="E61" s="11" t="n"/>
      <c r="F61" s="11">
        <f>F60+E61-D61</f>
        <v/>
      </c>
      <c r="G61" s="9">
        <f>IF(F61&gt;=0,"C","D")</f>
        <v/>
      </c>
    </row>
    <row r="62">
      <c r="A62" s="7" t="n">
        <v>45705</v>
      </c>
      <c r="B62" s="8" t="inlineStr">
        <is>
          <t>DEB C/C PG.ICMS REF. 01/2025</t>
        </is>
      </c>
      <c r="C62" s="9" t="n">
        <v>4730</v>
      </c>
      <c r="D62" s="10" t="n">
        <v>61.6</v>
      </c>
      <c r="E62" s="11" t="n"/>
      <c r="F62" s="11">
        <f>F61+E62-D62</f>
        <v/>
      </c>
      <c r="G62" s="9">
        <f>IF(F62&gt;=0,"C","D")</f>
        <v/>
      </c>
    </row>
    <row r="63">
      <c r="A63" s="7" t="n">
        <v>45706</v>
      </c>
      <c r="B63" s="8" t="inlineStr">
        <is>
          <t>VLR ICMS DEST S/ NF 58365 SANTA CASA DE MISERICORDIA DE VITORIA DA CONQUISTA</t>
        </is>
      </c>
      <c r="C63" s="9" t="n">
        <v>4864</v>
      </c>
      <c r="D63" s="10" t="n">
        <v>1353</v>
      </c>
      <c r="E63" s="11" t="n"/>
      <c r="F63" s="11">
        <f>F62+E63-D63</f>
        <v/>
      </c>
      <c r="G63" s="9">
        <f>IF(F63&gt;=0,"C","D")</f>
        <v/>
      </c>
    </row>
    <row r="64">
      <c r="A64" s="7" t="n">
        <v>45706</v>
      </c>
      <c r="B64" s="8" t="inlineStr">
        <is>
          <t>VLR ICMS DEST S/ NF 58367 UNIMED DO SUDOESTE COOPERATIVA DE TRABALHO MEDICO LTDA</t>
        </is>
      </c>
      <c r="C64" s="9" t="n">
        <v>4890</v>
      </c>
      <c r="D64" s="11" t="n"/>
      <c r="E64" s="12" t="n">
        <v>16.5</v>
      </c>
      <c r="F64" s="11">
        <f>F63+E64-D64</f>
        <v/>
      </c>
      <c r="G64" s="9">
        <f>IF(F64&gt;=0,"C","D")</f>
        <v/>
      </c>
    </row>
    <row r="65">
      <c r="A65" s="7" t="n">
        <v>45706</v>
      </c>
      <c r="B65" s="8" t="inlineStr">
        <is>
          <t>VLR ICMS DEST S/ NF 58370 UNIMED DO SUDOESTE COOPERATIVA DE TRABALHO MEDICO LTDA</t>
        </is>
      </c>
      <c r="C65" s="9" t="n">
        <v>4891</v>
      </c>
      <c r="D65" s="11" t="n"/>
      <c r="E65" s="12" t="n">
        <v>1805.25</v>
      </c>
      <c r="F65" s="11">
        <f>F64+E65-D65</f>
        <v/>
      </c>
      <c r="G65" s="9">
        <f>IF(F65&gt;=0,"C","D")</f>
        <v/>
      </c>
    </row>
    <row r="66">
      <c r="A66" s="7" t="n">
        <v>45713</v>
      </c>
      <c r="B66" s="8" t="inlineStr">
        <is>
          <t>DEB C/C PG.ICMS DIFER. ALÍQUOTA REF.NF 9553</t>
        </is>
      </c>
      <c r="C66" s="9" t="n">
        <v>5520</v>
      </c>
      <c r="D66" s="10" t="n">
        <v>108.47</v>
      </c>
      <c r="E66" s="11" t="n"/>
      <c r="F66" s="11">
        <f>F65+E66-D66</f>
        <v/>
      </c>
      <c r="G66" s="9">
        <f>IF(F66&gt;=0,"C","D")</f>
        <v/>
      </c>
    </row>
    <row r="67">
      <c r="A67" s="7" t="n">
        <v>45713</v>
      </c>
      <c r="B67" s="8" t="inlineStr">
        <is>
          <t>VLR ICMS DEST S/ NF 9553 SAMEDIL - SERVICOS DE ATENDIMENTO MEDICO S/A - F1</t>
        </is>
      </c>
      <c r="C67" s="9" t="n">
        <v>5538</v>
      </c>
      <c r="D67" s="11" t="n"/>
      <c r="E67" s="12" t="n">
        <v>108.47</v>
      </c>
      <c r="F67" s="11">
        <f>F66+E67-D67</f>
        <v/>
      </c>
      <c r="G67" s="9">
        <f>IF(F67&gt;=0,"C","D")</f>
        <v/>
      </c>
    </row>
    <row r="68">
      <c r="A68" s="7" t="n">
        <v>45713</v>
      </c>
      <c r="B68" s="8" t="inlineStr">
        <is>
          <t>VLR ICMS DEST S/ NF 9556 CENTRAL NACIONAL UNIMED - COOPERATIVA CENTRAL - F1</t>
        </is>
      </c>
      <c r="C68" s="9" t="n">
        <v>5539</v>
      </c>
      <c r="D68" s="11" t="n"/>
      <c r="E68" s="12" t="n">
        <v>252</v>
      </c>
      <c r="F68" s="11">
        <f>F67+E68-D68</f>
        <v/>
      </c>
      <c r="G68" s="9">
        <f>IF(F68&gt;=0,"C","D")</f>
        <v/>
      </c>
    </row>
    <row r="69">
      <c r="A69" s="7" t="n">
        <v>45714</v>
      </c>
      <c r="B69" s="8" t="inlineStr">
        <is>
          <t>DEB C/C PG.ICMS DIFER. ALÍQUOTA REF. NF 58602</t>
        </is>
      </c>
      <c r="C69" s="9" t="n">
        <v>5675</v>
      </c>
      <c r="D69" s="10" t="n">
        <v>1038.9</v>
      </c>
      <c r="E69" s="11" t="n"/>
      <c r="F69" s="11">
        <f>F68+E69-D69</f>
        <v/>
      </c>
      <c r="G69" s="9">
        <f>IF(F69&gt;=0,"C","D")</f>
        <v/>
      </c>
    </row>
    <row r="70">
      <c r="A70" s="7" t="n">
        <v>45714</v>
      </c>
      <c r="B70" s="8" t="inlineStr">
        <is>
          <t>VLR ICMS DEST S/ NF 58602 UNIMED Sergipe - Cooperativa de Trabalho Medico</t>
        </is>
      </c>
      <c r="C70" s="9" t="n">
        <v>5721</v>
      </c>
      <c r="D70" s="11" t="n"/>
      <c r="E70" s="12" t="n">
        <v>1038.9</v>
      </c>
      <c r="F70" s="11">
        <f>F69+E70-D70</f>
        <v/>
      </c>
      <c r="G70" s="9">
        <f>IF(F70&gt;=0,"C","D")</f>
        <v/>
      </c>
    </row>
    <row r="71">
      <c r="A71" s="7" t="n">
        <v>45716</v>
      </c>
      <c r="B71" s="8" t="inlineStr">
        <is>
          <t>DEB C/C PG.ICMS DIFER. ALÍQUOTA REF. NF 58741</t>
        </is>
      </c>
      <c r="C71" s="9" t="n">
        <v>5963</v>
      </c>
      <c r="D71" s="10" t="n">
        <v>1119.3</v>
      </c>
      <c r="E71" s="11" t="n"/>
      <c r="F71" s="11">
        <f>F70+E71-D71</f>
        <v/>
      </c>
      <c r="G71" s="9">
        <f>IF(F71&gt;=0,"C","D")</f>
        <v/>
      </c>
    </row>
    <row r="72">
      <c r="A72" s="7" t="n">
        <v>45716</v>
      </c>
      <c r="B72" s="8" t="inlineStr">
        <is>
          <t>VLR ICMS DEST S/ NF 58741 UNIMED Sergipe - Cooperativa de Trabalho Medico</t>
        </is>
      </c>
      <c r="C72" s="9" t="n">
        <v>6289</v>
      </c>
      <c r="D72" s="11" t="n"/>
      <c r="E72" s="12" t="n">
        <v>1119.3</v>
      </c>
      <c r="F72" s="11">
        <f>F71+E72-D72</f>
        <v/>
      </c>
      <c r="G72" s="9">
        <f>IF(F72&gt;=0,"C","D")</f>
        <v/>
      </c>
    </row>
    <row r="73">
      <c r="A73" s="7" t="n">
        <v>45722</v>
      </c>
      <c r="B73" s="8" t="inlineStr">
        <is>
          <t>VLR ICMS DEST S/ NF 58845 SANTA CASA DE MISERICORDIA DE VITORIA DA CONQUISTA</t>
        </is>
      </c>
      <c r="C73" s="9" t="n">
        <v>6689</v>
      </c>
      <c r="D73" s="10" t="n">
        <v>1930.5</v>
      </c>
      <c r="E73" s="11" t="n"/>
      <c r="F73" s="11">
        <f>F72+E73-D73</f>
        <v/>
      </c>
      <c r="G73" s="9">
        <f>IF(F73&gt;=0,"C","D")</f>
        <v/>
      </c>
    </row>
    <row r="74">
      <c r="A74" s="7" t="n">
        <v>45723</v>
      </c>
      <c r="B74" s="8" t="inlineStr">
        <is>
          <t>VLR ICMS DEST S/ NF 58856 UNIMED DO SUDOESTE COOPERATIVA DE TRABALHO MEDICO LTDA</t>
        </is>
      </c>
      <c r="C74" s="9" t="n">
        <v>6804</v>
      </c>
      <c r="D74" s="11" t="n"/>
      <c r="E74" s="12" t="n">
        <v>1930.5</v>
      </c>
      <c r="F74" s="11">
        <f>F73+E74-D74</f>
        <v/>
      </c>
      <c r="G74" s="9">
        <f>IF(F74&gt;=0,"C","D")</f>
        <v/>
      </c>
    </row>
    <row r="75">
      <c r="A75" s="7" t="n">
        <v>45726</v>
      </c>
      <c r="B75" s="8" t="inlineStr">
        <is>
          <t>VLR ICMS DEST S/ NF 58893 UNIMED CURITIBA - SOCIEDADE COOPERATIVA DE MEDICOS</t>
        </is>
      </c>
      <c r="C75" s="9" t="n">
        <v>6943</v>
      </c>
      <c r="D75" s="11" t="n"/>
      <c r="E75" s="12" t="n">
        <v>2244.4</v>
      </c>
      <c r="F75" s="11">
        <f>F74+E75-D75</f>
        <v/>
      </c>
      <c r="G75" s="9">
        <f>IF(F75&gt;=0,"C","D")</f>
        <v/>
      </c>
    </row>
    <row r="76">
      <c r="A76" s="7" t="n">
        <v>45727</v>
      </c>
      <c r="B76" s="8" t="inlineStr">
        <is>
          <t>DEB C/C PG.ICMS REF. 03/2025</t>
        </is>
      </c>
      <c r="C76" s="9" t="n">
        <v>7105</v>
      </c>
      <c r="D76" s="10" t="n">
        <v>25740</v>
      </c>
      <c r="E76" s="11" t="n"/>
      <c r="F76" s="11">
        <f>F75+E76-D76</f>
        <v/>
      </c>
      <c r="G76" s="9">
        <f>IF(F76&gt;=0,"C","D")</f>
        <v/>
      </c>
    </row>
    <row r="77">
      <c r="A77" s="7" t="n">
        <v>45727</v>
      </c>
      <c r="B77" s="8" t="inlineStr">
        <is>
          <t>VLR ICMS DEST S/ NF 58933 UNIMED JOAO PESSOA COOPERATIVA DE TRABALHO MEDICO</t>
        </is>
      </c>
      <c r="C77" s="9" t="n">
        <v>7123</v>
      </c>
      <c r="D77" s="10" t="n">
        <v>31680</v>
      </c>
      <c r="E77" s="11" t="n"/>
      <c r="F77" s="11">
        <f>F76+E77-D77</f>
        <v/>
      </c>
      <c r="G77" s="9">
        <f>IF(F77&gt;=0,"C","D")</f>
        <v/>
      </c>
    </row>
    <row r="78">
      <c r="A78" s="7" t="n">
        <v>45727</v>
      </c>
      <c r="B78" s="8" t="inlineStr">
        <is>
          <t>VLR ICMS DEST S/ NF 58939 UNIMED JOAO PESSOA COOPERATIVA DE TRABALHO MEDICO</t>
        </is>
      </c>
      <c r="C78" s="9" t="n">
        <v>7149</v>
      </c>
      <c r="D78" s="11" t="n"/>
      <c r="E78" s="12" t="n">
        <v>31680</v>
      </c>
      <c r="F78" s="11">
        <f>F77+E78-D78</f>
        <v/>
      </c>
      <c r="G78" s="9">
        <f>IF(F78&gt;=0,"C","D")</f>
        <v/>
      </c>
    </row>
    <row r="79">
      <c r="A79" s="7" t="n">
        <v>45727</v>
      </c>
      <c r="B79" s="8" t="inlineStr">
        <is>
          <t>VLR ICMS DEST S/ NF 58948 ANIMA CENTRO HOSPITALAR LTDA</t>
        </is>
      </c>
      <c r="C79" s="9" t="n">
        <v>7150</v>
      </c>
      <c r="D79" s="11" t="n"/>
      <c r="E79" s="12" t="n">
        <v>25740</v>
      </c>
      <c r="F79" s="11">
        <f>F78+E79-D79</f>
        <v/>
      </c>
      <c r="G79" s="9">
        <f>IF(F79&gt;=0,"C","D")</f>
        <v/>
      </c>
    </row>
    <row r="80">
      <c r="A80" s="7" t="n">
        <v>45733</v>
      </c>
      <c r="B80" s="8" t="inlineStr">
        <is>
          <t>DEB C/C PG.ICMS DIFER. ALÍQUOTA REF.</t>
        </is>
      </c>
      <c r="C80" s="9" t="n">
        <v>7717</v>
      </c>
      <c r="D80" s="10" t="n">
        <v>165</v>
      </c>
      <c r="E80" s="11" t="n"/>
      <c r="F80" s="11">
        <f>F79+E80-D80</f>
        <v/>
      </c>
      <c r="G80" s="9">
        <f>IF(F80&gt;=0,"C","D")</f>
        <v/>
      </c>
    </row>
    <row r="81">
      <c r="A81" s="7" t="n">
        <v>45733</v>
      </c>
      <c r="B81" s="8" t="inlineStr">
        <is>
          <t>DEB C/C PG.ICMS DIFER. ALÍQUOTA REF.</t>
        </is>
      </c>
      <c r="C81" s="9" t="n">
        <v>7720</v>
      </c>
      <c r="D81" s="10" t="n">
        <v>4527.47</v>
      </c>
      <c r="E81" s="11" t="n"/>
      <c r="F81" s="11">
        <f>F80+E81-D81</f>
        <v/>
      </c>
      <c r="G81" s="9">
        <f>IF(F81&gt;=0,"C","D")</f>
        <v/>
      </c>
    </row>
    <row r="82">
      <c r="A82" s="7" t="n">
        <v>45733</v>
      </c>
      <c r="B82" s="8" t="inlineStr">
        <is>
          <t>DEB C/C PG.ICMS DIFER. ALÍQUOTA REF. 9556</t>
        </is>
      </c>
      <c r="C82" s="9" t="n">
        <v>7721</v>
      </c>
      <c r="D82" s="10" t="n">
        <v>252</v>
      </c>
      <c r="E82" s="11" t="n"/>
      <c r="F82" s="11">
        <f>F81+E82-D82</f>
        <v/>
      </c>
      <c r="G82" s="9">
        <f>IF(F82&gt;=0,"C","D")</f>
        <v/>
      </c>
    </row>
    <row r="83">
      <c r="A83" s="7" t="n">
        <v>45733</v>
      </c>
      <c r="B83" s="8" t="inlineStr">
        <is>
          <t>VLR ICMS DEST S/ NF 59070 INTENSIVA DAY HOSPITAL LTDA</t>
        </is>
      </c>
      <c r="C83" s="9" t="n">
        <v>7825</v>
      </c>
      <c r="D83" s="11" t="n"/>
      <c r="E83" s="12" t="n">
        <v>165</v>
      </c>
      <c r="F83" s="11">
        <f>F82+E83-D83</f>
        <v/>
      </c>
      <c r="G83" s="9">
        <f>IF(F83&gt;=0,"C","D")</f>
        <v/>
      </c>
    </row>
    <row r="84">
      <c r="A84" s="7" t="n">
        <v>45734</v>
      </c>
      <c r="B84" s="8" t="inlineStr">
        <is>
          <t>VLR ICMS DEST S/ NF 59088 UNIMED DO SUDOESTE COOPERATIVA DE TRABALHO MEDICO LTDA</t>
        </is>
      </c>
      <c r="C84" s="9" t="n">
        <v>7945</v>
      </c>
      <c r="D84" s="11" t="n"/>
      <c r="E84" s="12" t="n">
        <v>229.5</v>
      </c>
      <c r="F84" s="11">
        <f>F83+E84-D84</f>
        <v/>
      </c>
      <c r="G84" s="9">
        <f>IF(F84&gt;=0,"C","D")</f>
        <v/>
      </c>
    </row>
    <row r="85">
      <c r="A85" s="7" t="n">
        <v>45734</v>
      </c>
      <c r="B85" s="8" t="inlineStr">
        <is>
          <t>VLR ICMS DEST S/ NF 59093 UNIMED DO SUDOESTE COOPERATIVA DE TRABALHO MEDICO LTDA</t>
        </is>
      </c>
      <c r="C85" s="9" t="n">
        <v>7946</v>
      </c>
      <c r="D85" s="11" t="n"/>
      <c r="E85" s="12" t="n">
        <v>1930.5</v>
      </c>
      <c r="F85" s="11">
        <f>F84+E85-D85</f>
        <v/>
      </c>
      <c r="G85" s="9">
        <f>IF(F85&gt;=0,"C","D")</f>
        <v/>
      </c>
    </row>
    <row r="86">
      <c r="A86" s="7" t="n">
        <v>45735</v>
      </c>
      <c r="B86" s="8" t="inlineStr">
        <is>
          <t>VLR ICMS DEST S/ NF 59136 Fundacao Felice Rosso</t>
        </is>
      </c>
      <c r="C86" s="9" t="n">
        <v>8108</v>
      </c>
      <c r="D86" s="11" t="n"/>
      <c r="E86" s="12" t="n">
        <v>3192</v>
      </c>
      <c r="F86" s="11">
        <f>F85+E86-D86</f>
        <v/>
      </c>
      <c r="G86" s="9">
        <f>IF(F86&gt;=0,"C","D")</f>
        <v/>
      </c>
    </row>
    <row r="87">
      <c r="A87" s="7" t="n">
        <v>45735</v>
      </c>
      <c r="B87" s="8" t="inlineStr">
        <is>
          <t>VLR ICMS DEST S/ NF 59137 REAL SOCIEDADE PORTUGUESA DE BENEF 16 DE SETEMBRO</t>
        </is>
      </c>
      <c r="C87" s="9" t="n">
        <v>8109</v>
      </c>
      <c r="D87" s="11" t="n"/>
      <c r="E87" s="12" t="n">
        <v>629.0599999999999</v>
      </c>
      <c r="F87" s="11">
        <f>F86+E87-D87</f>
        <v/>
      </c>
      <c r="G87" s="9">
        <f>IF(F87&gt;=0,"C","D")</f>
        <v/>
      </c>
    </row>
    <row r="88">
      <c r="A88" s="7" t="n">
        <v>45736</v>
      </c>
      <c r="B88" s="8" t="inlineStr">
        <is>
          <t>DEB C/C PG.ICMS DIFER. ALÍQUOTA REF. NF 9717</t>
        </is>
      </c>
      <c r="C88" s="9" t="n">
        <v>8188</v>
      </c>
      <c r="D88" s="10" t="n">
        <v>38.22</v>
      </c>
      <c r="E88" s="11" t="n"/>
      <c r="F88" s="11">
        <f>F87+E88-D88</f>
        <v/>
      </c>
      <c r="G88" s="9">
        <f>IF(F88&gt;=0,"C","D")</f>
        <v/>
      </c>
    </row>
    <row r="89">
      <c r="A89" s="7" t="n">
        <v>45736</v>
      </c>
      <c r="B89" s="8" t="inlineStr">
        <is>
          <t>VLR ICMS DEST S/ NF 9717 SAMEDIL - SERVICOS DE ATENDIMENTO MEDICO S/A - FILIAL 1</t>
        </is>
      </c>
      <c r="C89" s="9" t="n">
        <v>8201</v>
      </c>
      <c r="D89" s="11" t="n"/>
      <c r="E89" s="12" t="n">
        <v>38.22</v>
      </c>
      <c r="F89" s="11">
        <f>F88+E89-D89</f>
        <v/>
      </c>
      <c r="G89" s="9">
        <f>IF(F89&gt;=0,"C","D")</f>
        <v/>
      </c>
    </row>
    <row r="90">
      <c r="A90" s="7" t="n">
        <v>45737</v>
      </c>
      <c r="B90" s="8" t="inlineStr">
        <is>
          <t>VLR ICMS DEST S/ NF 59214 Fundacao Felice Rosso</t>
        </is>
      </c>
      <c r="C90" s="9" t="n">
        <v>8397</v>
      </c>
      <c r="D90" s="11" t="n"/>
      <c r="E90" s="12" t="n">
        <v>3340.12</v>
      </c>
      <c r="F90" s="11">
        <f>F89+E90-D90</f>
        <v/>
      </c>
      <c r="G90" s="9">
        <f>IF(F90&gt;=0,"C","D")</f>
        <v/>
      </c>
    </row>
    <row r="91">
      <c r="A91" s="7" t="n">
        <v>45737</v>
      </c>
      <c r="B91" s="8" t="inlineStr">
        <is>
          <t>VLR ICMS CRED. S/ NF 9732 - FILIAL 1</t>
        </is>
      </c>
      <c r="C91" s="9" t="n">
        <v>8440</v>
      </c>
      <c r="D91" s="10" t="n">
        <v>70</v>
      </c>
      <c r="E91" s="11" t="n"/>
      <c r="F91" s="11">
        <f>F90+E91-D91</f>
        <v/>
      </c>
      <c r="G91" s="9">
        <f>IF(F91&gt;=0,"C","D")</f>
        <v/>
      </c>
    </row>
    <row r="92">
      <c r="A92" s="7" t="n">
        <v>45741</v>
      </c>
      <c r="B92" s="8" t="inlineStr">
        <is>
          <t>VLR ICMS DEST S/ NF 9767 AMIL ASSISTENCIA MEDICA INTERNACIONAL SA - FILIAL 1</t>
        </is>
      </c>
      <c r="C92" s="9" t="n">
        <v>8686</v>
      </c>
      <c r="D92" s="11" t="n"/>
      <c r="E92" s="12" t="n">
        <v>421.4</v>
      </c>
      <c r="F92" s="11">
        <f>F91+E92-D92</f>
        <v/>
      </c>
      <c r="G92" s="9">
        <f>IF(F92&gt;=0,"C","D")</f>
        <v/>
      </c>
    </row>
    <row r="93">
      <c r="A93" s="7" t="n">
        <v>45744</v>
      </c>
      <c r="B93" s="8" t="inlineStr">
        <is>
          <t>VLR ICMS DEST S/ NF 59391 SANTA CASA DE MISERICORDIA DE VITORIA DA CONQUISTA</t>
        </is>
      </c>
      <c r="C93" s="9" t="n">
        <v>9151</v>
      </c>
      <c r="D93" s="10" t="n">
        <v>1353</v>
      </c>
      <c r="E93" s="11" t="n"/>
      <c r="F93" s="11">
        <f>F92+E93-D93</f>
        <v/>
      </c>
      <c r="G93" s="9">
        <f>IF(F93&gt;=0,"C","D")</f>
        <v/>
      </c>
    </row>
    <row r="94">
      <c r="A94" s="7" t="n">
        <v>45744</v>
      </c>
      <c r="B94" s="8" t="inlineStr">
        <is>
          <t>VLR ICMS DEST S/ NF 59392 UNIMED DO SUDOESTE COOPERATIVA DE TRABALHO MEDICO LTDA</t>
        </is>
      </c>
      <c r="C94" s="9" t="n">
        <v>9164</v>
      </c>
      <c r="D94" s="11" t="n"/>
      <c r="E94" s="12" t="n">
        <v>1805.25</v>
      </c>
      <c r="F94" s="11">
        <f>F93+E94-D94</f>
        <v/>
      </c>
      <c r="G94" s="9">
        <f>IF(F94&gt;=0,"C","D")</f>
        <v/>
      </c>
    </row>
    <row r="95">
      <c r="A95" s="7" t="n">
        <v>45747</v>
      </c>
      <c r="B95" s="8" t="inlineStr">
        <is>
          <t>DEB C/C PG.ICMS DIFER. ALÍQUOTA REF. NF</t>
        </is>
      </c>
      <c r="C95" s="9" t="n">
        <v>9342</v>
      </c>
      <c r="D95" s="10" t="n">
        <v>32587.5</v>
      </c>
      <c r="E95" s="11" t="n"/>
      <c r="F95" s="11">
        <f>F94+E95-D95</f>
        <v/>
      </c>
      <c r="G95" s="9">
        <f>IF(F95&gt;=0,"C","D")</f>
        <v/>
      </c>
    </row>
    <row r="96">
      <c r="A96" s="7" t="n">
        <v>45747</v>
      </c>
      <c r="B96" s="8" t="inlineStr">
        <is>
          <t>VLR ICMS DEST S/ NF 59491 AMIL ASSISTENCIA MEDICA INTERNACIONAL SA</t>
        </is>
      </c>
      <c r="C96" s="9" t="n">
        <v>9492</v>
      </c>
      <c r="D96" s="11" t="n"/>
      <c r="E96" s="12" t="n">
        <v>32587.5</v>
      </c>
      <c r="F96" s="11">
        <f>F95+E96-D96</f>
        <v/>
      </c>
      <c r="G96" s="9">
        <f>IF(F96&gt;=0,"C","D")</f>
        <v/>
      </c>
    </row>
    <row r="97">
      <c r="A97" s="7" t="n">
        <v>45754</v>
      </c>
      <c r="B97" s="8" t="inlineStr">
        <is>
          <t>VLR ICMS DEST S/ NF 59676 UNIMED DE SAO LOURENCO COOPERATIVA DE TRABALHO MEDICO</t>
        </is>
      </c>
      <c r="C97" s="9" t="n">
        <v>10286</v>
      </c>
      <c r="D97" s="11" t="n"/>
      <c r="E97" s="12" t="n">
        <v>70</v>
      </c>
      <c r="F97" s="11">
        <f>F96+E97-D97</f>
        <v/>
      </c>
      <c r="G97" s="9">
        <f>IF(F97&gt;=0,"C","D")</f>
        <v/>
      </c>
    </row>
    <row r="98">
      <c r="A98" s="7" t="n">
        <v>45754</v>
      </c>
      <c r="B98" s="8" t="inlineStr">
        <is>
          <t>VLR ICMS DEST S/ NF 9904 CENTRAL NACIONAL UNIMED - COOPERATIVA CENTRAL - FILIAL 1</t>
        </is>
      </c>
      <c r="C98" s="9" t="n">
        <v>10321</v>
      </c>
      <c r="D98" s="11" t="n"/>
      <c r="E98" s="12" t="n">
        <v>450.02</v>
      </c>
      <c r="F98" s="11">
        <f>F97+E98-D98</f>
        <v/>
      </c>
      <c r="G98" s="9">
        <f>IF(F98&gt;=0,"C","D")</f>
        <v/>
      </c>
    </row>
    <row r="99">
      <c r="A99" s="7" t="n">
        <v>45754</v>
      </c>
      <c r="B99" s="8" t="inlineStr">
        <is>
          <t>VLR ICMS DEST S/ NF 9906 CENTRAL NACIONAL UNIMED - COOPERATIVA CENTRAL - FILIAL 1</t>
        </is>
      </c>
      <c r="C99" s="9" t="n">
        <v>10322</v>
      </c>
      <c r="D99" s="11" t="n"/>
      <c r="E99" s="12" t="n">
        <v>448</v>
      </c>
      <c r="F99" s="11">
        <f>F98+E99-D99</f>
        <v/>
      </c>
      <c r="G99" s="9">
        <f>IF(F99&gt;=0,"C","D")</f>
        <v/>
      </c>
    </row>
    <row r="100">
      <c r="A100" s="7" t="n">
        <v>45754</v>
      </c>
      <c r="B100" s="8" t="inlineStr">
        <is>
          <t>VLR ICMS DEST S/ NF 9907 SAMEDIL - SERVICOS DE ATENDIMENTO MEDICO S/A - FILIAL 1</t>
        </is>
      </c>
      <c r="C100" s="9" t="n">
        <v>10323</v>
      </c>
      <c r="D100" s="11" t="n"/>
      <c r="E100" s="12" t="n">
        <v>257.99</v>
      </c>
      <c r="F100" s="11">
        <f>F99+E100-D100</f>
        <v/>
      </c>
      <c r="G100" s="9">
        <f>IF(F100&gt;=0,"C","D")</f>
        <v/>
      </c>
    </row>
    <row r="101">
      <c r="A101" s="7" t="n">
        <v>45755</v>
      </c>
      <c r="B101" s="8" t="inlineStr">
        <is>
          <t>VLR ICMS DEST S/ NF 59696 Fundacao Felice Rosso</t>
        </is>
      </c>
      <c r="C101" s="9" t="n">
        <v>10440</v>
      </c>
      <c r="D101" s="11" t="n"/>
      <c r="E101" s="12" t="n">
        <v>24765.72</v>
      </c>
      <c r="F101" s="11">
        <f>F100+E101-D101</f>
        <v/>
      </c>
      <c r="G101" s="9">
        <f>IF(F101&gt;=0,"C","D")</f>
        <v/>
      </c>
    </row>
    <row r="102">
      <c r="A102" s="7" t="n">
        <v>45756</v>
      </c>
      <c r="B102" s="8" t="inlineStr">
        <is>
          <t>DEB C/C PG.ICMS DIFER. ALÍQUOTA REF. NF 9946 SAMEDIL - SERVICOS DE ATENDIMENTO MEDICO S/A - FILIAL 1</t>
        </is>
      </c>
      <c r="C102" s="9" t="n">
        <v>10569</v>
      </c>
      <c r="D102" s="10" t="n">
        <v>441.22</v>
      </c>
      <c r="E102" s="11" t="n"/>
      <c r="F102" s="11">
        <f>F101+E102-D102</f>
        <v/>
      </c>
      <c r="G102" s="9">
        <f>IF(F102&gt;=0,"C","D")</f>
        <v/>
      </c>
    </row>
    <row r="103">
      <c r="A103" s="7" t="n">
        <v>45756</v>
      </c>
      <c r="B103" s="8" t="inlineStr">
        <is>
          <t>VLR ICMS DEST S/ NF 9946 SAMEDIL - SERVICOS DE ATENDIMENTO MEDICO S/A - FILIAL 1</t>
        </is>
      </c>
      <c r="C103" s="9" t="n">
        <v>10611</v>
      </c>
      <c r="D103" s="11" t="n"/>
      <c r="E103" s="12" t="n">
        <v>441.22</v>
      </c>
      <c r="F103" s="11">
        <f>F102+E103-D103</f>
        <v/>
      </c>
      <c r="G103" s="9">
        <f>IF(F103&gt;=0,"C","D")</f>
        <v/>
      </c>
    </row>
    <row r="104">
      <c r="A104" s="7" t="n">
        <v>45757</v>
      </c>
      <c r="B104" s="8" t="inlineStr">
        <is>
          <t>VLR ICMS DEST S/ NF 59751 Fundacao Felice Rosso</t>
        </is>
      </c>
      <c r="C104" s="9" t="n">
        <v>10713</v>
      </c>
      <c r="D104" s="11" t="n"/>
      <c r="E104" s="12" t="n">
        <v>21255.36</v>
      </c>
      <c r="F104" s="11">
        <f>F103+E104-D104</f>
        <v/>
      </c>
      <c r="G104" s="9">
        <f>IF(F104&gt;=0,"C","D")</f>
        <v/>
      </c>
    </row>
    <row r="105">
      <c r="A105" s="7" t="n">
        <v>45757</v>
      </c>
      <c r="B105" s="8" t="inlineStr">
        <is>
          <t>VLR ICMS DEST S/ NF 59755 FUNDACAO SAO FRANCISCO XAVIER</t>
        </is>
      </c>
      <c r="C105" s="9" t="n">
        <v>10714</v>
      </c>
      <c r="D105" s="11" t="n"/>
      <c r="E105" s="12" t="n">
        <v>5.88</v>
      </c>
      <c r="F105" s="11">
        <f>F104+E105-D105</f>
        <v/>
      </c>
      <c r="G105" s="9">
        <f>IF(F105&gt;=0,"C","D")</f>
        <v/>
      </c>
    </row>
    <row r="106">
      <c r="A106" s="7" t="n">
        <v>45761</v>
      </c>
      <c r="B106" s="8" t="inlineStr">
        <is>
          <t>VLR ICMS DEST S/ NF 59855 UNIMED DO SUDOESTE COOPERATIVA DE TRABALHO MEDICO LTDA</t>
        </is>
      </c>
      <c r="C106" s="9" t="n">
        <v>11011</v>
      </c>
      <c r="D106" s="11" t="n"/>
      <c r="E106" s="12" t="n">
        <v>1930.5</v>
      </c>
      <c r="F106" s="11">
        <f>F105+E106-D106</f>
        <v/>
      </c>
      <c r="G106" s="9">
        <f>IF(F106&gt;=0,"C","D")</f>
        <v/>
      </c>
    </row>
    <row r="107">
      <c r="A107" s="7" t="n">
        <v>45761</v>
      </c>
      <c r="B107" s="8" t="inlineStr">
        <is>
          <t>VLR ICMS DEST S/ NF 59890 UNIMED DO SUDOESTE COOPERATIVA DE TRABALHO MEDICO LTDA</t>
        </is>
      </c>
      <c r="C107" s="9" t="n">
        <v>11012</v>
      </c>
      <c r="D107" s="11" t="n"/>
      <c r="E107" s="12" t="n">
        <v>1353</v>
      </c>
      <c r="F107" s="11">
        <f>F106+E107-D107</f>
        <v/>
      </c>
      <c r="G107" s="9">
        <f>IF(F107&gt;=0,"C","D")</f>
        <v/>
      </c>
    </row>
    <row r="108">
      <c r="A108" s="7" t="n">
        <v>45762</v>
      </c>
      <c r="B108" s="8" t="inlineStr">
        <is>
          <t>DEB C/C PG.ICMS DIFER. ALÍQUOTA REF. NF 59910 UNIMED NORTE MATO GROSSO COOPERATIVA TRABALHO MEDICO</t>
        </is>
      </c>
      <c r="C108" s="9" t="n">
        <v>11140</v>
      </c>
      <c r="D108" s="10" t="n">
        <v>24960</v>
      </c>
      <c r="E108" s="11" t="n"/>
      <c r="F108" s="11">
        <f>F107+E108-D108</f>
        <v/>
      </c>
      <c r="G108" s="9">
        <f>IF(F108&gt;=0,"C","D")</f>
        <v/>
      </c>
    </row>
    <row r="109">
      <c r="A109" s="7" t="n">
        <v>45762</v>
      </c>
      <c r="B109" s="8" t="inlineStr">
        <is>
          <t>VLR ICMS DEST S/ NF 59910 UNIMED NORTE MATO GROSSO COOPERATIVA TRABALHO MEDICO</t>
        </is>
      </c>
      <c r="C109" s="9" t="n">
        <v>11292</v>
      </c>
      <c r="D109" s="11" t="n"/>
      <c r="E109" s="12" t="n">
        <v>24960</v>
      </c>
      <c r="F109" s="11">
        <f>F108+E109-D109</f>
        <v/>
      </c>
      <c r="G109" s="9">
        <f>IF(F109&gt;=0,"C","D")</f>
        <v/>
      </c>
    </row>
    <row r="110">
      <c r="A110" s="7" t="n">
        <v>45764</v>
      </c>
      <c r="B110" s="8" t="inlineStr">
        <is>
          <t>DEB C/C PG.ICMS DIFER. ALÍQUOTA REF. NF 59971 UNIMED Sergipe - Cooperativa de Trabalho Medico</t>
        </is>
      </c>
      <c r="C110" s="9" t="n">
        <v>11536</v>
      </c>
      <c r="D110" s="10" t="n">
        <v>1134.3</v>
      </c>
      <c r="E110" s="11" t="n"/>
      <c r="F110" s="11">
        <f>F109+E110-D110</f>
        <v/>
      </c>
      <c r="G110" s="9">
        <f>IF(F110&gt;=0,"C","D")</f>
        <v/>
      </c>
    </row>
    <row r="111">
      <c r="A111" s="7" t="n">
        <v>45764</v>
      </c>
      <c r="B111" s="8" t="inlineStr">
        <is>
          <t>VLR ICMS DEST S/ NF 59971 UNIMED Sergipe - Cooperativa de Trabalho Medico</t>
        </is>
      </c>
      <c r="C111" s="9" t="n">
        <v>11611</v>
      </c>
      <c r="D111" s="11" t="n"/>
      <c r="E111" s="12" t="n">
        <v>1134.3</v>
      </c>
      <c r="F111" s="11">
        <f>F110+E111-D111</f>
        <v/>
      </c>
      <c r="G111" s="9">
        <f>IF(F111&gt;=0,"C","D")</f>
        <v/>
      </c>
    </row>
    <row r="112">
      <c r="A112" s="7" t="n">
        <v>45764</v>
      </c>
      <c r="B112" s="8" t="inlineStr">
        <is>
          <t>VLR ICMS DEST S/ NF 60006 Fundacao Felice Rosso</t>
        </is>
      </c>
      <c r="C112" s="9" t="n">
        <v>11612</v>
      </c>
      <c r="D112" s="11" t="n"/>
      <c r="E112" s="12" t="n">
        <v>33356.26</v>
      </c>
      <c r="F112" s="11">
        <f>F111+E112-D112</f>
        <v/>
      </c>
      <c r="G112" s="9">
        <f>IF(F112&gt;=0,"C","D")</f>
        <v/>
      </c>
    </row>
    <row r="113">
      <c r="A113" s="7" t="n">
        <v>45764</v>
      </c>
      <c r="B113" s="8" t="inlineStr">
        <is>
          <t>VLR ICMS DEST S/ NF 60006 Fundacao Felice Rosso</t>
        </is>
      </c>
      <c r="C113" s="9" t="n">
        <v>11613</v>
      </c>
      <c r="D113" s="11" t="n"/>
      <c r="E113" s="12" t="n">
        <v>1325.1</v>
      </c>
      <c r="F113" s="11">
        <f>F112+E113-D113</f>
        <v/>
      </c>
      <c r="G113" s="9">
        <f>IF(F113&gt;=0,"C","D")</f>
        <v/>
      </c>
    </row>
    <row r="114">
      <c r="A114" s="7" t="n">
        <v>45769</v>
      </c>
      <c r="B114" s="8" t="inlineStr">
        <is>
          <t>DEB C/C PG.ICMS DIFER. ALÍQUOTA REF. NF 60013 INTENSIVA DAY HOSPITAL LTDA</t>
        </is>
      </c>
      <c r="C114" s="9" t="n">
        <v>11721</v>
      </c>
      <c r="D114" s="10" t="n">
        <v>123.75</v>
      </c>
      <c r="E114" s="11" t="n"/>
      <c r="F114" s="11">
        <f>F113+E114-D114</f>
        <v/>
      </c>
      <c r="G114" s="9">
        <f>IF(F114&gt;=0,"C","D")</f>
        <v/>
      </c>
    </row>
    <row r="115">
      <c r="A115" s="7" t="n">
        <v>45769</v>
      </c>
      <c r="B115" s="8" t="inlineStr">
        <is>
          <t>VLR ICMS DEST S/ NF 60013 INTENSIVA DAY HOSPITAL LTDA</t>
        </is>
      </c>
      <c r="C115" s="9" t="n">
        <v>11767</v>
      </c>
      <c r="D115" s="11" t="n"/>
      <c r="E115" s="12" t="n">
        <v>123.75</v>
      </c>
      <c r="F115" s="11">
        <f>F114+E115-D115</f>
        <v/>
      </c>
      <c r="G115" s="9">
        <f>IF(F115&gt;=0,"C","D")</f>
        <v/>
      </c>
    </row>
    <row r="116">
      <c r="A116" s="7" t="n">
        <v>45769</v>
      </c>
      <c r="B116" s="8" t="inlineStr">
        <is>
          <t>VLR ICMS DEST S/ NF 60038 TAISSA DE OLIVEIRA PRASERES</t>
        </is>
      </c>
      <c r="C116" s="9" t="n">
        <v>11768</v>
      </c>
      <c r="D116" s="11" t="n"/>
      <c r="E116" s="12" t="n">
        <v>495</v>
      </c>
      <c r="F116" s="11">
        <f>F115+E116-D116</f>
        <v/>
      </c>
      <c r="G116" s="9">
        <f>IF(F116&gt;=0,"C","D")</f>
        <v/>
      </c>
    </row>
    <row r="117">
      <c r="A117" s="7" t="n">
        <v>45770</v>
      </c>
      <c r="B117" s="8" t="inlineStr">
        <is>
          <t>DEB C/C PG.ICMS DIFER. ALÍQUOTA REF. NF 10035 ABERTTA SAUDE - ASSOCIACAO BENEFICENTE DOS EMPREGADOS DA ARC - FILIAL 1</t>
        </is>
      </c>
      <c r="C117" s="9" t="n">
        <v>11867</v>
      </c>
      <c r="D117" s="10" t="n">
        <v>40.13</v>
      </c>
      <c r="E117" s="11" t="n"/>
      <c r="F117" s="11">
        <f>F116+E117-D117</f>
        <v/>
      </c>
      <c r="G117" s="9">
        <f>IF(F117&gt;=0,"C","D")</f>
        <v/>
      </c>
    </row>
    <row r="118">
      <c r="A118" s="7" t="n">
        <v>45770</v>
      </c>
      <c r="B118" s="8" t="inlineStr">
        <is>
          <t>VLR ICMS DEST S/ NF 10035 ABERTTA SAUDE - ASSOCIACAO BENEFICENTE DOS EMPREGADOS DA ARC - FILIAL 1</t>
        </is>
      </c>
      <c r="C118" s="9" t="n">
        <v>11933</v>
      </c>
      <c r="D118" s="11" t="n"/>
      <c r="E118" s="12" t="n">
        <v>40.13</v>
      </c>
      <c r="F118" s="11">
        <f>F117+E118-D118</f>
        <v/>
      </c>
      <c r="G118" s="9">
        <f>IF(F118&gt;=0,"C","D")</f>
        <v/>
      </c>
    </row>
    <row r="119">
      <c r="A119" s="7" t="n">
        <v>45771</v>
      </c>
      <c r="B119" s="8" t="inlineStr">
        <is>
          <t>DEB C/C PG.ICMS DIFER. ALÍQUOTA REF. NF 10044 SAMEDIL - SERVICOS DE ATENDIMENTO MEDICO S/A - FILIAL 1</t>
        </is>
      </c>
      <c r="C119" s="9" t="n">
        <v>12005</v>
      </c>
      <c r="D119" s="10" t="n">
        <v>65.73999999999999</v>
      </c>
      <c r="E119" s="11" t="n"/>
      <c r="F119" s="11">
        <f>F118+E119-D119</f>
        <v/>
      </c>
      <c r="G119" s="9">
        <f>IF(F119&gt;=0,"C","D")</f>
        <v/>
      </c>
    </row>
    <row r="120">
      <c r="A120" s="7" t="n">
        <v>45771</v>
      </c>
      <c r="B120" s="8" t="inlineStr">
        <is>
          <t>VLR ICMS DEST S/ NF 10044 SAMEDIL - SERVICOS DE ATENDIMENTO MEDICO S/A - FILIAL 1</t>
        </is>
      </c>
      <c r="C120" s="9" t="n">
        <v>12053</v>
      </c>
      <c r="D120" s="11" t="n"/>
      <c r="E120" s="12" t="n">
        <v>65.73999999999999</v>
      </c>
      <c r="F120" s="11">
        <f>F119+E120-D120</f>
        <v/>
      </c>
      <c r="G120" s="9">
        <f>IF(F120&gt;=0,"C","D")</f>
        <v/>
      </c>
    </row>
    <row r="121">
      <c r="A121" s="7" t="n">
        <v>45777</v>
      </c>
      <c r="B121" s="8" t="inlineStr">
        <is>
          <t>DEB C/C PG. ESTADO GO - GUIA DE ICMS</t>
        </is>
      </c>
      <c r="C121" s="9" t="n">
        <v>12682</v>
      </c>
      <c r="D121" s="10" t="n">
        <v>18029.4</v>
      </c>
      <c r="E121" s="11" t="n"/>
      <c r="F121" s="11">
        <f>F120+E121-D121</f>
        <v/>
      </c>
      <c r="G121" s="9">
        <f>IF(F121&gt;=0,"C","D")</f>
        <v/>
      </c>
    </row>
    <row r="122">
      <c r="A122" s="7" t="n">
        <v>45777</v>
      </c>
      <c r="B122" s="8" t="inlineStr">
        <is>
          <t>DEB C/C PG.ICMS DIFER. ALÍQUOTA REF. NF 60314 INSTITUTO DE NEUROLOGIA</t>
        </is>
      </c>
      <c r="C122" s="9" t="n">
        <v>12787</v>
      </c>
      <c r="D122" s="11" t="n"/>
      <c r="E122" s="12" t="n">
        <v>18029.4</v>
      </c>
      <c r="F122" s="11">
        <f>F121+E122-D122</f>
        <v/>
      </c>
      <c r="G122" s="9">
        <f>IF(F122&gt;=0,"C","D")</f>
        <v/>
      </c>
    </row>
    <row r="123">
      <c r="A123" s="7" t="n">
        <v>45777</v>
      </c>
      <c r="B123" s="8" t="inlineStr">
        <is>
          <t>TRANSF. SALDO DEVEDOR ICMS DO MÊS</t>
        </is>
      </c>
      <c r="C123" s="9" t="n">
        <v>12809</v>
      </c>
      <c r="D123" s="11" t="n"/>
      <c r="E123" s="12" t="n">
        <v>162139.36</v>
      </c>
      <c r="F123" s="11">
        <f>F122+E123-D123</f>
        <v/>
      </c>
      <c r="G123" s="9">
        <f>IF(F123&gt;=0,"C","D")</f>
        <v/>
      </c>
    </row>
    <row r="124">
      <c r="A124" s="7" t="n">
        <v>45782</v>
      </c>
      <c r="B124" s="8" t="inlineStr">
        <is>
          <t>VLR ICMS DEST S/ NF 60425 Rede Primavera - Assistencia Medica Hospitalar Ltda</t>
        </is>
      </c>
      <c r="C124" s="9" t="n">
        <v>13218</v>
      </c>
      <c r="D124" s="11" t="n"/>
      <c r="E124" s="12" t="n">
        <v>88.31</v>
      </c>
      <c r="F124" s="11">
        <f>F123+E124-D124</f>
        <v/>
      </c>
      <c r="G124" s="9">
        <f>IF(F124&gt;=0,"C","D")</f>
        <v/>
      </c>
    </row>
    <row r="125">
      <c r="A125" s="7" t="n">
        <v>45784</v>
      </c>
      <c r="B125" s="8" t="inlineStr">
        <is>
          <t>VLR ICMS DEST S/ NF 10178 SAMEDIL - SERVICOS DE ATENDIMENTO MEDICO S/A - FILIAL 1</t>
        </is>
      </c>
      <c r="C125" s="9" t="n">
        <v>13464</v>
      </c>
      <c r="D125" s="11" t="n"/>
      <c r="E125" s="12" t="n">
        <v>304.4</v>
      </c>
      <c r="F125" s="11">
        <f>F124+E125-D125</f>
        <v/>
      </c>
      <c r="G125" s="9">
        <f>IF(F125&gt;=0,"C","D")</f>
        <v/>
      </c>
    </row>
    <row r="126">
      <c r="A126" s="7" t="n">
        <v>45784</v>
      </c>
      <c r="B126" s="8" t="inlineStr">
        <is>
          <t>DEB C/C PG.ICMS DIFER. ALÍQUOTA REF. NF 10178 SAMEDIL - SERVICOS DE ATENDIMENTO MEDICO S/A - FILIAL 1</t>
        </is>
      </c>
      <c r="C126" s="9" t="n">
        <v>13493</v>
      </c>
      <c r="D126" s="10" t="n">
        <v>304.4</v>
      </c>
      <c r="E126" s="11" t="n"/>
      <c r="F126" s="11">
        <f>F125+E126-D126</f>
        <v/>
      </c>
      <c r="G126" s="9">
        <f>IF(F126&gt;=0,"C","D")</f>
        <v/>
      </c>
    </row>
    <row r="127">
      <c r="A127" s="7" t="n">
        <v>45785</v>
      </c>
      <c r="B127" s="8" t="inlineStr">
        <is>
          <t>VLR ICMS DEST S/ NF 60539 UNIMED Sergipe - Cooperativa de Trabalho Medico</t>
        </is>
      </c>
      <c r="C127" s="9" t="n">
        <v>13605</v>
      </c>
      <c r="D127" s="11" t="n"/>
      <c r="E127" s="12" t="n">
        <v>914.04</v>
      </c>
      <c r="F127" s="11">
        <f>F126+E127-D127</f>
        <v/>
      </c>
      <c r="G127" s="9">
        <f>IF(F127&gt;=0,"C","D")</f>
        <v/>
      </c>
    </row>
    <row r="128">
      <c r="A128" s="7" t="n">
        <v>45785</v>
      </c>
      <c r="B128" s="8" t="inlineStr">
        <is>
          <t>VLR ICMS DEST S/ NF 60540 UNIMED Sergipe - Cooperativa de Trabalho Medico</t>
        </is>
      </c>
      <c r="C128" s="9" t="n">
        <v>13606</v>
      </c>
      <c r="D128" s="11" t="n"/>
      <c r="E128" s="12" t="n">
        <v>581.4</v>
      </c>
      <c r="F128" s="11">
        <f>F127+E128-D128</f>
        <v/>
      </c>
      <c r="G128" s="9">
        <f>IF(F128&gt;=0,"C","D")</f>
        <v/>
      </c>
    </row>
    <row r="129">
      <c r="A129" s="7" t="n">
        <v>45785</v>
      </c>
      <c r="B129" s="8" t="inlineStr">
        <is>
          <t>VLR ICMS DEST S/ NF 60545 HOSPITAL MATER DEI S/A</t>
        </is>
      </c>
      <c r="C129" s="9" t="n">
        <v>13607</v>
      </c>
      <c r="D129" s="11" t="n"/>
      <c r="E129" s="12" t="n">
        <v>478.5</v>
      </c>
      <c r="F129" s="11">
        <f>F128+E129-D129</f>
        <v/>
      </c>
      <c r="G129" s="9">
        <f>IF(F129&gt;=0,"C","D")</f>
        <v/>
      </c>
    </row>
    <row r="130">
      <c r="A130" s="7" t="n">
        <v>45785</v>
      </c>
      <c r="B130" s="8" t="inlineStr">
        <is>
          <t>VLR ICMS DEST S/ NF 60546 HOSPITAL MATER DEI S/A</t>
        </is>
      </c>
      <c r="C130" s="9" t="n">
        <v>13608</v>
      </c>
      <c r="D130" s="11" t="n"/>
      <c r="E130" s="12" t="n">
        <v>50.82</v>
      </c>
      <c r="F130" s="11">
        <f>F129+E130-D130</f>
        <v/>
      </c>
      <c r="G130" s="9">
        <f>IF(F130&gt;=0,"C","D")</f>
        <v/>
      </c>
    </row>
    <row r="131">
      <c r="A131" s="7" t="n">
        <v>45785</v>
      </c>
      <c r="B131" s="8" t="inlineStr">
        <is>
          <t>VLR ICMS DEST S/ NF 60549 HOSPITAL MATER DEI S/A</t>
        </is>
      </c>
      <c r="C131" s="9" t="n">
        <v>13609</v>
      </c>
      <c r="D131" s="11" t="n"/>
      <c r="E131" s="12" t="n">
        <v>544.5</v>
      </c>
      <c r="F131" s="11">
        <f>F130+E131-D131</f>
        <v/>
      </c>
      <c r="G131" s="9">
        <f>IF(F131&gt;=0,"C","D")</f>
        <v/>
      </c>
    </row>
    <row r="132">
      <c r="A132" s="7" t="n">
        <v>45785</v>
      </c>
      <c r="B132" s="8" t="inlineStr">
        <is>
          <t>DEB C/C PG.ICMS DIFER. ALÍQUOTA REF. NF 60539 UNIMED Sergipe - Cooperativa de Trabalho Medico</t>
        </is>
      </c>
      <c r="C132" s="9" t="n">
        <v>13648</v>
      </c>
      <c r="D132" s="10" t="n">
        <v>914.04</v>
      </c>
      <c r="E132" s="11" t="n"/>
      <c r="F132" s="11">
        <f>F131+E132-D132</f>
        <v/>
      </c>
      <c r="G132" s="9">
        <f>IF(F132&gt;=0,"C","D")</f>
        <v/>
      </c>
    </row>
    <row r="133">
      <c r="A133" s="7" t="n">
        <v>45785</v>
      </c>
      <c r="B133" s="8" t="inlineStr">
        <is>
          <t>DEB C/C PG.ICMS DIFER. ALÍQUOTA REF. NF 60540 UNIMED Sergipe - Cooperativa de Trabalho Medico</t>
        </is>
      </c>
      <c r="C133" s="9" t="n">
        <v>13649</v>
      </c>
      <c r="D133" s="10" t="n">
        <v>581.4</v>
      </c>
      <c r="E133" s="11" t="n"/>
      <c r="F133" s="11">
        <f>F132+E133-D133</f>
        <v/>
      </c>
      <c r="G133" s="9">
        <f>IF(F133&gt;=0,"C","D")</f>
        <v/>
      </c>
    </row>
    <row r="134">
      <c r="A134" s="7" t="n">
        <v>45789</v>
      </c>
      <c r="B134" s="8" t="inlineStr">
        <is>
          <t>VLR ICMS DEST S/ NF 60635 UNIMED DO SUDOESTE COOPERATIVA DE TRABALHO MEDICO LTDA</t>
        </is>
      </c>
      <c r="C134" s="9" t="n">
        <v>13998</v>
      </c>
      <c r="D134" s="11" t="n"/>
      <c r="E134" s="12" t="n">
        <v>1930.5</v>
      </c>
      <c r="F134" s="11">
        <f>F133+E134-D134</f>
        <v/>
      </c>
      <c r="G134" s="9">
        <f>IF(F134&gt;=0,"C","D")</f>
        <v/>
      </c>
    </row>
    <row r="135">
      <c r="A135" s="7" t="n">
        <v>45791</v>
      </c>
      <c r="B135" s="8" t="inlineStr">
        <is>
          <t>VLR ICMS DEST S/ NF 60741 INTENSIVA DAY HOSPITAL LTDA</t>
        </is>
      </c>
      <c r="C135" s="9" t="n">
        <v>14278</v>
      </c>
      <c r="D135" s="11" t="n"/>
      <c r="E135" s="12" t="n">
        <v>26.4</v>
      </c>
      <c r="F135" s="11">
        <f>F134+E135-D135</f>
        <v/>
      </c>
      <c r="G135" s="9">
        <f>IF(F135&gt;=0,"C","D")</f>
        <v/>
      </c>
    </row>
    <row r="136">
      <c r="A136" s="7" t="n">
        <v>45791</v>
      </c>
      <c r="B136" s="8" t="inlineStr">
        <is>
          <t>VLR ICMS DEST S/ NF 60742 INTENSIVA DAY HOSPITAL LTDA</t>
        </is>
      </c>
      <c r="C136" s="9" t="n">
        <v>14279</v>
      </c>
      <c r="D136" s="11" t="n"/>
      <c r="E136" s="12" t="n">
        <v>26.4</v>
      </c>
      <c r="F136" s="11">
        <f>F135+E136-D136</f>
        <v/>
      </c>
      <c r="G136" s="9">
        <f>IF(F136&gt;=0,"C","D")</f>
        <v/>
      </c>
    </row>
    <row r="137">
      <c r="A137" s="7" t="n">
        <v>45792</v>
      </c>
      <c r="B137" s="8" t="inlineStr">
        <is>
          <t>DEB C/C PG.ICMS DIFER. ALÍQUOTA REF. NF 59696/59751/59755/60006 FUNDAÇÃO FELICE ROSSO - NF NF 59676 UNIMED DE SAO LOURENCO</t>
        </is>
      </c>
      <c r="C137" s="9" t="n">
        <v>14443</v>
      </c>
      <c r="D137" s="10" t="n">
        <v>80778.32000000001</v>
      </c>
      <c r="E137" s="11" t="n"/>
      <c r="F137" s="11">
        <f>F136+E137-D137</f>
        <v/>
      </c>
      <c r="G137" s="9">
        <f>IF(F137&gt;=0,"C","D")</f>
        <v/>
      </c>
    </row>
    <row r="138">
      <c r="A138" s="7" t="n">
        <v>45792</v>
      </c>
      <c r="B138" s="8" t="inlineStr">
        <is>
          <t>DEB C/C PG.ICMS DIFER. ALÍQUOTA REF. NF59855/59890 UNIMED DO SUDOESTE COOPERATIVA - NF 60038 TAISSA DE OLIVEIRA PRASERES</t>
        </is>
      </c>
      <c r="C138" s="9" t="n">
        <v>14444</v>
      </c>
      <c r="D138" s="10" t="n">
        <v>3778.5</v>
      </c>
      <c r="E138" s="11" t="n"/>
      <c r="F138" s="11">
        <f>F137+E138-D138</f>
        <v/>
      </c>
      <c r="G138" s="9">
        <f>IF(F138&gt;=0,"C","D")</f>
        <v/>
      </c>
    </row>
    <row r="139">
      <c r="A139" s="7" t="n">
        <v>45792</v>
      </c>
      <c r="B139" s="8" t="inlineStr">
        <is>
          <t>DEB C/C PG.ICMS DIFER. ALÍQUOTA REF. 9904/9906 CENTRAL NACIONAL UNIMED - COOPERATIVA CENTRAL - FILIAL 1</t>
        </is>
      </c>
      <c r="C139" s="9" t="n">
        <v>14445</v>
      </c>
      <c r="D139" s="10" t="n">
        <v>898.02</v>
      </c>
      <c r="E139" s="11" t="n"/>
      <c r="F139" s="11">
        <f>F138+E139-D139</f>
        <v/>
      </c>
      <c r="G139" s="9">
        <f>IF(F139&gt;=0,"C","D")</f>
        <v/>
      </c>
    </row>
    <row r="140">
      <c r="A140" s="7" t="n">
        <v>45792</v>
      </c>
      <c r="B140" s="8" t="inlineStr">
        <is>
          <t>DEB C/C PG.ICMS DIFER. ALÍQUOTA REF. NF 60741 INTENSIVA DAY HOSPITAL LTDA</t>
        </is>
      </c>
      <c r="C140" s="9" t="n">
        <v>14452</v>
      </c>
      <c r="D140" s="10" t="n">
        <v>26.47</v>
      </c>
      <c r="E140" s="11" t="n"/>
      <c r="F140" s="11">
        <f>F139+E140-D140</f>
        <v/>
      </c>
      <c r="G140" s="9">
        <f>IF(F140&gt;=0,"C","D")</f>
        <v/>
      </c>
    </row>
    <row r="141">
      <c r="A141" s="7" t="n">
        <v>45792</v>
      </c>
      <c r="B141" s="8" t="inlineStr">
        <is>
          <t>DEB C/C PG.ICMS DIFER. ALÍQUOTA REF. NF 60742 INTENSIVA DAY HOSPITAL LTDA</t>
        </is>
      </c>
      <c r="C141" s="9" t="n">
        <v>14453</v>
      </c>
      <c r="D141" s="10" t="n">
        <v>26.47</v>
      </c>
      <c r="E141" s="11" t="n"/>
      <c r="F141" s="11">
        <f>F140+E141-D141</f>
        <v/>
      </c>
      <c r="G141" s="9">
        <f>IF(F141&gt;=0,"C","D")</f>
        <v/>
      </c>
    </row>
    <row r="142">
      <c r="A142" s="7" t="n">
        <v>45792</v>
      </c>
      <c r="B142" s="8" t="inlineStr">
        <is>
          <t>MULTA S/ ICMS DIFER. ALÍQUOTA REF. NF 60741 INTENSIVA DAY HOSPITAL LTDA</t>
        </is>
      </c>
      <c r="C142" s="9" t="n">
        <v>14486</v>
      </c>
      <c r="D142" s="11" t="n"/>
      <c r="E142" s="12" t="n">
        <v>0.07000000000000001</v>
      </c>
      <c r="F142" s="11">
        <f>F141+E142-D142</f>
        <v/>
      </c>
      <c r="G142" s="9">
        <f>IF(F142&gt;=0,"C","D")</f>
        <v/>
      </c>
    </row>
    <row r="143">
      <c r="A143" s="7" t="n">
        <v>45792</v>
      </c>
      <c r="B143" s="8" t="inlineStr">
        <is>
          <t>MULTA S/ ICMS DIFER. ALÍQUOTA REF. NF 60742 INTENSIVA DAY HOSPITAL LTDA</t>
        </is>
      </c>
      <c r="C143" s="9" t="n">
        <v>14487</v>
      </c>
      <c r="D143" s="11" t="n"/>
      <c r="E143" s="12" t="n">
        <v>0.07000000000000001</v>
      </c>
      <c r="F143" s="11">
        <f>F142+E143-D143</f>
        <v/>
      </c>
      <c r="G143" s="9">
        <f>IF(F143&gt;=0,"C","D")</f>
        <v/>
      </c>
    </row>
    <row r="144">
      <c r="A144" s="7" t="n">
        <v>45793</v>
      </c>
      <c r="B144" s="8" t="inlineStr">
        <is>
          <t>VLR ICMS DEST S/ NF 60811 UNIMED DO SUDOESTE COOPERATIVA DE TRABALHO MEDICO LTDA</t>
        </is>
      </c>
      <c r="C144" s="9" t="n">
        <v>14720</v>
      </c>
      <c r="D144" s="11" t="n"/>
      <c r="E144" s="12" t="n">
        <v>1930.5</v>
      </c>
      <c r="F144" s="11">
        <f>F143+E144-D144</f>
        <v/>
      </c>
      <c r="G144" s="9">
        <f>IF(F144&gt;=0,"C","D")</f>
        <v/>
      </c>
    </row>
    <row r="145">
      <c r="A145" s="7" t="n">
        <v>45796</v>
      </c>
      <c r="B145" s="8" t="inlineStr">
        <is>
          <t>VLR ICMS DEST S/ NF 60854 SANTA CASA DE MISERICORDIA DE VITORIA DA CONQUISTA</t>
        </is>
      </c>
      <c r="C145" s="9" t="n">
        <v>14912</v>
      </c>
      <c r="D145" s="11" t="n"/>
      <c r="E145" s="12" t="n">
        <v>1930.5</v>
      </c>
      <c r="F145" s="11">
        <f>F144+E145-D145</f>
        <v/>
      </c>
      <c r="G145" s="9">
        <f>IF(F145&gt;=0,"C","D")</f>
        <v/>
      </c>
    </row>
    <row r="146">
      <c r="A146" s="7" t="n">
        <v>45796</v>
      </c>
      <c r="B146" s="8" t="inlineStr">
        <is>
          <t>VLR ICMS DEST S/ NF 60877 UNIMED NORTE MATO GROSSO COOPERATIVA TRABALHO MEDICO</t>
        </is>
      </c>
      <c r="C146" s="9" t="n">
        <v>14913</v>
      </c>
      <c r="D146" s="11" t="n"/>
      <c r="E146" s="12" t="n">
        <v>24960</v>
      </c>
      <c r="F146" s="11">
        <f>F145+E146-D146</f>
        <v/>
      </c>
      <c r="G146" s="9">
        <f>IF(F146&gt;=0,"C","D")</f>
        <v/>
      </c>
    </row>
    <row r="147">
      <c r="A147" s="7" t="n">
        <v>45796</v>
      </c>
      <c r="B147" s="8" t="inlineStr">
        <is>
          <t>DEB C/C PG.ICMS DIFER. ALÍQUOTA REF. NF 60877 UNIMED NORTE MATO GROSSO COOPERATIVA TRABALHO MEDICO</t>
        </is>
      </c>
      <c r="C147" s="9" t="n">
        <v>14918</v>
      </c>
      <c r="D147" s="10" t="n">
        <v>24960</v>
      </c>
      <c r="E147" s="11" t="n"/>
      <c r="F147" s="11">
        <f>F146+E147-D147</f>
        <v/>
      </c>
      <c r="G147" s="9">
        <f>IF(F147&gt;=0,"C","D")</f>
        <v/>
      </c>
    </row>
    <row r="148">
      <c r="A148" s="7" t="n">
        <v>45797</v>
      </c>
      <c r="B148" s="8" t="inlineStr">
        <is>
          <t>VLR ICMS DEST S/ NF 60939 UNIMED DO SUDOESTE COOPERATIVA DE TRABALHO MEDICO LTDA</t>
        </is>
      </c>
      <c r="C148" s="9" t="n">
        <v>15108</v>
      </c>
      <c r="D148" s="11" t="n"/>
      <c r="E148" s="12" t="n">
        <v>1930.5</v>
      </c>
      <c r="F148" s="11">
        <f>F147+E148-D148</f>
        <v/>
      </c>
      <c r="G148" s="9">
        <f>IF(F148&gt;=0,"C","D")</f>
        <v/>
      </c>
    </row>
    <row r="149">
      <c r="A149" s="7" t="n">
        <v>45797</v>
      </c>
      <c r="B149" s="8" t="inlineStr">
        <is>
          <t>DEB C/C PG.ICMS REF. 04/2025</t>
        </is>
      </c>
      <c r="C149" s="9" t="n">
        <v>15118</v>
      </c>
      <c r="D149" s="10" t="n">
        <v>162139.36</v>
      </c>
      <c r="E149" s="11" t="n"/>
      <c r="F149" s="11">
        <f>F148+E149-D149</f>
        <v/>
      </c>
      <c r="G149" s="9">
        <f>IF(F149&gt;=0,"C","D")</f>
        <v/>
      </c>
    </row>
    <row r="150">
      <c r="A150" s="7" t="n">
        <v>45798</v>
      </c>
      <c r="B150" s="8" t="inlineStr">
        <is>
          <t>VLR ICMS DEST S/ NF 10325 SAMEDIL - SERVICOS DE ATENDIMENTO MEDICO S/A - FILIAL 1</t>
        </is>
      </c>
      <c r="C150" s="9" t="n">
        <v>15234</v>
      </c>
      <c r="D150" s="11" t="n"/>
      <c r="E150" s="12" t="n">
        <v>5.46</v>
      </c>
      <c r="F150" s="11">
        <f>F149+E150-D150</f>
        <v/>
      </c>
      <c r="G150" s="9">
        <f>IF(F150&gt;=0,"C","D")</f>
        <v/>
      </c>
    </row>
    <row r="151">
      <c r="A151" s="7" t="n">
        <v>45798</v>
      </c>
      <c r="B151" s="8" t="inlineStr">
        <is>
          <t>VLR ICMS DEST S/ NF 10326 SAMEDIL - SERVICOS DE ATENDIMENTO MEDICO S/A - FILIAL 1</t>
        </is>
      </c>
      <c r="C151" s="9" t="n">
        <v>15235</v>
      </c>
      <c r="D151" s="11" t="n"/>
      <c r="E151" s="12" t="n">
        <v>441.22</v>
      </c>
      <c r="F151" s="11">
        <f>F150+E151-D151</f>
        <v/>
      </c>
      <c r="G151" s="9">
        <f>IF(F151&gt;=0,"C","D")</f>
        <v/>
      </c>
    </row>
    <row r="152">
      <c r="A152" s="7" t="n">
        <v>45798</v>
      </c>
      <c r="B152" s="8" t="inlineStr">
        <is>
          <t>VLR ICMS DEST S/ NF 61012 SANTA CASA DE MISERICORDIA DE VITORIA DA CONQUISTA</t>
        </is>
      </c>
      <c r="C152" s="9" t="n">
        <v>15269</v>
      </c>
      <c r="D152" s="11" t="n"/>
      <c r="E152" s="12" t="n">
        <v>16.5</v>
      </c>
      <c r="F152" s="11">
        <f>F151+E152-D152</f>
        <v/>
      </c>
      <c r="G152" s="9">
        <f>IF(F152&gt;=0,"C","D")</f>
        <v/>
      </c>
    </row>
    <row r="153">
      <c r="A153" s="7" t="n">
        <v>45798</v>
      </c>
      <c r="B153" s="8" t="inlineStr">
        <is>
          <t>DEB C/C PG.ICMS DIFER. ALÍQUOTA REF. NF 10326 SAMEDIL - SERVICOS DE ATENDIMENTO MEDICO S/A - FILIAL 1</t>
        </is>
      </c>
      <c r="C153" s="9" t="n">
        <v>15278</v>
      </c>
      <c r="D153" s="10" t="n">
        <v>441.22</v>
      </c>
      <c r="E153" s="11" t="n"/>
      <c r="F153" s="11">
        <f>F152+E153-D153</f>
        <v/>
      </c>
      <c r="G153" s="9">
        <f>IF(F153&gt;=0,"C","D")</f>
        <v/>
      </c>
    </row>
    <row r="154">
      <c r="A154" s="7" t="n">
        <v>45798</v>
      </c>
      <c r="B154" s="8" t="inlineStr">
        <is>
          <t>DEB C/C PG.ICMS DIFER. ALÍQUOTA REF. NF 10325 SAMEDIL - SERVICOS DE ATENDIMENTO MEDICO S/A - FILIAL 1</t>
        </is>
      </c>
      <c r="C154" s="9" t="n">
        <v>15279</v>
      </c>
      <c r="D154" s="10" t="n">
        <v>5.46</v>
      </c>
      <c r="E154" s="11" t="n"/>
      <c r="F154" s="11">
        <f>F153+E154-D154</f>
        <v/>
      </c>
      <c r="G154" s="9">
        <f>IF(F154&gt;=0,"C","D")</f>
        <v/>
      </c>
    </row>
    <row r="155">
      <c r="A155" s="7" t="n">
        <v>45800</v>
      </c>
      <c r="B155" s="8" t="inlineStr">
        <is>
          <t>VLR ICMS DEST S/ NF 61117 Fundacao Felice Rosso</t>
        </is>
      </c>
      <c r="C155" s="9" t="n">
        <v>15486</v>
      </c>
      <c r="D155" s="11" t="n"/>
      <c r="E155" s="12" t="n">
        <v>1444.24</v>
      </c>
      <c r="F155" s="11">
        <f>F154+E155-D155</f>
        <v/>
      </c>
      <c r="G155" s="9">
        <f>IF(F155&gt;=0,"C","D")</f>
        <v/>
      </c>
    </row>
    <row r="156">
      <c r="A156" s="7" t="n">
        <v>45803</v>
      </c>
      <c r="B156" s="8" t="inlineStr">
        <is>
          <t>VLR ICMS DEST S/ NF 61145 UNIMED DO SUDOESTE COOPERATIVA DE TRABALHO MEDICO LTDA</t>
        </is>
      </c>
      <c r="C156" s="9" t="n">
        <v>15630</v>
      </c>
      <c r="D156" s="11" t="n"/>
      <c r="E156" s="12" t="n">
        <v>1930.5</v>
      </c>
      <c r="F156" s="11">
        <f>F155+E156-D156</f>
        <v/>
      </c>
      <c r="G156" s="9">
        <f>IF(F156&gt;=0,"C","D")</f>
        <v/>
      </c>
    </row>
    <row r="157">
      <c r="A157" s="7" t="n">
        <v>45803</v>
      </c>
      <c r="B157" s="8" t="inlineStr">
        <is>
          <t>VLR ICMS DEST S/ NF 61164 Rede Primavera - Assistencia Medica Hospitalar Ltda</t>
        </is>
      </c>
      <c r="C157" s="9" t="n">
        <v>15631</v>
      </c>
      <c r="D157" s="11" t="n"/>
      <c r="E157" s="12" t="n">
        <v>665.54</v>
      </c>
      <c r="F157" s="11">
        <f>F156+E157-D157</f>
        <v/>
      </c>
      <c r="G157" s="9">
        <f>IF(F157&gt;=0,"C","D")</f>
        <v/>
      </c>
    </row>
    <row r="158">
      <c r="A158" s="7" t="n">
        <v>45803</v>
      </c>
      <c r="B158" s="8" t="inlineStr">
        <is>
          <t>VLR ICMS DEST S/ NF 61166 HOSPITAL DA FUNDACAO CASA DE CARIDADE DE SAO LOURENCO</t>
        </is>
      </c>
      <c r="C158" s="9" t="n">
        <v>15632</v>
      </c>
      <c r="D158" s="11" t="n"/>
      <c r="E158" s="12" t="n">
        <v>62.7</v>
      </c>
      <c r="F158" s="11">
        <f>F157+E158-D158</f>
        <v/>
      </c>
      <c r="G158" s="9">
        <f>IF(F158&gt;=0,"C","D")</f>
        <v/>
      </c>
    </row>
    <row r="159">
      <c r="A159" s="7" t="n">
        <v>45804</v>
      </c>
      <c r="B159" s="8" t="inlineStr">
        <is>
          <t>DEB C/C PG.ICMS DIFER. ALÍQUOTA REF. NF 61164 Rede Primavera - Assistencia Medica Hospitalar Ltda</t>
        </is>
      </c>
      <c r="C159" s="9" t="n">
        <v>15745</v>
      </c>
      <c r="D159" s="10" t="n">
        <v>666.41</v>
      </c>
      <c r="E159" s="11" t="n"/>
      <c r="F159" s="11">
        <f>F158+E159-D159</f>
        <v/>
      </c>
      <c r="G159" s="9">
        <f>IF(F159&gt;=0,"C","D")</f>
        <v/>
      </c>
    </row>
    <row r="160">
      <c r="A160" s="7" t="n">
        <v>45804</v>
      </c>
      <c r="B160" s="8" t="inlineStr">
        <is>
          <t>MULTA S/ ICMS DIFER. ALÍQUOTA REF. NF 61164 Rede Primavera - Assistencia Medica Hospitalar Ltda</t>
        </is>
      </c>
      <c r="C160" s="9" t="n">
        <v>15750</v>
      </c>
      <c r="D160" s="11" t="n"/>
      <c r="E160" s="12" t="n">
        <v>0.87</v>
      </c>
      <c r="F160" s="11">
        <f>F159+E160-D160</f>
        <v/>
      </c>
      <c r="G160" s="9">
        <f>IF(F160&gt;=0,"C","D")</f>
        <v/>
      </c>
    </row>
    <row r="161">
      <c r="A161" s="7" t="n">
        <v>45805</v>
      </c>
      <c r="B161" s="8" t="inlineStr">
        <is>
          <t>VLR ICMS DEST S/ NF 10389 CENTRAL NACIONAL UNIMED - COOPERATIVA CENTRAL - FILIAL 1</t>
        </is>
      </c>
      <c r="C161" s="9" t="n">
        <v>15824</v>
      </c>
      <c r="D161" s="11" t="n"/>
      <c r="E161" s="12" t="n">
        <v>67</v>
      </c>
      <c r="F161" s="11">
        <f>F160+E161-D161</f>
        <v/>
      </c>
      <c r="G161" s="9">
        <f>IF(F161&gt;=0,"C","D")</f>
        <v/>
      </c>
    </row>
    <row r="162">
      <c r="A162" s="7" t="n">
        <v>45805</v>
      </c>
      <c r="B162" s="8" t="inlineStr">
        <is>
          <t>VLR ICMS DEST S/ NF 10390 CENTRAL NACIONAL UNIMED - COOPERATIVA CENTRAL - FILIAL 1</t>
        </is>
      </c>
      <c r="C162" s="9" t="n">
        <v>15825</v>
      </c>
      <c r="D162" s="11" t="n"/>
      <c r="E162" s="12" t="n">
        <v>5.6</v>
      </c>
      <c r="F162" s="11">
        <f>F161+E162-D162</f>
        <v/>
      </c>
      <c r="G162" s="9">
        <f>IF(F162&gt;=0,"C","D")</f>
        <v/>
      </c>
    </row>
    <row r="163">
      <c r="A163" s="7" t="n">
        <v>45805</v>
      </c>
      <c r="B163" s="8" t="inlineStr">
        <is>
          <t>VLR ICMS DEST S/ NF 61281 CAIXA DE ASSISTENCIA DOS FUNCIONARIOS DO BANCO DO BRASIL</t>
        </is>
      </c>
      <c r="C163" s="9" t="n">
        <v>15887</v>
      </c>
      <c r="D163" s="11" t="n"/>
      <c r="E163" s="12" t="n">
        <v>2646</v>
      </c>
      <c r="F163" s="11">
        <f>F162+E163-D163</f>
        <v/>
      </c>
      <c r="G163" s="9">
        <f>IF(F163&gt;=0,"C","D")</f>
        <v/>
      </c>
    </row>
    <row r="164">
      <c r="A164" s="7" t="n">
        <v>45805</v>
      </c>
      <c r="B164" s="8" t="inlineStr">
        <is>
          <t>DEB C/C PG.ICMS DIFER. ALÍQUOTA REF. NF 61281 CAIXA DE ASSISTENCIA DOS FUNCIONARIOS DO BANCO DO BRASIL</t>
        </is>
      </c>
      <c r="C164" s="9" t="n">
        <v>15891</v>
      </c>
      <c r="D164" s="10" t="n">
        <v>2646</v>
      </c>
      <c r="E164" s="11" t="n"/>
      <c r="F164" s="11">
        <f>F163+E164-D164</f>
        <v/>
      </c>
      <c r="G164" s="9">
        <f>IF(F164&gt;=0,"C","D")</f>
        <v/>
      </c>
    </row>
    <row r="165">
      <c r="A165" s="7" t="n">
        <v>45806</v>
      </c>
      <c r="B165" s="8" t="inlineStr">
        <is>
          <t>DEB C/C PG. GUIA ICMS - ESTADO SE</t>
        </is>
      </c>
      <c r="C165" s="9" t="n">
        <v>16083</v>
      </c>
      <c r="D165" s="10" t="n">
        <v>2519.69</v>
      </c>
      <c r="E165" s="11" t="n"/>
      <c r="F165" s="11">
        <f>F164+E165-D165</f>
        <v/>
      </c>
      <c r="G165" s="9">
        <f>IF(F165&gt;=0,"C","D")</f>
        <v/>
      </c>
    </row>
    <row r="166">
      <c r="A166" s="7" t="n">
        <v>45806</v>
      </c>
      <c r="B166" s="8" t="inlineStr">
        <is>
          <t>DEB C/C PG. GUIA ICMS - ESTADO SE</t>
        </is>
      </c>
      <c r="C166" s="9" t="n">
        <v>16084</v>
      </c>
      <c r="D166" s="10" t="n">
        <v>3434.17</v>
      </c>
      <c r="E166" s="11" t="n"/>
      <c r="F166" s="11">
        <f>F165+E166-D166</f>
        <v/>
      </c>
      <c r="G166" s="9">
        <f>IF(F166&gt;=0,"C","D")</f>
        <v/>
      </c>
    </row>
    <row r="167">
      <c r="A167" s="7" t="n">
        <v>45806</v>
      </c>
      <c r="B167" s="8" t="inlineStr">
        <is>
          <t>DEB C/C PG. GUIA DE ICMS</t>
        </is>
      </c>
      <c r="C167" s="9" t="n">
        <v>16085</v>
      </c>
      <c r="D167" s="10" t="n">
        <v>372.48</v>
      </c>
      <c r="E167" s="11" t="n"/>
      <c r="F167" s="11">
        <f>F166+E167-D167</f>
        <v/>
      </c>
      <c r="G167" s="9">
        <f>IF(F167&gt;=0,"C","D")</f>
        <v/>
      </c>
    </row>
    <row r="168">
      <c r="A168" s="7" t="n">
        <v>45806</v>
      </c>
      <c r="B168" s="8" t="inlineStr">
        <is>
          <t>DEB C/C PG. GUIA ICMS - ESTADO SE</t>
        </is>
      </c>
      <c r="C168" s="9" t="n">
        <v>16086</v>
      </c>
      <c r="D168" s="10" t="n">
        <v>7191.21</v>
      </c>
      <c r="E168" s="11" t="n"/>
      <c r="F168" s="11">
        <f>F167+E168-D168</f>
        <v/>
      </c>
      <c r="G168" s="9">
        <f>IF(F168&gt;=0,"C","D")</f>
        <v/>
      </c>
    </row>
    <row r="169">
      <c r="A169" s="7" t="n">
        <v>45806</v>
      </c>
      <c r="B169" s="8" t="inlineStr">
        <is>
          <t>JUROS S/ ICMS DIFER. ALÍQUOTA REF. NF 58893 UNIMED CURITIBA - SOCIEDADE COOPERATIVA DE MEDICOS</t>
        </is>
      </c>
      <c r="C169" s="9" t="n">
        <v>16091</v>
      </c>
      <c r="D169" s="11" t="n"/>
      <c r="E169" s="12" t="n">
        <v>50.85</v>
      </c>
      <c r="F169" s="11">
        <f>F168+E169-D169</f>
        <v/>
      </c>
      <c r="G169" s="9">
        <f>IF(F169&gt;=0,"C","D")</f>
        <v/>
      </c>
    </row>
    <row r="170">
      <c r="A170" s="7" t="n">
        <v>45806</v>
      </c>
      <c r="B170" s="8" t="inlineStr">
        <is>
          <t>MULTA S/ ICMS DIFER. ALÍQUOTA REF. NF 58893 UNIMED CURITIBA - SOCIEDADE COOPERATIVA DE MEDICOS</t>
        </is>
      </c>
      <c r="C170" s="9" t="n">
        <v>16092</v>
      </c>
      <c r="D170" s="11" t="n"/>
      <c r="E170" s="12" t="n">
        <v>224.44</v>
      </c>
      <c r="F170" s="11">
        <f>F169+E170-D170</f>
        <v/>
      </c>
      <c r="G170" s="9">
        <f>IF(F170&gt;=0,"C","D")</f>
        <v/>
      </c>
    </row>
    <row r="171">
      <c r="A171" s="7" t="n">
        <v>45806</v>
      </c>
      <c r="B171" s="8" t="inlineStr">
        <is>
          <t>JUROS S/ ICMS DIFER. ALÍQUOTA REF. 03/2025</t>
        </is>
      </c>
      <c r="C171" s="9" t="n">
        <v>16093</v>
      </c>
      <c r="D171" s="11" t="n"/>
      <c r="E171" s="12" t="n">
        <v>192.86</v>
      </c>
      <c r="F171" s="11">
        <f>F170+E171-D171</f>
        <v/>
      </c>
      <c r="G171" s="9">
        <f>IF(F171&gt;=0,"C","D")</f>
        <v/>
      </c>
    </row>
    <row r="172">
      <c r="A172" s="7" t="n">
        <v>45806</v>
      </c>
      <c r="B172" s="8" t="inlineStr">
        <is>
          <t>JUROS S/ ICMS DIFER. ALÍQUOTA REF. 03/2025</t>
        </is>
      </c>
      <c r="C172" s="9" t="n">
        <v>16094</v>
      </c>
      <c r="D172" s="11" t="n"/>
      <c r="E172" s="12" t="n">
        <v>3.51</v>
      </c>
      <c r="F172" s="11">
        <f>F171+E172-D172</f>
        <v/>
      </c>
      <c r="G172" s="9">
        <f>IF(F172&gt;=0,"C","D")</f>
        <v/>
      </c>
    </row>
    <row r="173">
      <c r="A173" s="7" t="n">
        <v>45806</v>
      </c>
      <c r="B173" s="8" t="inlineStr">
        <is>
          <t>MULTA S/ ICMS DIFER. ALÍQUOTA REF. 03/2025</t>
        </is>
      </c>
      <c r="C173" s="9" t="n">
        <v>16095</v>
      </c>
      <c r="D173" s="11" t="n"/>
      <c r="E173" s="12" t="n">
        <v>17.57</v>
      </c>
      <c r="F173" s="11">
        <f>F172+E173-D173</f>
        <v/>
      </c>
      <c r="G173" s="9">
        <f>IF(F173&gt;=0,"C","D")</f>
        <v/>
      </c>
    </row>
    <row r="174">
      <c r="A174" s="7" t="n">
        <v>45806</v>
      </c>
      <c r="B174" s="8" t="inlineStr">
        <is>
          <t>JUROS S/ ICMS DIFER. ALÍQUOTA REF. 03/2025</t>
        </is>
      </c>
      <c r="C174" s="9" t="n">
        <v>16096</v>
      </c>
      <c r="D174" s="11" t="n"/>
      <c r="E174" s="12" t="n">
        <v>71.2</v>
      </c>
      <c r="F174" s="11">
        <f>F173+E174-D174</f>
        <v/>
      </c>
      <c r="G174" s="9">
        <f>IF(F174&gt;=0,"C","D")</f>
        <v/>
      </c>
    </row>
    <row r="175">
      <c r="A175" s="7" t="n">
        <v>45806</v>
      </c>
      <c r="B175" s="8" t="inlineStr">
        <is>
          <t>MULTA S/ ICMS DIFER. ALÍQUOTA REF. 03/2025</t>
        </is>
      </c>
      <c r="C175" s="9" t="n">
        <v>16097</v>
      </c>
      <c r="D175" s="11" t="n"/>
      <c r="E175" s="12" t="n">
        <v>587.89</v>
      </c>
      <c r="F175" s="11">
        <f>F174+E175-D175</f>
        <v/>
      </c>
      <c r="G175" s="9">
        <f>IF(F175&gt;=0,"C","D")</f>
        <v/>
      </c>
    </row>
    <row r="176">
      <c r="A176" s="7" t="n">
        <v>45807</v>
      </c>
      <c r="B176" s="8" t="inlineStr">
        <is>
          <t>VLR ICMS DEST S/ NF 61372 UNIMED NATAL SOCIEDADE COOPERATIVA DE TRABALHO MEDICO</t>
        </is>
      </c>
      <c r="C176" s="9" t="n">
        <v>16227</v>
      </c>
      <c r="D176" s="11" t="n"/>
      <c r="E176" s="12" t="n">
        <v>22511.16</v>
      </c>
      <c r="F176" s="11">
        <f>F175+E176-D176</f>
        <v/>
      </c>
      <c r="G176" s="9">
        <f>IF(F176&gt;=0,"C","D")</f>
        <v/>
      </c>
    </row>
    <row r="177">
      <c r="A177" s="7" t="n">
        <v>45808</v>
      </c>
      <c r="B177" s="8" t="inlineStr">
        <is>
          <t>TRANSF. SALDO DEVEDOR ICMS DO MÊS</t>
        </is>
      </c>
      <c r="C177" s="9" t="n">
        <v>16380</v>
      </c>
      <c r="D177" s="11" t="n"/>
      <c r="E177" s="12" t="n">
        <v>35733.75</v>
      </c>
      <c r="F177" s="11">
        <f>F176+E177-D177</f>
        <v/>
      </c>
      <c r="G177" s="9">
        <f>IF(F177&gt;=0,"C","D")</f>
        <v/>
      </c>
    </row>
    <row r="178">
      <c r="A178" s="7" t="n">
        <v>45808</v>
      </c>
      <c r="B178" s="8" t="inlineStr">
        <is>
          <t>TRANSF. SALDO DEVEDOR ICMS DO MÊS</t>
        </is>
      </c>
      <c r="C178" s="9" t="n">
        <v>16381</v>
      </c>
      <c r="D178" s="11" t="n"/>
      <c r="E178" s="12" t="n">
        <v>5075.26</v>
      </c>
      <c r="F178" s="11">
        <f>F177+E178-D178</f>
        <v/>
      </c>
      <c r="G178" s="9">
        <f>IF(F178&gt;=0,"C","D")</f>
        <v/>
      </c>
    </row>
    <row r="179">
      <c r="A179" s="7" t="n">
        <v>45809</v>
      </c>
      <c r="B179" s="8" t="inlineStr">
        <is>
          <t>VLR ICMS DEB. S/ NF 10278 CAIXA DE ASSISTENCIA DOS FUNCIONARIOS DO BANCO DO BRASIL - FILIAL 1 - LANÇTO DE 16/05/2025</t>
        </is>
      </c>
      <c r="C179" s="9" t="n">
        <v>16469</v>
      </c>
      <c r="D179" s="11" t="n"/>
      <c r="E179" s="12" t="n">
        <v>466.9</v>
      </c>
      <c r="F179" s="11">
        <f>F178+E179-D179</f>
        <v/>
      </c>
      <c r="G179" s="9">
        <f>IF(F179&gt;=0,"C","D")</f>
        <v/>
      </c>
    </row>
    <row r="180">
      <c r="A180" s="7" t="n">
        <v>45810</v>
      </c>
      <c r="B180" s="8" t="inlineStr">
        <is>
          <t>DEB C/C PG. ICMS DIFER. ALÍQUOTA REF.NF 61435 RENAN SALES DE ALMEIDA</t>
        </is>
      </c>
      <c r="C180" s="9" t="n">
        <v>16545</v>
      </c>
      <c r="D180" s="10" t="n">
        <v>433.06</v>
      </c>
      <c r="E180" s="11" t="n"/>
      <c r="F180" s="11">
        <f>F179+E180-D180</f>
        <v/>
      </c>
      <c r="G180" s="9">
        <f>IF(F180&gt;=0,"C","D")</f>
        <v/>
      </c>
    </row>
    <row r="181">
      <c r="A181" s="7" t="n">
        <v>45810</v>
      </c>
      <c r="B181" s="8" t="inlineStr">
        <is>
          <t>DEB C/C PG. ICMS DIFER. ALÍQUOTA REF. NF 61436 MYLENA GABRYELLE FLORENCIO SERGIO</t>
        </is>
      </c>
      <c r="C181" s="9" t="n">
        <v>16546</v>
      </c>
      <c r="D181" s="10" t="n">
        <v>341.2</v>
      </c>
      <c r="E181" s="11" t="n"/>
      <c r="F181" s="11">
        <f>F180+E181-D181</f>
        <v/>
      </c>
      <c r="G181" s="9">
        <f>IF(F181&gt;=0,"C","D")</f>
        <v/>
      </c>
    </row>
    <row r="182">
      <c r="A182" s="7" t="n">
        <v>45810</v>
      </c>
      <c r="B182" s="8" t="inlineStr">
        <is>
          <t>DEB C/C PG. ICMS DIFER. ALÍQUOTA REF. NF 61440 ANGELINA SOPHIA FERREIRA ANTUNES</t>
        </is>
      </c>
      <c r="C182" s="9" t="n">
        <v>16547</v>
      </c>
      <c r="D182" s="10" t="n">
        <v>341.2</v>
      </c>
      <c r="E182" s="11" t="n"/>
      <c r="F182" s="11">
        <f>F181+E182-D182</f>
        <v/>
      </c>
      <c r="G182" s="9">
        <f>IF(F182&gt;=0,"C","D")</f>
        <v/>
      </c>
    </row>
    <row r="183">
      <c r="A183" s="7" t="n">
        <v>45810</v>
      </c>
      <c r="B183" s="8" t="inlineStr">
        <is>
          <t>VLR ICMS DEST DEB. S/ NF 61434 RODRIGO FILGUEIRA DE ARAUJO</t>
        </is>
      </c>
      <c r="C183" s="9" t="n">
        <v>16775</v>
      </c>
      <c r="D183" s="11" t="n"/>
      <c r="E183" s="12" t="n">
        <v>419.93</v>
      </c>
      <c r="F183" s="11">
        <f>F182+E183-D183</f>
        <v/>
      </c>
      <c r="G183" s="9">
        <f>IF(F183&gt;=0,"C","D")</f>
        <v/>
      </c>
    </row>
    <row r="184">
      <c r="A184" s="7" t="n">
        <v>45810</v>
      </c>
      <c r="B184" s="8" t="inlineStr">
        <is>
          <t>VLR ICMS DEST DEB. S/ NF 61435 RENAN SALES DE ALMEIDA</t>
        </is>
      </c>
      <c r="C184" s="9" t="n">
        <v>16776</v>
      </c>
      <c r="D184" s="11" t="n"/>
      <c r="E184" s="12" t="n">
        <v>433.06</v>
      </c>
      <c r="F184" s="11">
        <f>F183+E184-D184</f>
        <v/>
      </c>
      <c r="G184" s="9">
        <f>IF(F184&gt;=0,"C","D")</f>
        <v/>
      </c>
    </row>
    <row r="185">
      <c r="A185" s="7" t="n">
        <v>45810</v>
      </c>
      <c r="B185" s="8" t="inlineStr">
        <is>
          <t>VLR ICMS DEST DEB. S/ NF 61436 MYLENA GABRYELLE FLORENCIO SERGIO</t>
        </is>
      </c>
      <c r="C185" s="9" t="n">
        <v>16777</v>
      </c>
      <c r="D185" s="11" t="n"/>
      <c r="E185" s="12" t="n">
        <v>341.2</v>
      </c>
      <c r="F185" s="11">
        <f>F184+E185-D185</f>
        <v/>
      </c>
      <c r="G185" s="9">
        <f>IF(F185&gt;=0,"C","D")</f>
        <v/>
      </c>
    </row>
    <row r="186">
      <c r="A186" s="7" t="n">
        <v>45810</v>
      </c>
      <c r="B186" s="8" t="inlineStr">
        <is>
          <t>VLR ICMS DEST DEB. S/ NF 61440 ANGELINA SOPHIA FERREIRA ANTUNES</t>
        </is>
      </c>
      <c r="C186" s="9" t="n">
        <v>16778</v>
      </c>
      <c r="D186" s="11" t="n"/>
      <c r="E186" s="12" t="n">
        <v>341.2</v>
      </c>
      <c r="F186" s="11">
        <f>F185+E186-D186</f>
        <v/>
      </c>
      <c r="G186" s="9">
        <f>IF(F186&gt;=0,"C","D")</f>
        <v/>
      </c>
    </row>
    <row r="187">
      <c r="A187" s="7" t="n">
        <v>45810</v>
      </c>
      <c r="B187" s="8" t="inlineStr">
        <is>
          <t>VLR ICMS DEST DEB. S/ NF 61471 UNIMED DO SUDOESTE COOPERATIVA DE TRABALHO MEDICO LTDA</t>
        </is>
      </c>
      <c r="C187" s="9" t="n">
        <v>16779</v>
      </c>
      <c r="D187" s="11" t="n"/>
      <c r="E187" s="12" t="n">
        <v>16.5</v>
      </c>
      <c r="F187" s="11">
        <f>F186+E187-D187</f>
        <v/>
      </c>
      <c r="G187" s="9">
        <f>IF(F187&gt;=0,"C","D")</f>
        <v/>
      </c>
    </row>
    <row r="188">
      <c r="A188" s="7" t="n">
        <v>45810</v>
      </c>
      <c r="B188" s="8" t="inlineStr">
        <is>
          <t>VLR ICMS DEST DEB. S/ NF 61501 HOSPITAL SAO RAFAEL SA</t>
        </is>
      </c>
      <c r="C188" s="9" t="n">
        <v>16780</v>
      </c>
      <c r="D188" s="11" t="n"/>
      <c r="E188" s="12" t="n">
        <v>585.01</v>
      </c>
      <c r="F188" s="11">
        <f>F187+E188-D188</f>
        <v/>
      </c>
      <c r="G188" s="9">
        <f>IF(F188&gt;=0,"C","D")</f>
        <v/>
      </c>
    </row>
    <row r="189">
      <c r="A189" s="7" t="n">
        <v>45810</v>
      </c>
      <c r="B189" s="8" t="inlineStr">
        <is>
          <t>VLR ICMS DEST DEB. S/ NF 61502 SANTA CASA DE MISERICORDIA DA BAHIA</t>
        </is>
      </c>
      <c r="C189" s="9" t="n">
        <v>16781</v>
      </c>
      <c r="D189" s="11" t="n"/>
      <c r="E189" s="12" t="n">
        <v>361.03</v>
      </c>
      <c r="F189" s="11">
        <f>F188+E189-D189</f>
        <v/>
      </c>
      <c r="G189" s="9">
        <f>IF(F189&gt;=0,"C","D")</f>
        <v/>
      </c>
    </row>
    <row r="190">
      <c r="A190" s="7" t="n">
        <v>45810</v>
      </c>
      <c r="B190" s="8" t="inlineStr">
        <is>
          <t>VLR ICMS DEST DEB. S/ NF 61524 SANTA CASA DE MISERICORDIA DE VITORIA DA CONQUISTA</t>
        </is>
      </c>
      <c r="C190" s="9" t="n">
        <v>16782</v>
      </c>
      <c r="D190" s="11" t="n"/>
      <c r="E190" s="12" t="n">
        <v>585.01</v>
      </c>
      <c r="F190" s="11">
        <f>F189+E190-D190</f>
        <v/>
      </c>
      <c r="G190" s="9">
        <f>IF(F190&gt;=0,"C","D")</f>
        <v/>
      </c>
    </row>
    <row r="191">
      <c r="A191" s="7" t="n">
        <v>45810</v>
      </c>
      <c r="B191" s="8" t="inlineStr">
        <is>
          <t>VLR ICMS DEST DEB. S/ NF 61535 REAL SOCIEDADE PORTUGUESA DE BENEF 16 DE SETEMBRO</t>
        </is>
      </c>
      <c r="C191" s="9" t="n">
        <v>16783</v>
      </c>
      <c r="D191" s="11" t="n"/>
      <c r="E191" s="12" t="n">
        <v>353.81</v>
      </c>
      <c r="F191" s="11">
        <f>F190+E191-D191</f>
        <v/>
      </c>
      <c r="G191" s="9">
        <f>IF(F191&gt;=0,"C","D")</f>
        <v/>
      </c>
    </row>
    <row r="192">
      <c r="A192" s="7" t="n">
        <v>45810</v>
      </c>
      <c r="B192" s="8" t="inlineStr">
        <is>
          <t>VLR ICMS DEST DEB. S/ NF 61558 HBA SA ASSISTENCIA MEDICA E</t>
        </is>
      </c>
      <c r="C192" s="9" t="n">
        <v>16784</v>
      </c>
      <c r="D192" s="11" t="n"/>
      <c r="E192" s="12" t="n">
        <v>336.96</v>
      </c>
      <c r="F192" s="11">
        <f>F191+E192-D192</f>
        <v/>
      </c>
      <c r="G192" s="9">
        <f>IF(F192&gt;=0,"C","D")</f>
        <v/>
      </c>
    </row>
    <row r="193">
      <c r="A193" s="7" t="n">
        <v>45811</v>
      </c>
      <c r="B193" s="8" t="inlineStr">
        <is>
          <t>VLR ICMS DEST S/ NF 10523 UNIMED SEGUROS SAUDE S/A - FILIAL 1</t>
        </is>
      </c>
      <c r="C193" s="9" t="n">
        <v>16979</v>
      </c>
      <c r="D193" s="11" t="n"/>
      <c r="E193" s="12" t="n">
        <v>70</v>
      </c>
      <c r="F193" s="11">
        <f>F192+E193-D193</f>
        <v/>
      </c>
      <c r="G193" s="9">
        <f>IF(F193&gt;=0,"C","D")</f>
        <v/>
      </c>
    </row>
    <row r="194">
      <c r="A194" s="7" t="n">
        <v>45811</v>
      </c>
      <c r="B194" s="8" t="inlineStr">
        <is>
          <t>VLR ICMS DEST S/ NF 10575 CENTRAL NACIONAL UNIMED - COOPERATIVA CENTRAL - FILIAL 1</t>
        </is>
      </c>
      <c r="C194" s="9" t="n">
        <v>16980</v>
      </c>
      <c r="D194" s="11" t="n"/>
      <c r="E194" s="12" t="n">
        <v>5.6</v>
      </c>
      <c r="F194" s="11">
        <f>F193+E194-D194</f>
        <v/>
      </c>
      <c r="G194" s="9">
        <f>IF(F194&gt;=0,"C","D")</f>
        <v/>
      </c>
    </row>
    <row r="195">
      <c r="A195" s="7" t="n">
        <v>45811</v>
      </c>
      <c r="B195" s="8" t="inlineStr">
        <is>
          <t>VLR ICMS DEST S/ NF 10579 CENTRAL NACIONAL UNIMED - COOPERATIVA CENTRAL - FILIAL 1</t>
        </is>
      </c>
      <c r="C195" s="9" t="n">
        <v>16981</v>
      </c>
      <c r="D195" s="11" t="n"/>
      <c r="E195" s="12" t="n">
        <v>5.6</v>
      </c>
      <c r="F195" s="11">
        <f>F194+E195-D195</f>
        <v/>
      </c>
      <c r="G195" s="9">
        <f>IF(F195&gt;=0,"C","D")</f>
        <v/>
      </c>
    </row>
    <row r="196">
      <c r="A196" s="7" t="n">
        <v>45811</v>
      </c>
      <c r="B196" s="8" t="inlineStr">
        <is>
          <t>VLR ICMS DEST DEB. S/ NF 61586 SANTA CASA DE MISERICORDIA DE VITORIA DA CONQUISTA</t>
        </is>
      </c>
      <c r="C196" s="9" t="n">
        <v>17096</v>
      </c>
      <c r="D196" s="11" t="n"/>
      <c r="E196" s="12" t="n">
        <v>16.5</v>
      </c>
      <c r="F196" s="11">
        <f>F195+E196-D196</f>
        <v/>
      </c>
      <c r="G196" s="9">
        <f>IF(F196&gt;=0,"C","D")</f>
        <v/>
      </c>
    </row>
    <row r="197">
      <c r="A197" s="7" t="n">
        <v>45811</v>
      </c>
      <c r="B197" s="8" t="inlineStr">
        <is>
          <t>VLR ICMS DEST DEB. S/ NF 61587 UNIMED DO SUDOESTE COOPERATIVA DE TRABALHO MEDICO LTDA</t>
        </is>
      </c>
      <c r="C197" s="9" t="n">
        <v>17097</v>
      </c>
      <c r="D197" s="11" t="n"/>
      <c r="E197" s="12" t="n">
        <v>16.5</v>
      </c>
      <c r="F197" s="11">
        <f>F196+E197-D197</f>
        <v/>
      </c>
      <c r="G197" s="9">
        <f>IF(F197&gt;=0,"C","D")</f>
        <v/>
      </c>
    </row>
    <row r="198">
      <c r="A198" s="7" t="n">
        <v>45811</v>
      </c>
      <c r="B198" s="8" t="inlineStr">
        <is>
          <t>VLR ICMS DEST DEB. S/ NF 61605 SANTA CASA DE MISERICORDIA DE VITORIA DA CONQUISTA</t>
        </is>
      </c>
      <c r="C198" s="9" t="n">
        <v>17098</v>
      </c>
      <c r="D198" s="11" t="n"/>
      <c r="E198" s="12" t="n">
        <v>16.5</v>
      </c>
      <c r="F198" s="11">
        <f>F197+E198-D198</f>
        <v/>
      </c>
      <c r="G198" s="9">
        <f>IF(F198&gt;=0,"C","D")</f>
        <v/>
      </c>
    </row>
    <row r="199">
      <c r="A199" s="7" t="n">
        <v>45811</v>
      </c>
      <c r="B199" s="8" t="inlineStr">
        <is>
          <t>VLR ICMS DEST DEB. S/ NF 61610 SANTA CASA DE MISERICORDIA DE VITORIA DA CONQUISTA</t>
        </is>
      </c>
      <c r="C199" s="9" t="n">
        <v>17099</v>
      </c>
      <c r="D199" s="11" t="n"/>
      <c r="E199" s="12" t="n">
        <v>16.5</v>
      </c>
      <c r="F199" s="11">
        <f>F198+E199-D199</f>
        <v/>
      </c>
      <c r="G199" s="9">
        <f>IF(F199&gt;=0,"C","D")</f>
        <v/>
      </c>
    </row>
    <row r="200">
      <c r="A200" s="7" t="n">
        <v>45811</v>
      </c>
      <c r="B200" s="8" t="inlineStr">
        <is>
          <t>VLR ICMS DEST DEB. S/ NF 61638 HBA SA ASSISTENCIA MEDICA E HOSPITALAR</t>
        </is>
      </c>
      <c r="C200" s="9" t="n">
        <v>17100</v>
      </c>
      <c r="D200" s="11" t="n"/>
      <c r="E200" s="12" t="n">
        <v>336.96</v>
      </c>
      <c r="F200" s="11">
        <f>F199+E200-D200</f>
        <v/>
      </c>
      <c r="G200" s="9">
        <f>IF(F200&gt;=0,"C","D")</f>
        <v/>
      </c>
    </row>
    <row r="201">
      <c r="A201" s="7" t="n">
        <v>45811</v>
      </c>
      <c r="B201" s="8" t="inlineStr">
        <is>
          <t>VLR ICMS DEST DEB. S/ NF 61639 HOSPITAL DA FUNDACAO CASA DE CARIDADE DE SAO LOURENCO</t>
        </is>
      </c>
      <c r="C201" s="9" t="n">
        <v>17101</v>
      </c>
      <c r="D201" s="11" t="n"/>
      <c r="E201" s="12" t="n">
        <v>182.7</v>
      </c>
      <c r="F201" s="11">
        <f>F200+E201-D201</f>
        <v/>
      </c>
      <c r="G201" s="9">
        <f>IF(F201&gt;=0,"C","D")</f>
        <v/>
      </c>
    </row>
    <row r="202">
      <c r="A202" s="7" t="n">
        <v>45811</v>
      </c>
      <c r="B202" s="8" t="inlineStr">
        <is>
          <t>VLR ICMS DEST DEB. S/ NF 61651 HOSPITAL CORACAO MUTUIPE LTDA</t>
        </is>
      </c>
      <c r="C202" s="9" t="n">
        <v>17102</v>
      </c>
      <c r="D202" s="11" t="n"/>
      <c r="E202" s="12" t="n">
        <v>16.5</v>
      </c>
      <c r="F202" s="11">
        <f>F201+E202-D202</f>
        <v/>
      </c>
      <c r="G202" s="9">
        <f>IF(F202&gt;=0,"C","D")</f>
        <v/>
      </c>
    </row>
    <row r="203">
      <c r="A203" s="7" t="n">
        <v>45813</v>
      </c>
      <c r="B203" s="8" t="inlineStr">
        <is>
          <t>VLR ICMS DEST DEB. S/ NF 61720 UNIMED DO SUDOESTE COOPERATIVA DE TRABALHO MEDICO LTDA</t>
        </is>
      </c>
      <c r="C203" s="9" t="n">
        <v>17339</v>
      </c>
      <c r="D203" s="11" t="n"/>
      <c r="E203" s="12" t="n">
        <v>16.5</v>
      </c>
      <c r="F203" s="11">
        <f>F202+E203-D203</f>
        <v/>
      </c>
      <c r="G203" s="9">
        <f>IF(F203&gt;=0,"C","D")</f>
        <v/>
      </c>
    </row>
    <row r="204">
      <c r="A204" s="7" t="n">
        <v>45813</v>
      </c>
      <c r="B204" s="8" t="inlineStr">
        <is>
          <t>VLR ICMS DEST DEB. S/ NF 61725 CLINICA ORTOPEDICA E TRAUMATOLOGICA DE NATAL LTDA</t>
        </is>
      </c>
      <c r="C204" s="9" t="n">
        <v>17340</v>
      </c>
      <c r="D204" s="11" t="n"/>
      <c r="E204" s="12" t="n">
        <v>22841.67</v>
      </c>
      <c r="F204" s="11">
        <f>F203+E204-D204</f>
        <v/>
      </c>
      <c r="G204" s="9">
        <f>IF(F204&gt;=0,"C","D")</f>
        <v/>
      </c>
    </row>
    <row r="205">
      <c r="A205" s="7" t="n">
        <v>45814</v>
      </c>
      <c r="B205" s="8" t="inlineStr">
        <is>
          <t>VLR ICMS DEST DEB. S/ NF 61768 Fundacao Felice Rosso</t>
        </is>
      </c>
      <c r="C205" s="9" t="n">
        <v>17564</v>
      </c>
      <c r="D205" s="11" t="n"/>
      <c r="E205" s="12" t="n">
        <v>31304.56</v>
      </c>
      <c r="F205" s="11">
        <f>F204+E205-D205</f>
        <v/>
      </c>
      <c r="G205" s="9">
        <f>IF(F205&gt;=0,"C","D")</f>
        <v/>
      </c>
    </row>
    <row r="206">
      <c r="A206" s="7" t="n">
        <v>45818</v>
      </c>
      <c r="B206" s="8" t="inlineStr">
        <is>
          <t>DEB C/C PG.ICMS REF. 05/2025 - FILIAL 1</t>
        </is>
      </c>
      <c r="C206" s="9" t="n">
        <v>17828</v>
      </c>
      <c r="D206" s="10" t="n">
        <v>5075.26</v>
      </c>
      <c r="E206" s="11" t="n"/>
      <c r="F206" s="11">
        <f>F205+E206-D206</f>
        <v/>
      </c>
      <c r="G206" s="9">
        <f>IF(F206&gt;=0,"C","D")</f>
        <v/>
      </c>
    </row>
    <row r="207">
      <c r="A207" s="7" t="n">
        <v>45819</v>
      </c>
      <c r="B207" s="8" t="inlineStr">
        <is>
          <t>DEB C/C PG. ICMS DIFER. ALÍQUOTA REF. NF 61892 HOSPITAL UNIMED OESTE DO PARA</t>
        </is>
      </c>
      <c r="C207" s="9" t="n">
        <v>17932</v>
      </c>
      <c r="D207" s="10" t="n">
        <v>28350</v>
      </c>
      <c r="E207" s="11" t="n"/>
      <c r="F207" s="11">
        <f>F206+E207-D207</f>
        <v/>
      </c>
      <c r="G207" s="9">
        <f>IF(F207&gt;=0,"C","D")</f>
        <v/>
      </c>
    </row>
    <row r="208">
      <c r="A208" s="7" t="n">
        <v>45819</v>
      </c>
      <c r="B208" s="8" t="inlineStr">
        <is>
          <t>VLR ICMS DEST DEB. S/ NF 61892 HOSPITAL UNIMED OESTE DO PARA</t>
        </is>
      </c>
      <c r="C208" s="9" t="n">
        <v>18059</v>
      </c>
      <c r="D208" s="11" t="n"/>
      <c r="E208" s="12" t="n">
        <v>28350</v>
      </c>
      <c r="F208" s="11">
        <f>F207+E208-D208</f>
        <v/>
      </c>
      <c r="G208" s="9">
        <f>IF(F208&gt;=0,"C","D")</f>
        <v/>
      </c>
    </row>
    <row r="209">
      <c r="A209" s="7" t="n">
        <v>45821</v>
      </c>
      <c r="B209" s="8" t="inlineStr">
        <is>
          <t>DEB C/C PG. ICMS DIFER. ALÍQUOTA REF. NF 61372 UNIMED NATAL SOCIEDADE COOPERATIVA DE TRABALHO MEDICO</t>
        </is>
      </c>
      <c r="C209" s="9" t="n">
        <v>18261</v>
      </c>
      <c r="D209" s="10" t="n">
        <v>22511.16</v>
      </c>
      <c r="E209" s="11" t="n"/>
      <c r="F209" s="11">
        <f>F208+E209-D209</f>
        <v/>
      </c>
      <c r="G209" s="9">
        <f>IF(F209&gt;=0,"C","D")</f>
        <v/>
      </c>
    </row>
    <row r="210">
      <c r="A210" s="7" t="n">
        <v>45821</v>
      </c>
      <c r="B210" s="8" t="inlineStr">
        <is>
          <t>VLR ICMS DEST DEB. S/ NF 61990 Fundacao Felice Rosso</t>
        </is>
      </c>
      <c r="C210" s="9" t="n">
        <v>18303</v>
      </c>
      <c r="D210" s="11" t="n"/>
      <c r="E210" s="12" t="n">
        <v>26924.66</v>
      </c>
      <c r="F210" s="11">
        <f>F209+E210-D210</f>
        <v/>
      </c>
      <c r="G210" s="9">
        <f>IF(F210&gt;=0,"C","D")</f>
        <v/>
      </c>
    </row>
    <row r="211">
      <c r="A211" s="7" t="n">
        <v>45824</v>
      </c>
      <c r="B211" s="8" t="inlineStr">
        <is>
          <t>DEB C/C PG. ICMS DIFER. ALÍQUOTA REF.nf 10278/10389/10390</t>
        </is>
      </c>
      <c r="C211" s="9" t="n">
        <v>18382</v>
      </c>
      <c r="D211" s="10" t="n">
        <v>539.5</v>
      </c>
      <c r="E211" s="11" t="n"/>
      <c r="F211" s="11">
        <f>F210+E211-D211</f>
        <v/>
      </c>
      <c r="G211" s="9">
        <f>IF(F211&gt;=0,"C","D")</f>
        <v/>
      </c>
    </row>
    <row r="212">
      <c r="A212" s="7" t="n">
        <v>45824</v>
      </c>
      <c r="B212" s="8" t="inlineStr">
        <is>
          <t>DEB C/C PG. ICMS DIFER. ALÍQUOTA REF. NF 60545/60546/60549/60635/60811/60854/60939/61012/61145</t>
        </is>
      </c>
      <c r="C212" s="9" t="n">
        <v>18383</v>
      </c>
      <c r="D212" s="10" t="n">
        <v>10742.82</v>
      </c>
      <c r="E212" s="11" t="n"/>
      <c r="F212" s="11">
        <f>F211+E212-D212</f>
        <v/>
      </c>
      <c r="G212" s="9">
        <f>IF(F212&gt;=0,"C","D")</f>
        <v/>
      </c>
    </row>
    <row r="213">
      <c r="A213" s="7" t="n">
        <v>45824</v>
      </c>
      <c r="B213" s="8" t="inlineStr">
        <is>
          <t>DEB C/C PG. ICMS DIFER. ALÍQUOTA REF. NF 61117/61166</t>
        </is>
      </c>
      <c r="C213" s="9" t="n">
        <v>18384</v>
      </c>
      <c r="D213" s="10" t="n">
        <v>1506.94</v>
      </c>
      <c r="E213" s="11" t="n"/>
      <c r="F213" s="11">
        <f>F212+E213-D213</f>
        <v/>
      </c>
      <c r="G213" s="9">
        <f>IF(F213&gt;=0,"C","D")</f>
        <v/>
      </c>
    </row>
    <row r="214">
      <c r="A214" s="7" t="n">
        <v>45824</v>
      </c>
      <c r="B214" s="8" t="inlineStr">
        <is>
          <t>DEB C/C PG. ICMS DIFER. ALÍQUOTA REF. NF 62045 LIANDERSA MIRIA NUNES BORGES</t>
        </is>
      </c>
      <c r="C214" s="9" t="n">
        <v>18385</v>
      </c>
      <c r="D214" s="10" t="n">
        <v>388.64</v>
      </c>
      <c r="E214" s="11" t="n"/>
      <c r="F214" s="11">
        <f>F213+E214-D214</f>
        <v/>
      </c>
      <c r="G214" s="9">
        <f>IF(F214&gt;=0,"C","D")</f>
        <v/>
      </c>
    </row>
    <row r="215">
      <c r="A215" s="7" t="n">
        <v>45824</v>
      </c>
      <c r="B215" s="8" t="inlineStr">
        <is>
          <t>DEB C/C PG. ICMS DIFER. ALÍQUOTA REF. NF 62048 ARTHUR TAPPARO BERNARDON</t>
        </is>
      </c>
      <c r="C215" s="9" t="n">
        <v>18386</v>
      </c>
      <c r="D215" s="10" t="n">
        <v>336.82</v>
      </c>
      <c r="E215" s="11" t="n"/>
      <c r="F215" s="11">
        <f>F214+E215-D215</f>
        <v/>
      </c>
      <c r="G215" s="9">
        <f>IF(F215&gt;=0,"C","D")</f>
        <v/>
      </c>
    </row>
    <row r="216">
      <c r="A216" s="7" t="n">
        <v>45824</v>
      </c>
      <c r="B216" s="8" t="inlineStr">
        <is>
          <t>VLR ICMS DEST DEB. S/ NF 62045 LIANDERSA MIRIA NUNES BORGES</t>
        </is>
      </c>
      <c r="C216" s="9" t="n">
        <v>18476</v>
      </c>
      <c r="D216" s="11" t="n"/>
      <c r="E216" s="12" t="n">
        <v>388.64</v>
      </c>
      <c r="F216" s="11">
        <f>F215+E216-D216</f>
        <v/>
      </c>
      <c r="G216" s="9">
        <f>IF(F216&gt;=0,"C","D")</f>
        <v/>
      </c>
    </row>
    <row r="217">
      <c r="A217" s="7" t="n">
        <v>45824</v>
      </c>
      <c r="B217" s="8" t="inlineStr">
        <is>
          <t>VLR ICMS DEST DEB. S/ NF 62048 ARTHUR TAPPARO BERNARDON</t>
        </is>
      </c>
      <c r="C217" s="9" t="n">
        <v>18477</v>
      </c>
      <c r="D217" s="11" t="n"/>
      <c r="E217" s="12" t="n">
        <v>336.82</v>
      </c>
      <c r="F217" s="11">
        <f>F216+E217-D217</f>
        <v/>
      </c>
      <c r="G217" s="9">
        <f>IF(F217&gt;=0,"C","D")</f>
        <v/>
      </c>
    </row>
    <row r="218">
      <c r="A218" s="7" t="n">
        <v>45826</v>
      </c>
      <c r="B218" s="8" t="inlineStr">
        <is>
          <t>DEB C/C PG. ICMS DIFER. ALÍQUOTA REF. NF 62150 SAMEDIL - SERVICOS DE ATENDIMENTO MEDICO S/A</t>
        </is>
      </c>
      <c r="C218" s="9" t="n">
        <v>18790</v>
      </c>
      <c r="D218" s="10" t="n">
        <v>307.68</v>
      </c>
      <c r="E218" s="11" t="n"/>
      <c r="F218" s="11">
        <f>F217+E218-D218</f>
        <v/>
      </c>
      <c r="G218" s="9">
        <f>IF(F218&gt;=0,"C","D")</f>
        <v/>
      </c>
    </row>
    <row r="219">
      <c r="A219" s="7" t="n">
        <v>45826</v>
      </c>
      <c r="B219" s="8" t="inlineStr">
        <is>
          <t>VLR ICMS DEST DEB. S/ NF 10769 UNIMED SEGUROS SAUDE S/A - FILIAL 1</t>
        </is>
      </c>
      <c r="C219" s="9" t="n">
        <v>18874</v>
      </c>
      <c r="D219" s="11" t="n"/>
      <c r="E219" s="12" t="n">
        <v>452.2</v>
      </c>
      <c r="F219" s="11">
        <f>F218+E219-D219</f>
        <v/>
      </c>
      <c r="G219" s="9">
        <f>IF(F219&gt;=0,"C","D")</f>
        <v/>
      </c>
    </row>
    <row r="220">
      <c r="A220" s="7" t="n">
        <v>45826</v>
      </c>
      <c r="B220" s="8" t="inlineStr">
        <is>
          <t>VLR ICMS DEST DEB. S/ NF 62121 UNIMED CURITIBA - SOCIEDADE COOPERATIVA DE MEDICOS</t>
        </is>
      </c>
      <c r="C220" s="9" t="n">
        <v>18945</v>
      </c>
      <c r="D220" s="11" t="n"/>
      <c r="E220" s="12" t="n">
        <v>4727.5</v>
      </c>
      <c r="F220" s="11">
        <f>F219+E220-D220</f>
        <v/>
      </c>
      <c r="G220" s="9">
        <f>IF(F220&gt;=0,"C","D")</f>
        <v/>
      </c>
    </row>
    <row r="221">
      <c r="A221" s="7" t="n">
        <v>45826</v>
      </c>
      <c r="B221" s="8" t="inlineStr">
        <is>
          <t>VLR ICMS DEST DEB. S/ NF 62150 SAMEDIL - SERVICOS DE ATENDIMENTO MEDICO S/A</t>
        </is>
      </c>
      <c r="C221" s="9" t="n">
        <v>18946</v>
      </c>
      <c r="D221" s="11" t="n"/>
      <c r="E221" s="12" t="n">
        <v>307.68</v>
      </c>
      <c r="F221" s="11">
        <f>F220+E221-D221</f>
        <v/>
      </c>
      <c r="G221" s="9">
        <f>IF(F221&gt;=0,"C","D")</f>
        <v/>
      </c>
    </row>
    <row r="222">
      <c r="A222" s="7" t="n">
        <v>45828</v>
      </c>
      <c r="B222" s="8" t="inlineStr">
        <is>
          <t>DEB C/C PG.ICMS REF. 05/2025</t>
        </is>
      </c>
      <c r="C222" s="9" t="n">
        <v>19086</v>
      </c>
      <c r="D222" s="10" t="n">
        <v>35733.75</v>
      </c>
      <c r="E222" s="11" t="n"/>
      <c r="F222" s="11">
        <f>F221+E222-D222</f>
        <v/>
      </c>
      <c r="G222" s="9">
        <f>IF(F222&gt;=0,"C","D")</f>
        <v/>
      </c>
    </row>
    <row r="223">
      <c r="A223" s="7" t="n">
        <v>45828</v>
      </c>
      <c r="B223" s="8" t="inlineStr">
        <is>
          <t>VLR ICMS DEST DEB. S/ NF 62204 HBA SA ASSISTENCIA MEDICA E HOSPITALAR</t>
        </is>
      </c>
      <c r="C223" s="9" t="n">
        <v>19143</v>
      </c>
      <c r="D223" s="11" t="n"/>
      <c r="E223" s="12" t="n">
        <v>7.43</v>
      </c>
      <c r="F223" s="11">
        <f>F222+E223-D223</f>
        <v/>
      </c>
      <c r="G223" s="9">
        <f>IF(F223&gt;=0,"C","D")</f>
        <v/>
      </c>
    </row>
    <row r="224">
      <c r="A224" s="7" t="n">
        <v>45831</v>
      </c>
      <c r="B224" s="8" t="inlineStr">
        <is>
          <t>VLR ICMS DEST DEB. S/ NF 62234 TAISSA DE OLIVEIRA PRASERES</t>
        </is>
      </c>
      <c r="C224" s="9" t="n">
        <v>19321</v>
      </c>
      <c r="D224" s="11" t="n"/>
      <c r="E224" s="12" t="n">
        <v>495</v>
      </c>
      <c r="F224" s="11">
        <f>F223+E224-D224</f>
        <v/>
      </c>
      <c r="G224" s="9">
        <f>IF(F224&gt;=0,"C","D")</f>
        <v/>
      </c>
    </row>
    <row r="225">
      <c r="A225" s="7" t="n">
        <v>45838</v>
      </c>
      <c r="B225" s="8" t="inlineStr">
        <is>
          <t>DEB C/C PG. ICMS DIFER. ALÍQUOTA REF. NF 62483 UNIMED CARUARU COOPERATIVA DE TRABALHO MEDICO</t>
        </is>
      </c>
      <c r="C225" s="9" t="n">
        <v>20041</v>
      </c>
      <c r="D225" s="10" t="n">
        <v>82.5</v>
      </c>
      <c r="E225" s="11" t="n"/>
      <c r="F225" s="11">
        <f>F224+E225-D225</f>
        <v/>
      </c>
      <c r="G225" s="9">
        <f>IF(F225&gt;=0,"C","D")</f>
        <v/>
      </c>
    </row>
    <row r="226">
      <c r="A226" s="7" t="n">
        <v>45838</v>
      </c>
      <c r="B226" s="8" t="inlineStr">
        <is>
          <t>VLR ICMS DEST DEB. S/ NF 62483 UNIMED CARUARU COOPERATIVA DE TRABALHO MEDICO</t>
        </is>
      </c>
      <c r="C226" s="9" t="n">
        <v>20162</v>
      </c>
      <c r="D226" s="11" t="n"/>
      <c r="E226" s="12" t="n">
        <v>82.5</v>
      </c>
      <c r="F226" s="11">
        <f>F225+E226-D226</f>
        <v/>
      </c>
      <c r="G226" s="9">
        <f>IF(F226&gt;=0,"C","D")</f>
        <v/>
      </c>
    </row>
    <row r="227">
      <c r="A227" s="7" t="n">
        <v>45838</v>
      </c>
      <c r="B227" s="8" t="inlineStr">
        <is>
          <t>TRANSF. SALDO DEVEDOR ICMS DO MÊS</t>
        </is>
      </c>
      <c r="C227" s="9" t="n">
        <v>20176</v>
      </c>
      <c r="D227" s="11" t="n"/>
      <c r="E227" s="12" t="n">
        <v>4144.52</v>
      </c>
      <c r="F227" s="11">
        <f>F226+E227-D227</f>
        <v/>
      </c>
      <c r="G227" s="9">
        <f>IF(F227&gt;=0,"C","D")</f>
        <v/>
      </c>
    </row>
    <row r="228">
      <c r="A228" s="7" t="n">
        <v>45838</v>
      </c>
      <c r="B228" s="8" t="inlineStr">
        <is>
          <t>TRANSF. SALDO DEVEDOR ICMS DO MÊS FILIAL 1</t>
        </is>
      </c>
      <c r="C228" s="9" t="n">
        <v>20177</v>
      </c>
      <c r="D228" s="11" t="n"/>
      <c r="E228" s="12" t="n">
        <v>24766.22</v>
      </c>
      <c r="F228" s="11">
        <f>F227+E228-D228</f>
        <v/>
      </c>
      <c r="G228" s="9">
        <f>IF(F228&gt;=0,"C","D")</f>
        <v/>
      </c>
    </row>
    <row r="229">
      <c r="A229" s="7" t="n">
        <v>45839</v>
      </c>
      <c r="B229" s="8" t="inlineStr">
        <is>
          <t>VLR ICMS DEST DEB. S/ NF 62560 Fundacao Felice Rosso</t>
        </is>
      </c>
      <c r="C229" s="9" t="n">
        <v>20314</v>
      </c>
      <c r="D229" s="11" t="n"/>
      <c r="E229" s="12" t="n">
        <v>32452.56</v>
      </c>
      <c r="F229" s="11">
        <f>F228+E229-D229</f>
        <v/>
      </c>
      <c r="G229" s="9">
        <f>IF(F229&gt;=0,"C","D")</f>
        <v/>
      </c>
    </row>
    <row r="230">
      <c r="A230" s="7" t="n">
        <v>45842</v>
      </c>
      <c r="B230" s="8" t="inlineStr">
        <is>
          <t>VLR ICMS DEST DEB. S/ NF 10932 SAMEDIL - SERVICOS DE ATENDIMENTO MEDICO S/A - FILIAL 1</t>
        </is>
      </c>
      <c r="C230" s="9" t="n">
        <v>20703</v>
      </c>
      <c r="D230" s="11" t="n"/>
      <c r="E230" s="12" t="n">
        <v>313.4</v>
      </c>
      <c r="F230" s="11">
        <f>F229+E230-D230</f>
        <v/>
      </c>
      <c r="G230" s="9">
        <f>IF(F230&gt;=0,"C","D")</f>
        <v/>
      </c>
    </row>
    <row r="231">
      <c r="A231" s="7" t="n">
        <v>45842</v>
      </c>
      <c r="B231" s="8" t="inlineStr">
        <is>
          <t>VLR ICMS DEST DEB. S/ NF 10933 SAMEDIL - SERVICOS DE ATENDIMENTO MEDICO S/A - FILIAL 1</t>
        </is>
      </c>
      <c r="C231" s="9" t="n">
        <v>20704</v>
      </c>
      <c r="D231" s="11" t="n"/>
      <c r="E231" s="12" t="n">
        <v>441.22</v>
      </c>
      <c r="F231" s="11">
        <f>F230+E231-D231</f>
        <v/>
      </c>
      <c r="G231" s="9">
        <f>IF(F231&gt;=0,"C","D")</f>
        <v/>
      </c>
    </row>
    <row r="232">
      <c r="A232" s="7" t="n">
        <v>45842</v>
      </c>
      <c r="B232" s="8" t="inlineStr">
        <is>
          <t>DEB C/C PG.ICMS DIFER. ALÍQUOTA REF. NF 10932 SAMEDIL - SERVICOS DE</t>
        </is>
      </c>
      <c r="C232" s="9" t="n">
        <v>20757</v>
      </c>
      <c r="D232" s="10" t="n">
        <v>313.4</v>
      </c>
      <c r="E232" s="11" t="n"/>
      <c r="F232" s="11">
        <f>F231+E232-D232</f>
        <v/>
      </c>
      <c r="G232" s="9">
        <f>IF(F232&gt;=0,"C","D")</f>
        <v/>
      </c>
    </row>
    <row r="233">
      <c r="A233" s="7" t="n">
        <v>45842</v>
      </c>
      <c r="B233" s="8" t="inlineStr">
        <is>
          <t>DEB C/C PG.ICMS DIFER. ALÍQUOTA REF. 10933 SAMEDIL - SERVICOS DE ATENDIMENTO MEDICO S/A - FILIAL 1</t>
        </is>
      </c>
      <c r="C233" s="9" t="n">
        <v>20758</v>
      </c>
      <c r="D233" s="10" t="n">
        <v>441.22</v>
      </c>
      <c r="E233" s="11" t="n"/>
      <c r="F233" s="11">
        <f>F232+E233-D233</f>
        <v/>
      </c>
      <c r="G233" s="9">
        <f>IF(F233&gt;=0,"C","D")</f>
        <v/>
      </c>
    </row>
    <row r="234">
      <c r="A234" s="7" t="n">
        <v>45845</v>
      </c>
      <c r="B234" s="8" t="inlineStr">
        <is>
          <t>VLR ICMS DEST DEB. S/ NF 62746 Rede Primavera - Assistencia Medica Hospitalar Ltda</t>
        </is>
      </c>
      <c r="C234" s="9" t="n">
        <v>20877</v>
      </c>
      <c r="D234" s="11" t="n"/>
      <c r="E234" s="12" t="n">
        <v>1905</v>
      </c>
      <c r="F234" s="11">
        <f>F233+E234-D234</f>
        <v/>
      </c>
      <c r="G234" s="9">
        <f>IF(F234&gt;=0,"C","D")</f>
        <v/>
      </c>
    </row>
    <row r="235">
      <c r="A235" s="7" t="n">
        <v>45845</v>
      </c>
      <c r="B235" s="8" t="inlineStr">
        <is>
          <t>DEB C/C PG.ICMS DIFER. ALÍQUOTA REF. 62746 Rede Primavera - Assistencia Medica Hospitalar Ltda</t>
        </is>
      </c>
      <c r="C235" s="9" t="n">
        <v>20917</v>
      </c>
      <c r="D235" s="10" t="n">
        <v>1905</v>
      </c>
      <c r="E235" s="11" t="n"/>
      <c r="F235" s="11">
        <f>F234+E235-D235</f>
        <v/>
      </c>
      <c r="G235" s="9">
        <f>IF(F235&gt;=0,"C","D")</f>
        <v/>
      </c>
    </row>
    <row r="236">
      <c r="A236" s="7" t="n">
        <v>45848</v>
      </c>
      <c r="B236" s="8" t="inlineStr">
        <is>
          <t>DEB C/C PG.ICMS REF. 06/2025 - FILIAL 1</t>
        </is>
      </c>
      <c r="C236" s="9" t="n">
        <v>21310</v>
      </c>
      <c r="D236" s="10" t="n">
        <v>28175.53</v>
      </c>
      <c r="E236" s="11" t="n"/>
      <c r="F236" s="11">
        <f>F235+E236-D236</f>
        <v/>
      </c>
      <c r="G236" s="9">
        <f>IF(F236&gt;=0,"C","D")</f>
        <v/>
      </c>
    </row>
    <row r="237">
      <c r="A237" s="7" t="n">
        <v>45848</v>
      </c>
      <c r="B237" s="8" t="inlineStr">
        <is>
          <t>VLR ICMS REF 06/2025 FILIAL 1 - PAGO A MAIOR - VLR ORIGINAL 24.766,22 - VALOR PG 28.175,53</t>
        </is>
      </c>
      <c r="C237" s="9" t="n">
        <v>21314</v>
      </c>
      <c r="D237" s="11" t="n"/>
      <c r="E237" s="12" t="n">
        <v>3409.31</v>
      </c>
      <c r="F237" s="11">
        <f>F236+E237-D237</f>
        <v/>
      </c>
      <c r="G237" s="9">
        <f>IF(F237&gt;=0,"C","D")</f>
        <v/>
      </c>
    </row>
    <row r="238">
      <c r="A238" s="7" t="n">
        <v>45852</v>
      </c>
      <c r="B238" s="8" t="inlineStr">
        <is>
          <t>VLR ICMS DEST S/ NF 11031 SAMEDIL - SERVICOS DE ATENDIMENTO MEDICO S/A - FILIAL 1</t>
        </is>
      </c>
      <c r="C238" s="9" t="n">
        <v>21521</v>
      </c>
      <c r="D238" s="11" t="n"/>
      <c r="E238" s="12" t="n">
        <v>441.22</v>
      </c>
      <c r="F238" s="11">
        <f>F237+E238-D238</f>
        <v/>
      </c>
      <c r="G238" s="9">
        <f>IF(F238&gt;=0,"C","D")</f>
        <v/>
      </c>
    </row>
    <row r="239">
      <c r="A239" s="7" t="n">
        <v>45852</v>
      </c>
      <c r="B239" s="8" t="inlineStr">
        <is>
          <t>VLR ICMS DEST DEB. S/ NF 62891 SAMEDIL - SERVICOS DE ATENDIMENTO MEDICO S/A</t>
        </is>
      </c>
      <c r="C239" s="9" t="n">
        <v>21607</v>
      </c>
      <c r="D239" s="11" t="n"/>
      <c r="E239" s="12" t="n">
        <v>435.76</v>
      </c>
      <c r="F239" s="11">
        <f>F238+E239-D239</f>
        <v/>
      </c>
      <c r="G239" s="9">
        <f>IF(F239&gt;=0,"C","D")</f>
        <v/>
      </c>
    </row>
    <row r="240">
      <c r="A240" s="7" t="n">
        <v>45852</v>
      </c>
      <c r="B240" s="8" t="inlineStr">
        <is>
          <t>DEB C/C PG.ICMS DIFER. ALÍQUOTA REF. 62891 SAMEDIL - SERVICOS DE ATENDIMENTO MEDICO S/A</t>
        </is>
      </c>
      <c r="C240" s="9" t="n">
        <v>21666</v>
      </c>
      <c r="D240" s="10" t="n">
        <v>435.76</v>
      </c>
      <c r="E240" s="11" t="n"/>
      <c r="F240" s="11">
        <f>F239+E240-D240</f>
        <v/>
      </c>
      <c r="G240" s="9">
        <f>IF(F240&gt;=0,"C","D")</f>
        <v/>
      </c>
    </row>
    <row r="241">
      <c r="A241" s="7" t="n">
        <v>45852</v>
      </c>
      <c r="B241" s="8" t="inlineStr">
        <is>
          <t>DEB C/C PG.ICMS DIFER. ALÍQUOTA REF. 11031 SAMEDIL - SERVICOS DE ATENDIMENTO MEDICO S/A - FILIAL 1</t>
        </is>
      </c>
      <c r="C241" s="9" t="n">
        <v>21668</v>
      </c>
      <c r="D241" s="10" t="n">
        <v>441.22</v>
      </c>
      <c r="E241" s="11" t="n"/>
      <c r="F241" s="11">
        <f>F240+E241-D241</f>
        <v/>
      </c>
      <c r="G241" s="9">
        <f>IF(F241&gt;=0,"C","D")</f>
        <v/>
      </c>
    </row>
    <row r="242">
      <c r="A242" s="7" t="n">
        <v>45853</v>
      </c>
      <c r="B242" s="8" t="inlineStr">
        <is>
          <t>DEB C/C PG.ICMS DIFER. ALÍQUOTA REF. 62121 UNIMED CURITIBA - SOCIEDADE COOPERATIVA DE MEDICOS</t>
        </is>
      </c>
      <c r="C242" s="9" t="n">
        <v>21813</v>
      </c>
      <c r="D242" s="10" t="n">
        <v>4727.5</v>
      </c>
      <c r="E242" s="11" t="n"/>
      <c r="F242" s="11">
        <f>F241+E242-D242</f>
        <v/>
      </c>
      <c r="G242" s="9">
        <f>IF(F242&gt;=0,"C","D")</f>
        <v/>
      </c>
    </row>
    <row r="243">
      <c r="A243" s="7" t="n">
        <v>45853</v>
      </c>
      <c r="B243" s="8" t="inlineStr">
        <is>
          <t>DEB C/C PG.ICMS DIFER. ALÍQUOTA REF. 10523-10575-10579-10769</t>
        </is>
      </c>
      <c r="C243" s="9" t="n">
        <v>21814</v>
      </c>
      <c r="D243" s="10" t="n">
        <v>533.4</v>
      </c>
      <c r="E243" s="11" t="n"/>
      <c r="F243" s="11">
        <f>F242+E243-D243</f>
        <v/>
      </c>
      <c r="G243" s="9">
        <f>IF(F243&gt;=0,"C","D")</f>
        <v/>
      </c>
    </row>
    <row r="244">
      <c r="A244" s="7" t="n">
        <v>45853</v>
      </c>
      <c r="B244" s="8" t="inlineStr">
        <is>
          <t>DEB C/C PG.ICMS DIFER. ALÍQUOTA REF. 61639-61768-61990</t>
        </is>
      </c>
      <c r="C244" s="9" t="n">
        <v>21815</v>
      </c>
      <c r="D244" s="10" t="n">
        <v>58411.92</v>
      </c>
      <c r="E244" s="11" t="n"/>
      <c r="F244" s="11">
        <f>F243+E244-D244</f>
        <v/>
      </c>
      <c r="G244" s="9">
        <f>IF(F244&gt;=0,"C","D")</f>
        <v/>
      </c>
    </row>
    <row r="245">
      <c r="A245" s="7" t="n">
        <v>45853</v>
      </c>
      <c r="B245" s="8" t="inlineStr">
        <is>
          <t>DEB C/C PG.ICMS DIFER. ALÍQUOTA REF. 61725 CLINICA ORTOPEDICA E TRAUMATOLOGICA DE NATAL LTDA</t>
        </is>
      </c>
      <c r="C245" s="9" t="n">
        <v>21816</v>
      </c>
      <c r="D245" s="10" t="n">
        <v>22841.67</v>
      </c>
      <c r="E245" s="11" t="n"/>
      <c r="F245" s="11">
        <f>F244+E245-D245</f>
        <v/>
      </c>
      <c r="G245" s="9">
        <f>IF(F245&gt;=0,"C","D")</f>
        <v/>
      </c>
    </row>
    <row r="246">
      <c r="A246" s="7" t="n">
        <v>45853</v>
      </c>
      <c r="B246" s="8" t="inlineStr">
        <is>
          <t>DEB C/C PG.ICMS DIFER. ALÍQUOTA REF. 61434 RODRIGO FILGUEIRA DE ARAUJO</t>
        </is>
      </c>
      <c r="C246" s="9" t="n">
        <v>21817</v>
      </c>
      <c r="D246" s="10" t="n">
        <v>419.93</v>
      </c>
      <c r="E246" s="11" t="n"/>
      <c r="F246" s="11">
        <f>F245+E246-D246</f>
        <v/>
      </c>
      <c r="G246" s="9">
        <f>IF(F246&gt;=0,"C","D")</f>
        <v/>
      </c>
    </row>
    <row r="247">
      <c r="A247" s="7" t="n">
        <v>45853</v>
      </c>
      <c r="B247" s="8" t="inlineStr">
        <is>
          <t>DEB C/C PG.ICMS DIFER. ALÍQUOTA REF. NF 61471-61501-61502-61524- 61535-61558-61586-61587-61605-61610-61638-61651-61720-62204-62234</t>
        </is>
      </c>
      <c r="C247" s="9" t="n">
        <v>21819</v>
      </c>
      <c r="D247" s="10" t="n">
        <v>3176.71</v>
      </c>
      <c r="E247" s="11" t="n"/>
      <c r="F247" s="11">
        <f>F246+E247-D247</f>
        <v/>
      </c>
      <c r="G247" s="9">
        <f>IF(F247&gt;=0,"C","D")</f>
        <v/>
      </c>
    </row>
    <row r="248">
      <c r="A248" s="7" t="n">
        <v>45854</v>
      </c>
      <c r="B248" s="8" t="inlineStr">
        <is>
          <t>VLR ICMS DEST DEB. S/ NF 63024 HOSPITAL DA FUNDACAO CASA DE CARIDADE DE SAO LOURENCO</t>
        </is>
      </c>
      <c r="C248" s="9" t="n">
        <v>22068</v>
      </c>
      <c r="D248" s="11" t="n"/>
      <c r="E248" s="12" t="n">
        <v>287.1</v>
      </c>
      <c r="F248" s="11">
        <f>F247+E248-D248</f>
        <v/>
      </c>
      <c r="G248" s="9">
        <f>IF(F248&gt;=0,"C","D")</f>
        <v/>
      </c>
    </row>
    <row r="249">
      <c r="A249" s="7" t="n">
        <v>45855</v>
      </c>
      <c r="B249" s="8" t="inlineStr">
        <is>
          <t>VLR ICMS DEST S/ NF 11088 CENTRAL NACIONAL UNIMED - COOPERATIVA CENTRAL - FILIAL 1</t>
        </is>
      </c>
      <c r="C249" s="9" t="n">
        <v>22201</v>
      </c>
      <c r="D249" s="11" t="n"/>
      <c r="E249" s="12" t="n">
        <v>112</v>
      </c>
      <c r="F249" s="11">
        <f>F248+E249-D249</f>
        <v/>
      </c>
      <c r="G249" s="9">
        <f>IF(F249&gt;=0,"C","D")</f>
        <v/>
      </c>
    </row>
    <row r="250">
      <c r="A250" s="7" t="n">
        <v>45856</v>
      </c>
      <c r="B250" s="8" t="inlineStr">
        <is>
          <t>VLR ICMS DEST DEB. S/ NF 11113 SAMEDIL - SERVICOS DE ATENDIMENTO MEDICO S/A - FILIAL 1</t>
        </is>
      </c>
      <c r="C250" s="9" t="n">
        <v>22378</v>
      </c>
      <c r="D250" s="11" t="n"/>
      <c r="E250" s="12" t="n">
        <v>441.22</v>
      </c>
      <c r="F250" s="11">
        <f>F249+E250-D250</f>
        <v/>
      </c>
      <c r="G250" s="9">
        <f>IF(F250&gt;=0,"C","D")</f>
        <v/>
      </c>
    </row>
    <row r="251">
      <c r="A251" s="7" t="n">
        <v>45856</v>
      </c>
      <c r="B251" s="8" t="inlineStr">
        <is>
          <t>VLR ICMS DEST DEB. S/ NF 63107 UNIMED DO SUDOESTE COOPERATIVA DE TRABALHO MEDICO LTDA</t>
        </is>
      </c>
      <c r="C251" s="9" t="n">
        <v>22403</v>
      </c>
      <c r="D251" s="11" t="n"/>
      <c r="E251" s="12" t="n">
        <v>16.5</v>
      </c>
      <c r="F251" s="11">
        <f>F250+E251-D251</f>
        <v/>
      </c>
      <c r="G251" s="9">
        <f>IF(F251&gt;=0,"C","D")</f>
        <v/>
      </c>
    </row>
    <row r="252">
      <c r="A252" s="7" t="n">
        <v>45856</v>
      </c>
      <c r="B252" s="8" t="inlineStr">
        <is>
          <t>VLR ICMS DEST DEB. S/ NF 63109 UNIMED DO SUDOESTE COOPERATIVA DE TRABALHO MEDICO LTDA</t>
        </is>
      </c>
      <c r="C252" s="9" t="n">
        <v>22404</v>
      </c>
      <c r="D252" s="11" t="n"/>
      <c r="E252" s="12" t="n">
        <v>16.5</v>
      </c>
      <c r="F252" s="11">
        <f>F251+E252-D252</f>
        <v/>
      </c>
      <c r="G252" s="9">
        <f>IF(F252&gt;=0,"C","D")</f>
        <v/>
      </c>
    </row>
    <row r="253">
      <c r="A253" s="7" t="n">
        <v>45856</v>
      </c>
      <c r="B253" s="8" t="inlineStr">
        <is>
          <t>VLR ICMS DEST DEB. S/ NF 63112 UNIMED DO SUDOESTE COOPERATIVA DE TRABALHO MEDICO LTDA</t>
        </is>
      </c>
      <c r="C253" s="9" t="n">
        <v>22405</v>
      </c>
      <c r="D253" s="11" t="n"/>
      <c r="E253" s="12" t="n">
        <v>16.5</v>
      </c>
      <c r="F253" s="11">
        <f>F252+E253-D253</f>
        <v/>
      </c>
      <c r="G253" s="9">
        <f>IF(F253&gt;=0,"C","D")</f>
        <v/>
      </c>
    </row>
    <row r="254">
      <c r="A254" s="7" t="n">
        <v>45856</v>
      </c>
      <c r="B254" s="8" t="inlineStr">
        <is>
          <t>DEB C/C PG.ICMS REF. 06/2025 - MATRIZ</t>
        </is>
      </c>
      <c r="C254" s="9" t="n">
        <v>22472</v>
      </c>
      <c r="D254" s="10" t="n">
        <v>4144.52</v>
      </c>
      <c r="E254" s="11" t="n"/>
      <c r="F254" s="11">
        <f>F253+E254-D254</f>
        <v/>
      </c>
      <c r="G254" s="9">
        <f>IF(F254&gt;=0,"C","D")</f>
        <v/>
      </c>
    </row>
    <row r="255">
      <c r="A255" s="7" t="n">
        <v>45856</v>
      </c>
      <c r="B255" s="8" t="inlineStr">
        <is>
          <t>DEB C/C PG.ICMS DIFER. ALÍQUOTA REF. 11113 SAMEDIL - SERVICOS DE ATENDIMENTO MEDICO S/A - FILIAL 1</t>
        </is>
      </c>
      <c r="C255" s="9" t="n">
        <v>22473</v>
      </c>
      <c r="D255" s="10" t="n">
        <v>441.22</v>
      </c>
      <c r="E255" s="11" t="n"/>
      <c r="F255" s="11">
        <f>F254+E255-D255</f>
        <v/>
      </c>
      <c r="G255" s="9">
        <f>IF(F255&gt;=0,"C","D")</f>
        <v/>
      </c>
    </row>
    <row r="256">
      <c r="A256" s="7" t="n">
        <v>45859</v>
      </c>
      <c r="B256" s="8" t="inlineStr">
        <is>
          <t>VLR ICMS DEST DEB. S/ NF 63125 UNIMED DO SUDOESTE COOPERATIVA DE TRABALHO MEDICO LTDA</t>
        </is>
      </c>
      <c r="C256" s="9" t="n">
        <v>22623</v>
      </c>
      <c r="D256" s="11" t="n"/>
      <c r="E256" s="12" t="n">
        <v>1930.5</v>
      </c>
      <c r="F256" s="11">
        <f>F255+E256-D256</f>
        <v/>
      </c>
      <c r="G256" s="9">
        <f>IF(F256&gt;=0,"C","D")</f>
        <v/>
      </c>
    </row>
    <row r="257">
      <c r="A257" s="7" t="n">
        <v>45859</v>
      </c>
      <c r="B257" s="8" t="inlineStr">
        <is>
          <t>VLR ICMS DEST DEB. S/ NF 63126 UNIMED DO SUDOESTE COOPERATIVA DE TRABALHO MEDICO LTDA</t>
        </is>
      </c>
      <c r="C257" s="9" t="n">
        <v>22624</v>
      </c>
      <c r="D257" s="11" t="n"/>
      <c r="E257" s="12" t="n">
        <v>1930.5</v>
      </c>
      <c r="F257" s="11">
        <f>F256+E257-D257</f>
        <v/>
      </c>
      <c r="G257" s="9">
        <f>IF(F257&gt;=0,"C","D")</f>
        <v/>
      </c>
    </row>
    <row r="258">
      <c r="A258" s="7" t="n">
        <v>45859</v>
      </c>
      <c r="B258" s="8" t="inlineStr">
        <is>
          <t>VLR ICMS DEST DEB. S/ NF 63128 UNIMED DO SUDOESTE COOPERATIVA DE TRABALHO MEDICO LTDA</t>
        </is>
      </c>
      <c r="C258" s="9" t="n">
        <v>22625</v>
      </c>
      <c r="D258" s="11" t="n"/>
      <c r="E258" s="12" t="n">
        <v>1930.5</v>
      </c>
      <c r="F258" s="11">
        <f>F257+E258-D258</f>
        <v/>
      </c>
      <c r="G258" s="9">
        <f>IF(F258&gt;=0,"C","D")</f>
        <v/>
      </c>
    </row>
    <row r="259">
      <c r="A259" s="7" t="n">
        <v>45861</v>
      </c>
      <c r="B259" s="8" t="inlineStr">
        <is>
          <t>VLR ICMS DEST DEB. S/ NF 63227 UNIMED NORTE MATO GROSSO COOPERATIVA TRABALHO MEDICO</t>
        </is>
      </c>
      <c r="C259" s="9" t="n">
        <v>22903</v>
      </c>
      <c r="D259" s="11" t="n"/>
      <c r="E259" s="12" t="n">
        <v>24960</v>
      </c>
      <c r="F259" s="11">
        <f>F258+E259-D259</f>
        <v/>
      </c>
      <c r="G259" s="9">
        <f>IF(F259&gt;=0,"C","D")</f>
        <v/>
      </c>
    </row>
    <row r="260">
      <c r="A260" s="7" t="n">
        <v>45866</v>
      </c>
      <c r="B260" s="8" t="inlineStr">
        <is>
          <t>VLR ICMS DEST DEB. S/ NF 11175 SAMEDIL - SERVICOS DE ATENDIMENTO MEDICO S/A - FILIAL 1</t>
        </is>
      </c>
      <c r="C260" s="9" t="n">
        <v>23269</v>
      </c>
      <c r="D260" s="11" t="n"/>
      <c r="E260" s="12" t="n">
        <v>5.46</v>
      </c>
      <c r="F260" s="11">
        <f>F259+E260-D260</f>
        <v/>
      </c>
      <c r="G260" s="9">
        <f>IF(F260&gt;=0,"C","D")</f>
        <v/>
      </c>
    </row>
    <row r="261">
      <c r="A261" s="7" t="n">
        <v>45866</v>
      </c>
      <c r="B261" s="8" t="inlineStr">
        <is>
          <t>VLR ICMS DEST DEB. S/ NF 63372 UNIMED DO SUDOESTE COOPERATIVA DE TRABALHO MEDICO LTDA</t>
        </is>
      </c>
      <c r="C261" s="9" t="n">
        <v>23319</v>
      </c>
      <c r="D261" s="11" t="n"/>
      <c r="E261" s="12" t="n">
        <v>16.5</v>
      </c>
      <c r="F261" s="11">
        <f>F260+E261-D261</f>
        <v/>
      </c>
      <c r="G261" s="9">
        <f>IF(F261&gt;=0,"C","D")</f>
        <v/>
      </c>
    </row>
    <row r="262">
      <c r="A262" s="7" t="n">
        <v>45866</v>
      </c>
      <c r="B262" s="8" t="inlineStr">
        <is>
          <t>VLR ICMS DEST DEB. S/ NF 63376 UNIMED DO SUDOESTE COOPERATIVA DE TRABALHO MEDICO LTDA</t>
        </is>
      </c>
      <c r="C262" s="9" t="n">
        <v>23320</v>
      </c>
      <c r="D262" s="11" t="n"/>
      <c r="E262" s="12" t="n">
        <v>1930.5</v>
      </c>
      <c r="F262" s="11">
        <f>F261+E262-D262</f>
        <v/>
      </c>
      <c r="G262" s="9">
        <f>IF(F262&gt;=0,"C","D")</f>
        <v/>
      </c>
    </row>
    <row r="263">
      <c r="A263" s="7" t="n">
        <v>45866</v>
      </c>
      <c r="B263" s="8" t="inlineStr">
        <is>
          <t>DEB C/C PG.ICMS DIFER. ALÍQUOTA REF. 11175 SAMEDIL - SERVICOS DE ATENDIMENTO MEDICO S/A - FILIAL 1</t>
        </is>
      </c>
      <c r="C263" s="9" t="n">
        <v>23380</v>
      </c>
      <c r="D263" s="10" t="n">
        <v>5.46</v>
      </c>
      <c r="E263" s="11" t="n"/>
      <c r="F263" s="11">
        <f>F262+E263-D263</f>
        <v/>
      </c>
      <c r="G263" s="9">
        <f>IF(F263&gt;=0,"C","D")</f>
        <v/>
      </c>
    </row>
    <row r="264">
      <c r="A264" s="7" t="n">
        <v>45866</v>
      </c>
      <c r="B264" s="8" t="inlineStr">
        <is>
          <t>DEB C/C PG.ICMS DIFER. ALÍQUOTA REF. 9907 SAMEDIL - SERVICOS DE ATENDIMENTO MEDICO S/A - FILIAL 1</t>
        </is>
      </c>
      <c r="C264" s="9" t="n">
        <v>23381</v>
      </c>
      <c r="D264" s="10" t="n">
        <v>319.76</v>
      </c>
      <c r="E264" s="11" t="n"/>
      <c r="F264" s="11">
        <f>F263+E264-D264</f>
        <v/>
      </c>
      <c r="G264" s="9">
        <f>IF(F264&gt;=0,"C","D")</f>
        <v/>
      </c>
    </row>
    <row r="265">
      <c r="A265" s="7" t="n">
        <v>45866</v>
      </c>
      <c r="B265" s="8" t="inlineStr">
        <is>
          <t>DEB C/C PG.ICMS DIFER. ALÍQUOTA REF. 60425 Rede Primavera - Assistencia Medica Hospitalar Ltda</t>
        </is>
      </c>
      <c r="C265" s="9" t="n">
        <v>23382</v>
      </c>
      <c r="D265" s="10" t="n">
        <v>100.12</v>
      </c>
      <c r="E265" s="11" t="n"/>
      <c r="F265" s="11">
        <f>F264+E265-D265</f>
        <v/>
      </c>
      <c r="G265" s="9">
        <f>IF(F265&gt;=0,"C","D")</f>
        <v/>
      </c>
    </row>
    <row r="266">
      <c r="A266" s="7" t="n">
        <v>45866</v>
      </c>
      <c r="B266" s="8" t="inlineStr">
        <is>
          <t>JUROS S/ ICMS DIFER. ALÍQUOTA REF. 9907 SAMEDIL - SERVICOS DE ATENDIMENTO MEDICO S/A - FILIAL 1</t>
        </is>
      </c>
      <c r="C266" s="9" t="n">
        <v>23396</v>
      </c>
      <c r="D266" s="11" t="n"/>
      <c r="E266" s="12" t="n">
        <v>10.17</v>
      </c>
      <c r="F266" s="11">
        <f>F265+E266-D266</f>
        <v/>
      </c>
      <c r="G266" s="9">
        <f>IF(F266&gt;=0,"C","D")</f>
        <v/>
      </c>
    </row>
    <row r="267">
      <c r="A267" s="7" t="n">
        <v>45866</v>
      </c>
      <c r="B267" s="8" t="inlineStr">
        <is>
          <t>JUROS S/ ICMS DIFER. ALÍQUOTA REF. 60425 Rede Primavera - Assistencia Medica Hospitalar Ltda</t>
        </is>
      </c>
      <c r="C267" s="9" t="n">
        <v>23397</v>
      </c>
      <c r="D267" s="11" t="n"/>
      <c r="E267" s="12" t="n">
        <v>1.95</v>
      </c>
      <c r="F267" s="11">
        <f>F266+E267-D267</f>
        <v/>
      </c>
      <c r="G267" s="9">
        <f>IF(F267&gt;=0,"C","D")</f>
        <v/>
      </c>
    </row>
    <row r="268">
      <c r="A268" s="7" t="n">
        <v>45866</v>
      </c>
      <c r="B268" s="8" t="inlineStr">
        <is>
          <t>MULTA S/ ICMS DIFER. ALÍQUOTA REF. 60425 Rede Primavera - Assistencia Medica Hospitalar Ltda</t>
        </is>
      </c>
      <c r="C268" s="9" t="n">
        <v>23398</v>
      </c>
      <c r="D268" s="11" t="n"/>
      <c r="E268" s="12" t="n">
        <v>9.859999999999999</v>
      </c>
      <c r="F268" s="11">
        <f>F267+E268-D268</f>
        <v/>
      </c>
      <c r="G268" s="9">
        <f>IF(F268&gt;=0,"C","D")</f>
        <v/>
      </c>
    </row>
    <row r="269">
      <c r="A269" s="7" t="n">
        <v>45866</v>
      </c>
      <c r="B269" s="8" t="inlineStr">
        <is>
          <t>MULTA S/ ICMS DIFER. ALÍQUOTA REF. 907 SAMEDIL - SERVICOS DE ATENDIMENTO MEDICO S/A - FILIAL 1</t>
        </is>
      </c>
      <c r="C269" s="9" t="n">
        <v>23399</v>
      </c>
      <c r="D269" s="11" t="n"/>
      <c r="E269" s="12" t="n">
        <v>51.6</v>
      </c>
      <c r="F269" s="11">
        <f>F268+E269-D269</f>
        <v/>
      </c>
      <c r="G269" s="9">
        <f>IF(F269&gt;=0,"C","D")</f>
        <v/>
      </c>
    </row>
    <row r="270">
      <c r="A270" s="7" t="n">
        <v>45867</v>
      </c>
      <c r="B270" s="8" t="inlineStr">
        <is>
          <t>VLR ICMS DEST DEB. S/ NF 11199 SAMEDIL - SERVICOS DE ATENDIMENTO MEDICO S/A - FILIAL 1</t>
        </is>
      </c>
      <c r="C270" s="9" t="n">
        <v>23424</v>
      </c>
      <c r="D270" s="11" t="n"/>
      <c r="E270" s="12" t="n">
        <v>441.22</v>
      </c>
      <c r="F270" s="11">
        <f>F269+E270-D270</f>
        <v/>
      </c>
      <c r="G270" s="9">
        <f>IF(F270&gt;=0,"C","D")</f>
        <v/>
      </c>
    </row>
    <row r="271">
      <c r="A271" s="7" t="n">
        <v>45868</v>
      </c>
      <c r="B271" s="8" t="inlineStr">
        <is>
          <t>VLR ICMS DEST DEB. S/ NF 63430 HOSPITAL MATER DEI S/A</t>
        </is>
      </c>
      <c r="C271" s="9" t="n">
        <v>23563</v>
      </c>
      <c r="D271" s="11" t="n"/>
      <c r="E271" s="12" t="n">
        <v>10.56</v>
      </c>
      <c r="F271" s="11">
        <f>F270+E271-D271</f>
        <v/>
      </c>
      <c r="G271" s="9">
        <f>IF(F271&gt;=0,"C","D")</f>
        <v/>
      </c>
    </row>
    <row r="272">
      <c r="A272" s="7" t="n">
        <v>45868</v>
      </c>
      <c r="B272" s="8" t="inlineStr">
        <is>
          <t>DEB C/C PG.ICMS DIFER. ALÍQUOTA REF. 11199 SAMEDIL - SERVICOS DE ATENDIMENTO MEDICO S/A - FILIAL 1</t>
        </is>
      </c>
      <c r="C272" s="9" t="n">
        <v>23596</v>
      </c>
      <c r="D272" s="10" t="n">
        <v>447.09</v>
      </c>
      <c r="E272" s="11" t="n"/>
      <c r="F272" s="11">
        <f>F271+E272-D272</f>
        <v/>
      </c>
      <c r="G272" s="9">
        <f>IF(F272&gt;=0,"C","D")</f>
        <v/>
      </c>
    </row>
    <row r="273">
      <c r="A273" s="7" t="n">
        <v>45868</v>
      </c>
      <c r="B273" s="8" t="inlineStr">
        <is>
          <t>MULTA S/ ICMS DIFER. ALÍQUOTA REF. 11199 SAMEDIL - SERVICOS DE ATENDIMENTO MEDICO S/A - FILIAL 1</t>
        </is>
      </c>
      <c r="C273" s="9" t="n">
        <v>23605</v>
      </c>
      <c r="D273" s="11" t="n"/>
      <c r="E273" s="12" t="n">
        <v>1.46</v>
      </c>
      <c r="F273" s="11">
        <f>F272+E273-D273</f>
        <v/>
      </c>
      <c r="G273" s="9">
        <f>IF(F273&gt;=0,"C","D")</f>
        <v/>
      </c>
    </row>
    <row r="274">
      <c r="A274" s="7" t="n">
        <v>45868</v>
      </c>
      <c r="B274" s="8" t="inlineStr">
        <is>
          <t>JUROS S/ ICMS DIFER. ALÍQUOTA REF. 11199 SAMEDIL - SERVICOS DE ATENDIMENTO MEDICO S/A - FILIAL 1</t>
        </is>
      </c>
      <c r="C274" s="9" t="n">
        <v>23606</v>
      </c>
      <c r="D274" s="11" t="n"/>
      <c r="E274" s="12" t="n">
        <v>4.41</v>
      </c>
      <c r="F274" s="11">
        <f>F273+E274-D274</f>
        <v/>
      </c>
      <c r="G274" s="9">
        <f>IF(F274&gt;=0,"C","D")</f>
        <v/>
      </c>
    </row>
    <row r="275">
      <c r="A275" s="7" t="n">
        <v>45869</v>
      </c>
      <c r="B275" s="8" t="inlineStr">
        <is>
          <t>TRANSF. SALDO DEVEDOR ICMS DO MÊS FILIAL 1</t>
        </is>
      </c>
      <c r="C275" s="9" t="n">
        <v>23930</v>
      </c>
      <c r="D275" s="11" t="n"/>
      <c r="E275" s="12" t="n">
        <v>16018.13</v>
      </c>
      <c r="F275" s="11">
        <f>F274+E275-D275</f>
        <v/>
      </c>
      <c r="G275" s="9">
        <f>IF(F275&gt;=0,"C","D")</f>
        <v/>
      </c>
    </row>
    <row r="276">
      <c r="A276" s="7" t="n">
        <v>45869</v>
      </c>
      <c r="B276" s="8" t="inlineStr">
        <is>
          <t>TRANSF. SALDO DEVEDOR ICMS DO MÊS FILIAL 2</t>
        </is>
      </c>
      <c r="C276" s="9" t="n">
        <v>23931</v>
      </c>
      <c r="D276" s="11" t="n"/>
      <c r="E276" s="12" t="n">
        <v>387.55</v>
      </c>
      <c r="F276" s="11">
        <f>F275+E276-D276</f>
        <v/>
      </c>
      <c r="G276" s="9">
        <f>IF(F276&gt;=0,"C","D")</f>
        <v/>
      </c>
    </row>
    <row r="277">
      <c r="A277" s="7" t="n">
        <v>45876</v>
      </c>
      <c r="B277" s="8" t="inlineStr">
        <is>
          <t>VLR ICMS DEST DEB. S/ NF 63739 HOSPITAL MATER DEI S.A.</t>
        </is>
      </c>
      <c r="C277" s="9" t="n">
        <v>24819</v>
      </c>
      <c r="D277" s="11" t="n"/>
      <c r="E277" s="12" t="n">
        <v>10.56</v>
      </c>
      <c r="F277" s="11">
        <f>F276+E277-D277</f>
        <v/>
      </c>
      <c r="G277" s="9">
        <f>IF(F277&gt;=0,"C","D")</f>
        <v/>
      </c>
    </row>
    <row r="278">
      <c r="A278" s="7" t="n">
        <v>45877</v>
      </c>
      <c r="B278" s="8" t="inlineStr">
        <is>
          <t>VLR ICMS DEST DEB. S/ NF 63805 UNIMED DO SUDOESTE COOPERATIVA DE TRABALHO MEDICO LTDA</t>
        </is>
      </c>
      <c r="C278" s="9" t="n">
        <v>24991</v>
      </c>
      <c r="D278" s="11" t="n"/>
      <c r="E278" s="12" t="n">
        <v>16.5</v>
      </c>
      <c r="F278" s="11">
        <f>F277+E278-D278</f>
        <v/>
      </c>
      <c r="G278" s="9">
        <f>IF(F278&gt;=0,"C","D")</f>
        <v/>
      </c>
    </row>
    <row r="279">
      <c r="A279" s="7" t="n">
        <v>45880</v>
      </c>
      <c r="B279" s="8" t="inlineStr">
        <is>
          <t>DEB C/C PG.ICMS REF. 07/2025 - FILIAL 2</t>
        </is>
      </c>
      <c r="C279" s="9" t="n">
        <v>25114</v>
      </c>
      <c r="D279" s="10" t="n">
        <v>387.55</v>
      </c>
      <c r="E279" s="11" t="n"/>
      <c r="F279" s="11">
        <f>F278+E279-D279</f>
        <v/>
      </c>
      <c r="G279" s="9">
        <f>IF(F279&gt;=0,"C","D")</f>
        <v/>
      </c>
    </row>
    <row r="280">
      <c r="A280" s="7" t="n">
        <v>45880</v>
      </c>
      <c r="B280" s="8" t="inlineStr">
        <is>
          <t>DEB C/C PG.ICMS REF. 07/2025</t>
        </is>
      </c>
      <c r="C280" s="9" t="n">
        <v>25116</v>
      </c>
      <c r="D280" s="10" t="n">
        <v>16018.13</v>
      </c>
      <c r="E280" s="11" t="n"/>
      <c r="F280" s="11">
        <f>F279+E280-D280</f>
        <v/>
      </c>
      <c r="G280" s="9">
        <f>IF(F280&gt;=0,"C","D")</f>
        <v/>
      </c>
    </row>
    <row r="281">
      <c r="A281" s="7" t="n">
        <v>45880</v>
      </c>
      <c r="B281" s="8" t="inlineStr">
        <is>
          <t>VLR ICMS DEST DEB. S/ NF 63835 UNIMED DO SUDOESTE COOPERATIVA DE TRABALHO MEDICO LTDA</t>
        </is>
      </c>
      <c r="C281" s="9" t="n">
        <v>25184</v>
      </c>
      <c r="D281" s="11" t="n"/>
      <c r="E281" s="12" t="n">
        <v>1353</v>
      </c>
      <c r="F281" s="11">
        <f>F280+E281-D281</f>
        <v/>
      </c>
      <c r="G281" s="9">
        <f>IF(F281&gt;=0,"C","D")</f>
        <v/>
      </c>
    </row>
    <row r="282">
      <c r="A282" s="7" t="n">
        <v>45881</v>
      </c>
      <c r="B282" s="8" t="inlineStr">
        <is>
          <t>VLR ICMS DEST DEB. S/ NF 63894 UNIMED DO SUDOESTE COOPERATIVA DE TRABALHO MEDICO LTDA</t>
        </is>
      </c>
      <c r="C282" s="9" t="n">
        <v>25300</v>
      </c>
      <c r="D282" s="11" t="n"/>
      <c r="E282" s="12" t="n">
        <v>16.5</v>
      </c>
      <c r="F282" s="11">
        <f>F281+E282-D282</f>
        <v/>
      </c>
      <c r="G282" s="9">
        <f>IF(F282&gt;=0,"C","D")</f>
        <v/>
      </c>
    </row>
    <row r="283">
      <c r="A283" s="7" t="n">
        <v>45881</v>
      </c>
      <c r="B283" s="8" t="inlineStr">
        <is>
          <t>VLR ICMS DEST DEB. S/ NF 63899 UNIMED DO SUDOESTE COOPERATIVA DE TRABALHO MEDICO LTDA</t>
        </is>
      </c>
      <c r="C283" s="9" t="n">
        <v>25301</v>
      </c>
      <c r="D283" s="11" t="n"/>
      <c r="E283" s="12" t="n">
        <v>1353</v>
      </c>
      <c r="F283" s="11">
        <f>F282+E283-D283</f>
        <v/>
      </c>
      <c r="G283" s="9">
        <f>IF(F283&gt;=0,"C","D")</f>
        <v/>
      </c>
    </row>
    <row r="284">
      <c r="A284" s="7" t="n">
        <v>45882</v>
      </c>
      <c r="B284" s="8" t="inlineStr">
        <is>
          <t>DEB C/C PG. ICMS DEST DEB. S/ NF 11396 SAMEDIL - SERVICOS DE ATENDIMENTO MEDICO S/A - FILIAL 1</t>
        </is>
      </c>
      <c r="C284" s="9" t="n">
        <v>25337</v>
      </c>
      <c r="D284" s="10" t="n">
        <v>38.22</v>
      </c>
      <c r="E284" s="11" t="n"/>
      <c r="F284" s="11">
        <f>F283+E284-D284</f>
        <v/>
      </c>
      <c r="G284" s="9">
        <f>IF(F284&gt;=0,"C","D")</f>
        <v/>
      </c>
    </row>
    <row r="285">
      <c r="A285" s="7" t="n">
        <v>45882</v>
      </c>
      <c r="B285" s="8" t="inlineStr">
        <is>
          <t>DEB C/C PG. ICMS DEST DEB. S/ NF 11389 SAMEDIL - SERVICOS DE ATENDIMENTO MEDICO S/A - FILIAL 1</t>
        </is>
      </c>
      <c r="C285" s="9" t="n">
        <v>25338</v>
      </c>
      <c r="D285" s="10" t="n">
        <v>5.46</v>
      </c>
      <c r="E285" s="11" t="n"/>
      <c r="F285" s="11">
        <f>F284+E285-D285</f>
        <v/>
      </c>
      <c r="G285" s="9">
        <f>IF(F285&gt;=0,"C","D")</f>
        <v/>
      </c>
    </row>
    <row r="286">
      <c r="A286" s="7" t="n">
        <v>45882</v>
      </c>
      <c r="B286" s="8" t="inlineStr">
        <is>
          <t>DEB C/C PG. ICMS DEST DEB. S/ NF 63938 Rede Primavera - Assistencia Medica Hospitalar Ltda</t>
        </is>
      </c>
      <c r="C286" s="9" t="n">
        <v>25339</v>
      </c>
      <c r="D286" s="10" t="n">
        <v>93.12</v>
      </c>
      <c r="E286" s="11" t="n"/>
      <c r="F286" s="11">
        <f>F285+E286-D286</f>
        <v/>
      </c>
      <c r="G286" s="9">
        <f>IF(F286&gt;=0,"C","D")</f>
        <v/>
      </c>
    </row>
    <row r="287">
      <c r="A287" s="7" t="n">
        <v>45882</v>
      </c>
      <c r="B287" s="8" t="inlineStr">
        <is>
          <t>VLR ICMS DEST DEB. S/ NF 11389 SAMEDIL - SERVICOS DE ATENDIMENTO MEDICO S/A - FILIAL 1</t>
        </is>
      </c>
      <c r="C287" s="9" t="n">
        <v>25366</v>
      </c>
      <c r="D287" s="11" t="n"/>
      <c r="E287" s="12" t="n">
        <v>5.46</v>
      </c>
      <c r="F287" s="11">
        <f>F286+E287-D287</f>
        <v/>
      </c>
      <c r="G287" s="9">
        <f>IF(F287&gt;=0,"C","D")</f>
        <v/>
      </c>
    </row>
    <row r="288">
      <c r="A288" s="7" t="n">
        <v>45882</v>
      </c>
      <c r="B288" s="8" t="inlineStr">
        <is>
          <t>VLR ICMS DEST DEB. S/ NF 11396 SAMEDIL - SERVICOS DE ATENDIMENTO</t>
        </is>
      </c>
      <c r="C288" s="9" t="n">
        <v>25405</v>
      </c>
      <c r="D288" s="11" t="n"/>
      <c r="E288" s="12" t="n">
        <v>38.22</v>
      </c>
      <c r="F288" s="11">
        <f>F287+E288-D288</f>
        <v/>
      </c>
      <c r="G288" s="9">
        <f>IF(F288&gt;=0,"C","D")</f>
        <v/>
      </c>
    </row>
    <row r="289">
      <c r="A289" s="7" t="n">
        <v>45882</v>
      </c>
      <c r="B289" s="8" t="inlineStr">
        <is>
          <t>VLR ICMS DEST DEB. S/ NF 63935 HOSPITAL DA FUNDACAO CASA DE CARIDADE DE SAO LOURENCO</t>
        </is>
      </c>
      <c r="C289" s="9" t="n">
        <v>25485</v>
      </c>
      <c r="D289" s="11" t="n"/>
      <c r="E289" s="12" t="n">
        <v>301.52</v>
      </c>
      <c r="F289" s="11">
        <f>F288+E289-D289</f>
        <v/>
      </c>
      <c r="G289" s="9">
        <f>IF(F289&gt;=0,"C","D")</f>
        <v/>
      </c>
    </row>
    <row r="290">
      <c r="A290" s="7" t="n">
        <v>45882</v>
      </c>
      <c r="B290" s="8" t="inlineStr">
        <is>
          <t>VLR ICMS DEST DEB. S/ NF 63938 Rede Primavera - Assistencia Medica Hospitalar Ltda</t>
        </is>
      </c>
      <c r="C290" s="9" t="n">
        <v>25486</v>
      </c>
      <c r="D290" s="11" t="n"/>
      <c r="E290" s="12" t="n">
        <v>93.12</v>
      </c>
      <c r="F290" s="11">
        <f>F289+E290-D290</f>
        <v/>
      </c>
      <c r="G290" s="9">
        <f>IF(F290&gt;=0,"C","D")</f>
        <v/>
      </c>
    </row>
    <row r="291">
      <c r="A291" s="7" t="n">
        <v>45884</v>
      </c>
      <c r="B291" s="8" t="inlineStr">
        <is>
          <t>DEB C/C PG. ICMS DEST S/ NF 11088 CENTRAL NACIONAL UNIMED - COOPERATIVA CENTRAL - FILIAL 1</t>
        </is>
      </c>
      <c r="C291" s="9" t="n">
        <v>25659</v>
      </c>
      <c r="D291" s="10" t="n">
        <v>112</v>
      </c>
      <c r="E291" s="11" t="n"/>
      <c r="F291" s="11">
        <f>F290+E291-D291</f>
        <v/>
      </c>
      <c r="G291" s="9">
        <f>IF(F291&gt;=0,"C","D")</f>
        <v/>
      </c>
    </row>
    <row r="292">
      <c r="A292" s="7" t="n">
        <v>45884</v>
      </c>
      <c r="B292" s="8" t="inlineStr">
        <is>
          <t>DEB C/C PG. ICMS S/ NF 63107-63109-63112-63125-63126-63128-63372-63376- 63430</t>
        </is>
      </c>
      <c r="C292" s="9" t="n">
        <v>25661</v>
      </c>
      <c r="D292" s="10" t="n">
        <v>7798.56</v>
      </c>
      <c r="E292" s="11" t="n"/>
      <c r="F292" s="11">
        <f>F291+E292-D292</f>
        <v/>
      </c>
      <c r="G292" s="9">
        <f>IF(F292&gt;=0,"C","D")</f>
        <v/>
      </c>
    </row>
    <row r="293">
      <c r="A293" s="7" t="n">
        <v>45884</v>
      </c>
      <c r="B293" s="8" t="inlineStr">
        <is>
          <t>DEB C/C PG. ICMS S/ NF 62560-63024</t>
        </is>
      </c>
      <c r="C293" s="9" t="n">
        <v>25662</v>
      </c>
      <c r="D293" s="10" t="n">
        <v>32739.66</v>
      </c>
      <c r="E293" s="11" t="n"/>
      <c r="F293" s="11">
        <f>F292+E293-D293</f>
        <v/>
      </c>
      <c r="G293" s="9">
        <f>IF(F293&gt;=0,"C","D")</f>
        <v/>
      </c>
    </row>
    <row r="294">
      <c r="A294" s="7" t="n">
        <v>45884</v>
      </c>
      <c r="B294" s="8" t="inlineStr">
        <is>
          <t>VLR ICMS DEST DEB. S/ NF 64017 SANTA CASA DE MISERICORDIA DE VITORIA DA CONQUISTA</t>
        </is>
      </c>
      <c r="C294" s="9" t="n">
        <v>25937</v>
      </c>
      <c r="D294" s="11" t="n"/>
      <c r="E294" s="12" t="n">
        <v>16.5</v>
      </c>
      <c r="F294" s="11">
        <f>F293+E294-D294</f>
        <v/>
      </c>
      <c r="G294" s="9">
        <f>IF(F294&gt;=0,"C","D")</f>
        <v/>
      </c>
    </row>
    <row r="295">
      <c r="A295" s="7" t="n">
        <v>45884</v>
      </c>
      <c r="B295" s="8" t="inlineStr">
        <is>
          <t>VLR ICMS DEST DEB. S/ NF 64018 SANTA CASA DE MISERICORDIA DE VITORIA DA CONQUISTA</t>
        </is>
      </c>
      <c r="C295" s="9" t="n">
        <v>25938</v>
      </c>
      <c r="D295" s="11" t="n"/>
      <c r="E295" s="12" t="n">
        <v>16.5</v>
      </c>
      <c r="F295" s="11">
        <f>F294+E295-D295</f>
        <v/>
      </c>
      <c r="G295" s="9">
        <f>IF(F295&gt;=0,"C","D")</f>
        <v/>
      </c>
    </row>
    <row r="296">
      <c r="A296" s="7" t="n">
        <v>45884</v>
      </c>
      <c r="B296" s="8" t="inlineStr">
        <is>
          <t>VLR ICMS DEST DEB. S/ NF 64033 Fundacao Felice Rosso</t>
        </is>
      </c>
      <c r="C296" s="9" t="n">
        <v>25939</v>
      </c>
      <c r="D296" s="11" t="n"/>
      <c r="E296" s="12" t="n">
        <v>1463.02</v>
      </c>
      <c r="F296" s="11">
        <f>F295+E296-D296</f>
        <v/>
      </c>
      <c r="G296" s="9">
        <f>IF(F296&gt;=0,"C","D")</f>
        <v/>
      </c>
    </row>
    <row r="297">
      <c r="A297" s="7" t="n">
        <v>45884</v>
      </c>
      <c r="B297" s="8" t="inlineStr">
        <is>
          <t>VLR ICMS DEST DEB. S/ NF 64055 UNIMED CURITIBA - SOCIEDADE COOPERATIVA DE MEDICOS</t>
        </is>
      </c>
      <c r="C297" s="9" t="n">
        <v>25940</v>
      </c>
      <c r="D297" s="11" t="n"/>
      <c r="E297" s="12" t="n">
        <v>159.03</v>
      </c>
      <c r="F297" s="11">
        <f>F296+E297-D297</f>
        <v/>
      </c>
      <c r="G297" s="9">
        <f>IF(F297&gt;=0,"C","D")</f>
        <v/>
      </c>
    </row>
    <row r="298">
      <c r="A298" s="7" t="n">
        <v>45889</v>
      </c>
      <c r="B298" s="8" t="inlineStr">
        <is>
          <t>DEB C/C PG. ICMS DEST DEB. S/ NF 11479 SAMEDIL - SERVICOS DE ATENDIMENTO MEDICO S/A - FILIAL 1</t>
        </is>
      </c>
      <c r="C298" s="9" t="n">
        <v>26252</v>
      </c>
      <c r="D298" s="10" t="n">
        <v>313.4</v>
      </c>
      <c r="E298" s="11" t="n"/>
      <c r="F298" s="11">
        <f>F297+E298-D298</f>
        <v/>
      </c>
      <c r="G298" s="9">
        <f>IF(F298&gt;=0,"C","D")</f>
        <v/>
      </c>
    </row>
    <row r="299">
      <c r="A299" s="7" t="n">
        <v>45889</v>
      </c>
      <c r="B299" s="8" t="inlineStr">
        <is>
          <t>DEB C/C PG. ICMS DEST DEB. S/ NF 11478 SAMEDIL - SERVICOS DE ATENDIMENTO MEDICO S/A - FILIAL 1</t>
        </is>
      </c>
      <c r="C299" s="9" t="n">
        <v>26253</v>
      </c>
      <c r="D299" s="10" t="n">
        <v>313.4</v>
      </c>
      <c r="E299" s="11" t="n"/>
      <c r="F299" s="11">
        <f>F298+E299-D299</f>
        <v/>
      </c>
      <c r="G299" s="9">
        <f>IF(F299&gt;=0,"C","D")</f>
        <v/>
      </c>
    </row>
    <row r="300">
      <c r="A300" s="7" t="n">
        <v>45889</v>
      </c>
      <c r="B300" s="8" t="inlineStr">
        <is>
          <t>VLR ICMS DEST DEB. S/ NF 11503 CAIXA DE ASSISTENCIA DOS FUNCIONARIOS DO BANCO DO BRASIL - FILIAL 1</t>
        </is>
      </c>
      <c r="C300" s="9" t="n">
        <v>26343</v>
      </c>
      <c r="D300" s="11" t="n"/>
      <c r="E300" s="12" t="n">
        <v>467.46</v>
      </c>
      <c r="F300" s="11">
        <f>F299+E300-D300</f>
        <v/>
      </c>
      <c r="G300" s="9">
        <f>IF(F300&gt;=0,"C","D")</f>
        <v/>
      </c>
    </row>
    <row r="301">
      <c r="A301" s="7" t="n">
        <v>45889</v>
      </c>
      <c r="B301" s="8" t="inlineStr">
        <is>
          <t>VLR ICMS DEST DEB. S/ NF 11479 SAMEDIL - SERVICOS DE ATENDIMENTO MEDICO S/A - FILIAL 1</t>
        </is>
      </c>
      <c r="C301" s="9" t="n">
        <v>26344</v>
      </c>
      <c r="D301" s="11" t="n"/>
      <c r="E301" s="12" t="n">
        <v>313.4</v>
      </c>
      <c r="F301" s="11">
        <f>F300+E301-D301</f>
        <v/>
      </c>
      <c r="G301" s="9">
        <f>IF(F301&gt;=0,"C","D")</f>
        <v/>
      </c>
    </row>
    <row r="302">
      <c r="A302" s="7" t="n">
        <v>45889</v>
      </c>
      <c r="B302" s="8" t="inlineStr">
        <is>
          <t>VLR ICMS DEST DEB. S/ NF 11478 SAMEDIL - SERVICOS DE ATENDIMENTO MEDICO S/A - FILIAL 1</t>
        </is>
      </c>
      <c r="C302" s="9" t="n">
        <v>26345</v>
      </c>
      <c r="D302" s="11" t="n"/>
      <c r="E302" s="12" t="n">
        <v>313.4</v>
      </c>
      <c r="F302" s="11">
        <f>F301+E302-D302</f>
        <v/>
      </c>
      <c r="G302" s="9">
        <f>IF(F302&gt;=0,"C","D")</f>
        <v/>
      </c>
    </row>
    <row r="303">
      <c r="A303" s="7" t="n">
        <v>45890</v>
      </c>
      <c r="B303" s="8" t="inlineStr">
        <is>
          <t>VLR ICMS DEST DEB. S/ NF 64253 UNIMED DO SUDOESTE COOPERATIVA DE TRABALHO MEDICO LTDA</t>
        </is>
      </c>
      <c r="C303" s="9" t="n">
        <v>26642</v>
      </c>
      <c r="D303" s="11" t="n"/>
      <c r="E303" s="12" t="n">
        <v>16.5</v>
      </c>
      <c r="F303" s="11">
        <f>F302+E303-D303</f>
        <v/>
      </c>
      <c r="G303" s="9">
        <f>IF(F303&gt;=0,"C","D")</f>
        <v/>
      </c>
    </row>
    <row r="304">
      <c r="A304" s="7" t="n">
        <v>45890</v>
      </c>
      <c r="B304" s="8" t="inlineStr">
        <is>
          <t>VLR ICMS DEST DEB. S/ NF 64258 UNIMED DO SUDOESTE COOPERATIVA DE TRABALHO MEDICO LTDA</t>
        </is>
      </c>
      <c r="C304" s="9" t="n">
        <v>26643</v>
      </c>
      <c r="D304" s="11" t="n"/>
      <c r="E304" s="12" t="n">
        <v>1930.5</v>
      </c>
      <c r="F304" s="11">
        <f>F303+E304-D304</f>
        <v/>
      </c>
      <c r="G304" s="9">
        <f>IF(F304&gt;=0,"C","D")</f>
        <v/>
      </c>
    </row>
    <row r="305">
      <c r="A305" s="7" t="n">
        <v>45891</v>
      </c>
      <c r="B305" s="8" t="inlineStr">
        <is>
          <t>DEB C/C PG. ICMS DEST S/ NF 11533 SAMEDIL - SERVICOS DE ATENDIMENTO MEDICO S/A - FILIAL 1</t>
        </is>
      </c>
      <c r="C305" s="9" t="n">
        <v>26690</v>
      </c>
      <c r="D305" s="10" t="n">
        <v>313.4</v>
      </c>
      <c r="E305" s="11" t="n"/>
      <c r="F305" s="11">
        <f>F304+E305-D305</f>
        <v/>
      </c>
      <c r="G305" s="9">
        <f>IF(F305&gt;=0,"C","D")</f>
        <v/>
      </c>
    </row>
    <row r="306">
      <c r="A306" s="7" t="n">
        <v>45891</v>
      </c>
      <c r="B306" s="8" t="inlineStr">
        <is>
          <t>VLR ICMS DEST S/ NF 11533 SAMEDIL - SERVICOS DE ATENDIMENTO MEDICO S/A - FILIAL 1</t>
        </is>
      </c>
      <c r="C306" s="9" t="n">
        <v>26739</v>
      </c>
      <c r="D306" s="11" t="n"/>
      <c r="E306" s="12" t="n">
        <v>313.4</v>
      </c>
      <c r="F306" s="11">
        <f>F305+E306-D306</f>
        <v/>
      </c>
      <c r="G306" s="9">
        <f>IF(F306&gt;=0,"C","D")</f>
        <v/>
      </c>
    </row>
    <row r="307">
      <c r="A307" s="7" t="n">
        <v>45895</v>
      </c>
      <c r="B307" s="8" t="inlineStr">
        <is>
          <t>VLR ICMS DEST DEB. S/ NF 64389 UNIMED DO SUDOESTE COOPERATIVA DE TRABALHO MEDICO LTDA</t>
        </is>
      </c>
      <c r="C307" s="9" t="n">
        <v>27103</v>
      </c>
      <c r="D307" s="11" t="n"/>
      <c r="E307" s="12" t="n">
        <v>16.5</v>
      </c>
      <c r="F307" s="11">
        <f>F306+E307-D307</f>
        <v/>
      </c>
      <c r="G307" s="9">
        <f>IF(F307&gt;=0,"C","D")</f>
        <v/>
      </c>
    </row>
    <row r="308">
      <c r="A308" s="7" t="n">
        <v>45895</v>
      </c>
      <c r="B308" s="8" t="inlineStr">
        <is>
          <t>VLR ICMS DEST DEB. S/ NF 64395 UNIMED DO SUDOESTE COOPERATIVA DE TRABALHO MEDICO LTDA</t>
        </is>
      </c>
      <c r="C308" s="9" t="n">
        <v>27104</v>
      </c>
      <c r="D308" s="11" t="n"/>
      <c r="E308" s="12" t="n">
        <v>1353</v>
      </c>
      <c r="F308" s="11">
        <f>F307+E308-D308</f>
        <v/>
      </c>
      <c r="G308" s="9">
        <f>IF(F308&gt;=0,"C","D")</f>
        <v/>
      </c>
    </row>
    <row r="309">
      <c r="A309" s="7" t="n">
        <v>45895</v>
      </c>
      <c r="B309" s="8" t="inlineStr">
        <is>
          <t>VLR ICMS DEST DEB. S/ NF 64424 Fundacao Felice Rosso</t>
        </is>
      </c>
      <c r="C309" s="9" t="n">
        <v>27105</v>
      </c>
      <c r="D309" s="11" t="n"/>
      <c r="E309" s="12" t="n">
        <v>3192</v>
      </c>
      <c r="F309" s="11">
        <f>F308+E309-D309</f>
        <v/>
      </c>
      <c r="G309" s="9">
        <f>IF(F309&gt;=0,"C","D")</f>
        <v/>
      </c>
    </row>
    <row r="310">
      <c r="A310" s="7" t="n">
        <v>45896</v>
      </c>
      <c r="B310" s="8" t="inlineStr">
        <is>
          <t>DEB C/C PG. ICMS DEST S/ NF 11584 SAMEDIL - SERVICOS DE ATENDIMENTO MEDICO S/A - FILIAL 1</t>
        </is>
      </c>
      <c r="C310" s="9" t="n">
        <v>27152</v>
      </c>
      <c r="D310" s="10" t="n">
        <v>313.4</v>
      </c>
      <c r="E310" s="11" t="n"/>
      <c r="F310" s="11">
        <f>F309+E310-D310</f>
        <v/>
      </c>
      <c r="G310" s="9">
        <f>IF(F310&gt;=0,"C","D")</f>
        <v/>
      </c>
    </row>
    <row r="311">
      <c r="A311" s="7" t="n">
        <v>45896</v>
      </c>
      <c r="B311" s="8" t="inlineStr">
        <is>
          <t>VLR ICMS DEST S/ NF 11584 SAMEDIL - SERVICOS DE ATENDIMENTO MEDICO S/A - FILIAL 1</t>
        </is>
      </c>
      <c r="C311" s="9" t="n">
        <v>27170</v>
      </c>
      <c r="D311" s="11" t="n"/>
      <c r="E311" s="12" t="n">
        <v>313.4</v>
      </c>
      <c r="F311" s="11">
        <f>F310+E311-D311</f>
        <v/>
      </c>
      <c r="G311" s="9">
        <f>IF(F311&gt;=0,"C","D")</f>
        <v/>
      </c>
    </row>
    <row r="312">
      <c r="A312" s="7" t="n">
        <v>45896</v>
      </c>
      <c r="B312" s="8" t="inlineStr">
        <is>
          <t>VLR ICMS DEST DEB. S/ NF 64488 Fundacao Felice Rosso</t>
        </is>
      </c>
      <c r="C312" s="9" t="n">
        <v>27244</v>
      </c>
      <c r="D312" s="11" t="n"/>
      <c r="E312" s="12" t="n">
        <v>1806.36</v>
      </c>
      <c r="F312" s="11">
        <f>F311+E312-D312</f>
        <v/>
      </c>
      <c r="G312" s="9">
        <f>IF(F312&gt;=0,"C","D")</f>
        <v/>
      </c>
    </row>
    <row r="313">
      <c r="A313" s="7" t="n">
        <v>45897</v>
      </c>
      <c r="B313" s="8" t="inlineStr">
        <is>
          <t>VLR ICMS DEST DEB. S/ NF 64551 Fundacao Felice Rosso</t>
        </is>
      </c>
      <c r="C313" s="9" t="n">
        <v>27402</v>
      </c>
      <c r="D313" s="11" t="n"/>
      <c r="E313" s="12" t="n">
        <v>1783.18</v>
      </c>
      <c r="F313" s="11">
        <f>F312+E313-D313</f>
        <v/>
      </c>
      <c r="G313" s="9">
        <f>IF(F313&gt;=0,"C","D")</f>
        <v/>
      </c>
    </row>
    <row r="314">
      <c r="A314" s="7" t="n">
        <v>45900</v>
      </c>
      <c r="B314" s="8" t="inlineStr">
        <is>
          <t>TRANSF. SALDO DEVEDOR ICMS DO MÊS FILIAL 1</t>
        </is>
      </c>
      <c r="C314" s="9" t="n">
        <v>27675</v>
      </c>
      <c r="D314" s="11" t="n"/>
      <c r="E314" s="12" t="n">
        <v>10042.01</v>
      </c>
      <c r="F314" s="11">
        <f>F313+E314-D314</f>
        <v/>
      </c>
      <c r="G314" s="9">
        <f>IF(F314&gt;=0,"C","D")</f>
        <v/>
      </c>
    </row>
    <row r="315">
      <c r="A315" s="7" t="n">
        <v>45900</v>
      </c>
      <c r="B315" s="8" t="inlineStr">
        <is>
          <t>TRANSF. SALDO DEVEDOR ICMS DO MÊS FILIAL 2</t>
        </is>
      </c>
      <c r="C315" s="9" t="n">
        <v>27677</v>
      </c>
      <c r="D315" s="11" t="n"/>
      <c r="E315" s="12" t="n">
        <v>378.02</v>
      </c>
      <c r="F315" s="11">
        <f>F314+E315-D315</f>
        <v/>
      </c>
      <c r="G315" s="9">
        <f>IF(F315&gt;=0,"C","D")</f>
        <v/>
      </c>
    </row>
    <row r="316">
      <c r="A316" s="7" t="n">
        <v>45900</v>
      </c>
      <c r="B316" s="8" t="inlineStr">
        <is>
          <t>VLR ICMS DEST DEB. S/ NF 7712432 SUPRICORP SUPRIMENTOS LTDA - FILIAL 1</t>
        </is>
      </c>
      <c r="C316" s="9" t="n">
        <v>27709</v>
      </c>
      <c r="D316" s="11" t="n"/>
      <c r="E316" s="12" t="n">
        <v>15.88</v>
      </c>
      <c r="F316" s="11">
        <f>F315+E316-D316</f>
        <v/>
      </c>
      <c r="G316" s="9">
        <f>IF(F316&gt;=0,"C","D")</f>
        <v/>
      </c>
    </row>
    <row r="317">
      <c r="A317" s="7" t="n">
        <v>45904</v>
      </c>
      <c r="B317" s="8" t="inlineStr">
        <is>
          <t>VLR ICMS DEST DEB. S/ NF 64892 PROMEDICA PATRIMONIAL S A PROPAT</t>
        </is>
      </c>
      <c r="C317" s="9" t="n">
        <v>28389</v>
      </c>
      <c r="D317" s="11" t="n"/>
      <c r="E317" s="12" t="n">
        <v>16.5</v>
      </c>
      <c r="F317" s="11">
        <f>F316+E317-D317</f>
        <v/>
      </c>
      <c r="G317" s="9">
        <f>IF(F317&gt;=0,"C","D")</f>
        <v/>
      </c>
    </row>
    <row r="318">
      <c r="A318" s="7" t="n">
        <v>45904</v>
      </c>
      <c r="B318" s="8" t="inlineStr">
        <is>
          <t>VLR ICMS DEST DEB. S/ NF 64894 HOSPITAL MATER DEI S/A</t>
        </is>
      </c>
      <c r="C318" s="9" t="n">
        <v>28390</v>
      </c>
      <c r="D318" s="11" t="n"/>
      <c r="E318" s="12" t="n">
        <v>495</v>
      </c>
      <c r="F318" s="11">
        <f>F317+E318-D318</f>
        <v/>
      </c>
      <c r="G318" s="9">
        <f>IF(F318&gt;=0,"C","D")</f>
        <v/>
      </c>
    </row>
    <row r="319">
      <c r="A319" s="7" t="n">
        <v>45908</v>
      </c>
      <c r="B319" s="8" t="inlineStr">
        <is>
          <t>VLR ICMS DEST DEB. S/ NF 64982 HOSPITAL MATER DEI S/A</t>
        </is>
      </c>
      <c r="C319" s="9" t="n">
        <v>28745</v>
      </c>
      <c r="D319" s="11" t="n"/>
      <c r="E319" s="12" t="n">
        <v>10.56</v>
      </c>
      <c r="F319" s="11">
        <f>F318+E319-D319</f>
        <v/>
      </c>
      <c r="G319" s="9">
        <f>IF(F319&gt;=0,"C","D")</f>
        <v/>
      </c>
    </row>
    <row r="320">
      <c r="A320" s="7" t="n">
        <v>45908</v>
      </c>
      <c r="B320" s="8" t="inlineStr">
        <is>
          <t>VLR ICMS DEST DEB. S/ NF 64984 HOSPITAL MATER DEI S/A</t>
        </is>
      </c>
      <c r="C320" s="9" t="n">
        <v>28746</v>
      </c>
      <c r="D320" s="11" t="n"/>
      <c r="E320" s="12" t="n">
        <v>844.14</v>
      </c>
      <c r="F320" s="11">
        <f>F319+E320-D320</f>
        <v/>
      </c>
      <c r="G320" s="9">
        <f>IF(F320&gt;=0,"C","D")</f>
        <v/>
      </c>
    </row>
    <row r="321">
      <c r="A321" s="7" t="n">
        <v>45909</v>
      </c>
      <c r="B321" s="8" t="inlineStr">
        <is>
          <t>DEB C/C PG.ICMS REF. 08/2025</t>
        </is>
      </c>
      <c r="C321" s="9" t="n">
        <v>28828</v>
      </c>
      <c r="D321" s="10" t="n">
        <v>378.02</v>
      </c>
      <c r="E321" s="11" t="n"/>
      <c r="F321" s="11">
        <f>F320+E321-D321</f>
        <v/>
      </c>
      <c r="G321" s="9">
        <f>IF(F321&gt;=0,"C","D")</f>
        <v/>
      </c>
    </row>
    <row r="322">
      <c r="A322" s="7" t="n">
        <v>45910</v>
      </c>
      <c r="B322" s="8" t="inlineStr">
        <is>
          <t>DEB C/C PG.ICMS REF. 08/2025</t>
        </is>
      </c>
      <c r="C322" s="9" t="n">
        <v>28959</v>
      </c>
      <c r="D322" s="10" t="n">
        <v>10042.01</v>
      </c>
      <c r="E322" s="11" t="n"/>
      <c r="F322" s="11">
        <f>F321+E322-D322</f>
        <v/>
      </c>
      <c r="G322" s="9">
        <f>IF(F322&gt;=0,"C","D")</f>
        <v/>
      </c>
    </row>
    <row r="323">
      <c r="A323" s="7" t="n">
        <v>45910</v>
      </c>
      <c r="B323" s="8" t="inlineStr">
        <is>
          <t>DEB C/C PG. DARJ-RJ - ICMS</t>
        </is>
      </c>
      <c r="C323" s="9" t="n">
        <v>28960</v>
      </c>
      <c r="D323" s="10" t="n">
        <v>15.88</v>
      </c>
      <c r="E323" s="11" t="n"/>
      <c r="F323" s="11">
        <f>F322+E323-D323</f>
        <v/>
      </c>
      <c r="G323" s="9">
        <f>IF(F323&gt;=0,"C","D")</f>
        <v/>
      </c>
    </row>
    <row r="324">
      <c r="A324" s="7" t="n">
        <v>45910</v>
      </c>
      <c r="B324" s="8" t="inlineStr">
        <is>
          <t>VLR ICMS DEST DEB. S/ NF 65111 HOSPITAL MATER DEI S/A</t>
        </is>
      </c>
      <c r="C324" s="9" t="n">
        <v>29066</v>
      </c>
      <c r="D324" s="11" t="n"/>
      <c r="E324" s="12" t="n">
        <v>7.26</v>
      </c>
      <c r="F324" s="11">
        <f>F323+E324-D324</f>
        <v/>
      </c>
      <c r="G324" s="9">
        <f>IF(F324&gt;=0,"C","D")</f>
        <v/>
      </c>
    </row>
    <row r="325">
      <c r="A325" s="7" t="n">
        <v>45910</v>
      </c>
      <c r="B325" s="8" t="inlineStr">
        <is>
          <t>VLR ICMS DEST DEB. S/ NF 65115 HOSPITAL MATER DEI S/A</t>
        </is>
      </c>
      <c r="C325" s="9" t="n">
        <v>29067</v>
      </c>
      <c r="D325" s="11" t="n"/>
      <c r="E325" s="12" t="n">
        <v>478.5</v>
      </c>
      <c r="F325" s="11">
        <f>F324+E325-D325</f>
        <v/>
      </c>
      <c r="G325" s="9">
        <f>IF(F325&gt;=0,"C","D")</f>
        <v/>
      </c>
    </row>
    <row r="326">
      <c r="A326" s="7" t="n">
        <v>45910</v>
      </c>
      <c r="B326" s="8" t="inlineStr">
        <is>
          <t>VLR ICMS DEST DEB. S/ NF 65116 HOSPITAL MATER DEI S/A</t>
        </is>
      </c>
      <c r="C326" s="9" t="n">
        <v>29068</v>
      </c>
      <c r="D326" s="11" t="n"/>
      <c r="E326" s="12" t="n">
        <v>376.2</v>
      </c>
      <c r="F326" s="11">
        <f>F325+E326-D326</f>
        <v/>
      </c>
      <c r="G326" s="9">
        <f>IF(F326&gt;=0,"C","D")</f>
        <v/>
      </c>
    </row>
    <row r="327">
      <c r="A327" s="7" t="n">
        <v>45910</v>
      </c>
      <c r="B327" s="8" t="inlineStr">
        <is>
          <t>VLR ICMS DEST DEB. S/ NF 65127 HOSPITAL MATER DEI S/A</t>
        </is>
      </c>
      <c r="C327" s="9" t="n">
        <v>29069</v>
      </c>
      <c r="D327" s="11" t="n"/>
      <c r="E327" s="12" t="n">
        <v>861.96</v>
      </c>
      <c r="F327" s="11">
        <f>F326+E327-D327</f>
        <v/>
      </c>
      <c r="G327" s="9">
        <f>IF(F327&gt;=0,"C","D")</f>
        <v/>
      </c>
    </row>
    <row r="328">
      <c r="A328" s="7" t="n">
        <v>45911</v>
      </c>
      <c r="B328" s="8" t="inlineStr">
        <is>
          <t>VLR ICMS DEST DEB. S/ NF 65141 HOSPITAL DA FUNDACAO CASA DE CARIDADE DE SAO LOURENCO</t>
        </is>
      </c>
      <c r="C328" s="9" t="n">
        <v>29234</v>
      </c>
      <c r="D328" s="11" t="n"/>
      <c r="E328" s="12" t="n">
        <v>287.1</v>
      </c>
      <c r="F328" s="11">
        <f>F327+E328-D328</f>
        <v/>
      </c>
      <c r="G328" s="9">
        <f>IF(F328&gt;=0,"C","D")</f>
        <v/>
      </c>
    </row>
    <row r="329">
      <c r="A329" s="7" t="n">
        <v>45915</v>
      </c>
      <c r="B329" s="8" t="inlineStr">
        <is>
          <t>DEB C/C PG.ICMS DIFER. ALÍQUOTA REF. NF 11503 CAIXA DE ASSISTENCIA</t>
        </is>
      </c>
      <c r="C329" s="9" t="n">
        <v>29455</v>
      </c>
      <c r="D329" s="10" t="n">
        <v>467.46</v>
      </c>
      <c r="E329" s="11" t="n"/>
      <c r="F329" s="11">
        <f>F328+E329-D329</f>
        <v/>
      </c>
      <c r="G329" s="9">
        <f>IF(F329&gt;=0,"C","D")</f>
        <v/>
      </c>
    </row>
    <row r="330">
      <c r="A330" s="7" t="n">
        <v>45915</v>
      </c>
      <c r="B330" s="8" t="inlineStr">
        <is>
          <t>DEB C/C PG.ICMS DIFER. ALÍQUOTA REF. 63739-63805-63835-63894-63899- 64017-64018-64253-64258-64389-64395</t>
        </is>
      </c>
      <c r="C330" s="9" t="n">
        <v>29464</v>
      </c>
      <c r="D330" s="10" t="n">
        <v>6099.06</v>
      </c>
      <c r="E330" s="11" t="n"/>
      <c r="F330" s="11">
        <f>F329+E330-D330</f>
        <v/>
      </c>
      <c r="G330" s="9">
        <f>IF(F330&gt;=0,"C","D")</f>
        <v/>
      </c>
    </row>
    <row r="331">
      <c r="A331" s="7" t="n">
        <v>45915</v>
      </c>
      <c r="B331" s="8" t="inlineStr">
        <is>
          <t>DEB C/C PG.ICMS DIFER. ALÍQUOTA REF. 63935-64033-64424-64488-64551</t>
        </is>
      </c>
      <c r="C331" s="9" t="n">
        <v>29465</v>
      </c>
      <c r="D331" s="10" t="n">
        <v>8546.08</v>
      </c>
      <c r="E331" s="11" t="n"/>
      <c r="F331" s="11">
        <f>F330+E331-D331</f>
        <v/>
      </c>
      <c r="G331" s="9">
        <f>IF(F331&gt;=0,"C","D")</f>
        <v/>
      </c>
    </row>
    <row r="332">
      <c r="A332" s="7" t="n">
        <v>45915</v>
      </c>
      <c r="B332" s="8" t="inlineStr">
        <is>
          <t>DEB C/C PG.ICMS DIFER. ALÍQUOTA REF. NF 64055 UNIMED CURITIBA - SOCIEDADE COOPERATIVA DE MEDICOS</t>
        </is>
      </c>
      <c r="C332" s="9" t="n">
        <v>29466</v>
      </c>
      <c r="D332" s="10" t="n">
        <v>159.03</v>
      </c>
      <c r="E332" s="11" t="n"/>
      <c r="F332" s="11">
        <f>F331+E332-D332</f>
        <v/>
      </c>
      <c r="G332" s="9">
        <f>IF(F332&gt;=0,"C","D")</f>
        <v/>
      </c>
    </row>
    <row r="333">
      <c r="A333" s="7" t="n">
        <v>45915</v>
      </c>
      <c r="B333" s="8" t="inlineStr">
        <is>
          <t>VLR ICMS DEST S/ NF 11771 SAMEDIL - SERVICOS DE ATENDIMENTO MEDICO S/A - FILIAL 1</t>
        </is>
      </c>
      <c r="C333" s="9" t="n">
        <v>29528</v>
      </c>
      <c r="D333" s="11" t="n"/>
      <c r="E333" s="12" t="n">
        <v>5.46</v>
      </c>
      <c r="F333" s="11">
        <f>F332+E333-D333</f>
        <v/>
      </c>
      <c r="G333" s="9">
        <f>IF(F333&gt;=0,"C","D")</f>
        <v/>
      </c>
    </row>
    <row r="334">
      <c r="A334" s="7" t="n">
        <v>45916</v>
      </c>
      <c r="B334" s="8" t="inlineStr">
        <is>
          <t>DEB C/C PG.ICMS DIFER. ALÍQUOTA REF. NF 11775 SAMEDIL - SERVICOS DE ATENDIMENTO MEDICO S/A - FILIAL 1</t>
        </is>
      </c>
      <c r="C334" s="9" t="n">
        <v>29764</v>
      </c>
      <c r="D334" s="10" t="n">
        <v>435.76</v>
      </c>
      <c r="E334" s="11" t="n"/>
      <c r="F334" s="11">
        <f>F333+E334-D334</f>
        <v/>
      </c>
      <c r="G334" s="9">
        <f>IF(F334&gt;=0,"C","D")</f>
        <v/>
      </c>
    </row>
    <row r="335">
      <c r="A335" s="7" t="n">
        <v>45916</v>
      </c>
      <c r="B335" s="8" t="inlineStr">
        <is>
          <t>VLR ICMS DEST DEB. S/ NF 11775 SAMEDIL - SERVICOS DE ATENDIMENTO MEDICO S/A - FILIAL 1</t>
        </is>
      </c>
      <c r="C335" s="9" t="n">
        <v>29790</v>
      </c>
      <c r="D335" s="11" t="n"/>
      <c r="E335" s="12" t="n">
        <v>435.76</v>
      </c>
      <c r="F335" s="11">
        <f>F334+E335-D335</f>
        <v/>
      </c>
      <c r="G335" s="9">
        <f>IF(F335&gt;=0,"C","D")</f>
        <v/>
      </c>
    </row>
    <row r="336">
      <c r="A336" s="7" t="n">
        <v>45922</v>
      </c>
      <c r="B336" s="8" t="inlineStr">
        <is>
          <t>DEB C/C PG.ICMS DIFER. ALÍQUOTA REF. NF 65414 HOSPITAL UNIMED OESTE DO PARA</t>
        </is>
      </c>
      <c r="C336" s="9" t="n">
        <v>30360</v>
      </c>
      <c r="D336" s="10" t="n">
        <v>24691.88</v>
      </c>
      <c r="E336" s="11" t="n"/>
      <c r="F336" s="11">
        <f>F335+E336-D336</f>
        <v/>
      </c>
      <c r="G336" s="9">
        <f>IF(F336&gt;=0,"C","D")</f>
        <v/>
      </c>
    </row>
    <row r="337">
      <c r="A337" s="7" t="n">
        <v>45922</v>
      </c>
      <c r="B337" s="8" t="inlineStr">
        <is>
          <t>VLR ICMS DEST DEB. S/ NF 65414 HOSPITAL UNIMED OESTE DO PARA</t>
        </is>
      </c>
      <c r="C337" s="9" t="n">
        <v>30449</v>
      </c>
      <c r="D337" s="11" t="n"/>
      <c r="E337" s="12" t="n">
        <v>24691.88</v>
      </c>
      <c r="F337" s="11">
        <f>F336+E337-D337</f>
        <v/>
      </c>
      <c r="G337" s="9">
        <f>IF(F337&gt;=0,"C","D")</f>
        <v/>
      </c>
    </row>
    <row r="338">
      <c r="A338" s="7" t="n">
        <v>45923</v>
      </c>
      <c r="B338" s="8" t="inlineStr">
        <is>
          <t>DEB C/C PG.ICMS DIFER. ALÍQUOTA REF. NF 65490 UNIMED Sergipe - Cooperativa de Trabalho Medico</t>
        </is>
      </c>
      <c r="C338" s="9" t="n">
        <v>30488</v>
      </c>
      <c r="D338" s="10" t="n">
        <v>1119.3</v>
      </c>
      <c r="E338" s="11" t="n"/>
      <c r="F338" s="11">
        <f>F337+E338-D338</f>
        <v/>
      </c>
      <c r="G338" s="9">
        <f>IF(F338&gt;=0,"C","D")</f>
        <v/>
      </c>
    </row>
    <row r="339">
      <c r="A339" s="7" t="n">
        <v>45923</v>
      </c>
      <c r="B339" s="8" t="inlineStr">
        <is>
          <t>DEB C/C PG.ICMS DIFER. ALÍQUOTA REF. F 65491 UNIMED Sergipe - Cooperativa de Trabalho Medico</t>
        </is>
      </c>
      <c r="C339" s="9" t="n">
        <v>30489</v>
      </c>
      <c r="D339" s="10" t="n">
        <v>914.04</v>
      </c>
      <c r="E339" s="11" t="n"/>
      <c r="F339" s="11">
        <f>F338+E339-D339</f>
        <v/>
      </c>
      <c r="G339" s="9">
        <f>IF(F339&gt;=0,"C","D")</f>
        <v/>
      </c>
    </row>
    <row r="340">
      <c r="A340" s="7" t="n">
        <v>45923</v>
      </c>
      <c r="B340" s="8" t="inlineStr">
        <is>
          <t>VLR ICMS DEST DEB. S/ NF 65486 UNIMED DO SUDOESTE COOPERATIVA DE TRABALHO MEDICO LTDA</t>
        </is>
      </c>
      <c r="C340" s="9" t="n">
        <v>30582</v>
      </c>
      <c r="D340" s="11" t="n"/>
      <c r="E340" s="12" t="n">
        <v>1155</v>
      </c>
      <c r="F340" s="11">
        <f>F339+E340-D340</f>
        <v/>
      </c>
      <c r="G340" s="9">
        <f>IF(F340&gt;=0,"C","D")</f>
        <v/>
      </c>
    </row>
    <row r="341">
      <c r="A341" s="7" t="n">
        <v>45923</v>
      </c>
      <c r="B341" s="8" t="inlineStr">
        <is>
          <t>VLR ICMS DEST DEB. S/ NF 65490 UNIMED Sergipe - Cooperativa de Trabalho Medico</t>
        </is>
      </c>
      <c r="C341" s="9" t="n">
        <v>30583</v>
      </c>
      <c r="D341" s="11" t="n"/>
      <c r="E341" s="12" t="n">
        <v>1119.3</v>
      </c>
      <c r="F341" s="11">
        <f>F340+E341-D341</f>
        <v/>
      </c>
      <c r="G341" s="9">
        <f>IF(F341&gt;=0,"C","D")</f>
        <v/>
      </c>
    </row>
    <row r="342">
      <c r="A342" s="7" t="n">
        <v>45923</v>
      </c>
      <c r="B342" s="8" t="inlineStr">
        <is>
          <t>VLR ICMS DEST DEB. S/ NF 65491 UNIMED Sergipe - Cooperativa de Trabalho Medico</t>
        </is>
      </c>
      <c r="C342" s="9" t="n">
        <v>30584</v>
      </c>
      <c r="D342" s="11" t="n"/>
      <c r="E342" s="12" t="n">
        <v>914.04</v>
      </c>
      <c r="F342" s="11">
        <f>F341+E342-D342</f>
        <v/>
      </c>
      <c r="G342" s="9">
        <f>IF(F342&gt;=0,"C","D")</f>
        <v/>
      </c>
    </row>
    <row r="343">
      <c r="A343" s="7" t="n">
        <v>45924</v>
      </c>
      <c r="B343" s="8" t="inlineStr">
        <is>
          <t>VLR ICMS DEST DEB. S/ NF 65538 UNIMED JOAO PESSOA COOPERATIVA DE TRABALHO MEDICO</t>
        </is>
      </c>
      <c r="C343" s="9" t="n">
        <v>30729</v>
      </c>
      <c r="D343" s="11" t="n"/>
      <c r="E343" s="12" t="n">
        <v>46960</v>
      </c>
      <c r="F343" s="11">
        <f>F342+E343-D343</f>
        <v/>
      </c>
      <c r="G343" s="9">
        <f>IF(F343&gt;=0,"C","D")</f>
        <v/>
      </c>
    </row>
    <row r="344">
      <c r="A344" s="7" t="n">
        <v>45925</v>
      </c>
      <c r="B344" s="8" t="inlineStr">
        <is>
          <t>VLR ICMS DEST DEB. S/ NF 65563 UNIMED DO SUDOESTE COOPERATIVA DE TRABALHO MEDICO LTDA</t>
        </is>
      </c>
      <c r="C344" s="9" t="n">
        <v>30893</v>
      </c>
      <c r="D344" s="11" t="n"/>
      <c r="E344" s="12" t="n">
        <v>1930.5</v>
      </c>
      <c r="F344" s="11">
        <f>F343+E344-D344</f>
        <v/>
      </c>
      <c r="G344" s="9">
        <f>IF(F344&gt;=0,"C","D")</f>
        <v/>
      </c>
    </row>
    <row r="345">
      <c r="A345" s="7" t="n">
        <v>45930</v>
      </c>
      <c r="B345" s="8" t="inlineStr">
        <is>
          <t>TRANSF. SALDO DEVEDOR ICMS DO MÊS - FILIAL 1</t>
        </is>
      </c>
      <c r="C345" s="9" t="n">
        <v>31296</v>
      </c>
      <c r="D345" s="11" t="n"/>
      <c r="E345" s="12" t="n">
        <v>13169.87</v>
      </c>
      <c r="F345" s="11">
        <f>F344+E345-D345</f>
        <v/>
      </c>
      <c r="G345" s="9">
        <f>IF(F345&gt;=0,"C","D")</f>
        <v/>
      </c>
    </row>
    <row r="346">
      <c r="A346" s="7" t="n">
        <v>45932</v>
      </c>
      <c r="B346" s="8" t="inlineStr">
        <is>
          <t>DEB C/C PG.ICMS DIFER. ALÍQUOTA REF. NF 65809 EDNEUSA DANTAS DORIA</t>
        </is>
      </c>
      <c r="C346" s="9" t="n">
        <v>31922</v>
      </c>
      <c r="D346" s="10" t="n">
        <v>372.24</v>
      </c>
      <c r="E346" s="11" t="n"/>
      <c r="F346" s="11">
        <f>F345+E346-D346</f>
        <v/>
      </c>
      <c r="G346" s="9">
        <f>IF(F346&gt;=0,"C","D")</f>
        <v/>
      </c>
    </row>
    <row r="347">
      <c r="A347" s="7" t="n">
        <v>45932</v>
      </c>
      <c r="B347" s="8" t="inlineStr">
        <is>
          <t>DEB C/C PG.ICMS DIFER. ALÍQUOTA REF. NF 12013 SAMEDIL - SERVICOS DE ATENDIMENTO MEDICO S/A - FILIAL 2</t>
        </is>
      </c>
      <c r="C347" s="9" t="n">
        <v>31924</v>
      </c>
      <c r="D347" s="10" t="n">
        <v>5.46</v>
      </c>
      <c r="E347" s="11" t="n"/>
      <c r="F347" s="11">
        <f>F346+E347-D347</f>
        <v/>
      </c>
      <c r="G347" s="9">
        <f>IF(F347&gt;=0,"C","D")</f>
        <v/>
      </c>
    </row>
    <row r="348">
      <c r="A348" s="7" t="n">
        <v>45932</v>
      </c>
      <c r="B348" s="8" t="inlineStr">
        <is>
          <t>VLR ICMS DEST DEB. S/ NF 65809 EDNEUSA DANTAS DORIA</t>
        </is>
      </c>
      <c r="C348" s="9" t="n">
        <v>32004</v>
      </c>
      <c r="D348" s="11" t="n"/>
      <c r="E348" s="12" t="n">
        <v>372.24</v>
      </c>
      <c r="F348" s="11">
        <f>F347+E348-D348</f>
        <v/>
      </c>
      <c r="G348" s="9">
        <f>IF(F348&gt;=0,"C","D")</f>
        <v/>
      </c>
    </row>
    <row r="349">
      <c r="A349" s="7" t="n">
        <v>45933</v>
      </c>
      <c r="B349" s="8" t="inlineStr">
        <is>
          <t>VLR ICMS DEST DEB. S/ NF 65857 UNIMED DO SUDOESTE COOPERATIVA DE TRABALHO MEDICO LTDA</t>
        </is>
      </c>
      <c r="C349" s="9" t="n">
        <v>32239</v>
      </c>
      <c r="D349" s="11" t="n"/>
      <c r="E349" s="12" t="n">
        <v>1930.5</v>
      </c>
      <c r="F349" s="11">
        <f>F348+E349-D349</f>
        <v/>
      </c>
      <c r="G349" s="9">
        <f>IF(F349&gt;=0,"C","D")</f>
        <v/>
      </c>
    </row>
    <row r="350">
      <c r="A350" s="7" t="n">
        <v>45936</v>
      </c>
      <c r="B350" s="8" t="inlineStr">
        <is>
          <t>DEB C/C PG.ICMS DIFER. ALÍQUOTA REF. NF 65892 SAMEDIL - SERVICOS DE ATENDIMENTO MEDICO S/A</t>
        </is>
      </c>
      <c r="C350" s="9" t="n">
        <v>32366</v>
      </c>
      <c r="D350" s="10" t="n">
        <v>435.76</v>
      </c>
      <c r="E350" s="11" t="n"/>
      <c r="F350" s="11">
        <f>F349+E350-D350</f>
        <v/>
      </c>
      <c r="G350" s="9">
        <f>IF(F350&gt;=0,"C","D")</f>
        <v/>
      </c>
    </row>
    <row r="351">
      <c r="A351" s="7" t="n">
        <v>45936</v>
      </c>
      <c r="B351" s="8" t="inlineStr">
        <is>
          <t>VLR ICMS DEST DEB. S/ NF 65892 SAMEDIL - SERVICOS DE ATENDIMENTO MEDICO S/A</t>
        </is>
      </c>
      <c r="C351" s="9" t="n">
        <v>32430</v>
      </c>
      <c r="D351" s="11" t="n"/>
      <c r="E351" s="12" t="n">
        <v>435.76</v>
      </c>
      <c r="F351" s="11">
        <f>F350+E351-D351</f>
        <v/>
      </c>
      <c r="G351" s="9">
        <f>IF(F351&gt;=0,"C","D")</f>
        <v/>
      </c>
    </row>
    <row r="352">
      <c r="A352" s="7" t="n">
        <v>45936</v>
      </c>
      <c r="B352" s="8" t="inlineStr">
        <is>
          <t>VLR ICMS DEST DEB. S/ NF 65893 UNIMED CURITIBA - SOCIEDADE COOPERATIVA DE MEDICOS</t>
        </is>
      </c>
      <c r="C352" s="9" t="n">
        <v>32431</v>
      </c>
      <c r="D352" s="11" t="n"/>
      <c r="E352" s="12" t="n">
        <v>32227.29</v>
      </c>
      <c r="F352" s="11">
        <f>F351+E352-D352</f>
        <v/>
      </c>
      <c r="G352" s="9">
        <f>IF(F352&gt;=0,"C","D")</f>
        <v/>
      </c>
    </row>
    <row r="353">
      <c r="A353" s="7" t="n">
        <v>45937</v>
      </c>
      <c r="B353" s="8" t="inlineStr">
        <is>
          <t>VLR ICMS DEST DEB. S/ NF 65936 SANTA CASA DE MISERICORDIA DE ITABUNA</t>
        </is>
      </c>
      <c r="C353" s="9" t="n">
        <v>32674</v>
      </c>
      <c r="D353" s="11" t="n"/>
      <c r="E353" s="12" t="n">
        <v>6.6</v>
      </c>
      <c r="F353" s="11">
        <f>F352+E353-D353</f>
        <v/>
      </c>
      <c r="G353" s="9">
        <f>IF(F353&gt;=0,"C","D")</f>
        <v/>
      </c>
    </row>
    <row r="354">
      <c r="A354" s="7" t="n">
        <v>45938</v>
      </c>
      <c r="B354" s="8" t="inlineStr">
        <is>
          <t>DEB C/C PG.ICMS DIFER. ALÍQUOTA REF. NF 63227 UNIMED NORTE MATO GROSSO COOPERATIVA TRABALHO MEDICO</t>
        </is>
      </c>
      <c r="C354" s="9" t="n">
        <v>32746</v>
      </c>
      <c r="D354" s="10" t="n">
        <v>24960</v>
      </c>
      <c r="E354" s="11" t="n"/>
      <c r="F354" s="11">
        <f>F353+E354-D354</f>
        <v/>
      </c>
      <c r="G354" s="9">
        <f>IF(F354&gt;=0,"C","D")</f>
        <v/>
      </c>
    </row>
    <row r="355">
      <c r="A355" s="7" t="n">
        <v>45938</v>
      </c>
      <c r="B355" s="8" t="inlineStr">
        <is>
          <t>VLR ICMS DEST DEB. S/ NF 65987 HOSPITAL MATER DEI S.A.</t>
        </is>
      </c>
      <c r="C355" s="9" t="n">
        <v>32811</v>
      </c>
      <c r="D355" s="11" t="n"/>
      <c r="E355" s="12" t="n">
        <v>7.26</v>
      </c>
      <c r="F355" s="11">
        <f>F354+E355-D355</f>
        <v/>
      </c>
      <c r="G355" s="9">
        <f>IF(F355&gt;=0,"C","D")</f>
        <v/>
      </c>
    </row>
    <row r="356">
      <c r="A356" s="7" t="n">
        <v>45938</v>
      </c>
      <c r="B356" s="8" t="inlineStr">
        <is>
          <t>VLR ICMS DEST DEB. S/ NF 66006 Fundacao Felice Rosso</t>
        </is>
      </c>
      <c r="C356" s="9" t="n">
        <v>32812</v>
      </c>
      <c r="D356" s="11" t="n"/>
      <c r="E356" s="12" t="n">
        <v>24087.28</v>
      </c>
      <c r="F356" s="11">
        <f>F355+E356-D356</f>
        <v/>
      </c>
      <c r="G356" s="9">
        <f>IF(F356&gt;=0,"C","D")</f>
        <v/>
      </c>
    </row>
    <row r="357">
      <c r="A357" s="7" t="n">
        <v>45940</v>
      </c>
      <c r="B357" s="8" t="inlineStr">
        <is>
          <t>DEB C/C PG.ICMS REF. 09/2025</t>
        </is>
      </c>
      <c r="C357" s="9" t="n">
        <v>33001</v>
      </c>
      <c r="D357" s="10" t="n">
        <v>13169.87</v>
      </c>
      <c r="E357" s="11" t="n"/>
      <c r="F357" s="11">
        <f>F356+E357-D357</f>
        <v/>
      </c>
      <c r="G357" s="9">
        <f>IF(F357&gt;=0,"C","D")</f>
        <v/>
      </c>
    </row>
    <row r="358">
      <c r="A358" s="7" t="n">
        <v>45944</v>
      </c>
      <c r="B358" s="8" t="inlineStr">
        <is>
          <t>VLR ICMS DEST DEB. S/ NF 66173 SANTA CASA DE MISERICORDIA DE VITORIA DA CONQUISTA</t>
        </is>
      </c>
      <c r="C358" s="9" t="n">
        <v>33368</v>
      </c>
      <c r="D358" s="11" t="n"/>
      <c r="E358" s="12" t="n">
        <v>1166.55</v>
      </c>
      <c r="F358" s="11">
        <f>F357+E358-D358</f>
        <v/>
      </c>
      <c r="G358" s="9">
        <f>IF(F358&gt;=0,"C","D")</f>
        <v/>
      </c>
    </row>
    <row r="359">
      <c r="A359" s="7" t="n">
        <v>45945</v>
      </c>
      <c r="B359" s="8" t="inlineStr">
        <is>
          <t>DEB C/C PG.ICMS DIFER. ALÍQUOTA REF. NF 64892-64894-64982-64984- 65111-65115-65116-65127-65486-65563</t>
        </is>
      </c>
      <c r="C359" s="9" t="n">
        <v>33449</v>
      </c>
      <c r="D359" s="10" t="n">
        <v>6175.62</v>
      </c>
      <c r="E359" s="11" t="n"/>
      <c r="F359" s="11">
        <f>F358+E359-D359</f>
        <v/>
      </c>
      <c r="G359" s="9">
        <f>IF(F359&gt;=0,"C","D")</f>
        <v/>
      </c>
    </row>
    <row r="360">
      <c r="A360" s="7" t="n">
        <v>45945</v>
      </c>
      <c r="B360" s="8" t="inlineStr">
        <is>
          <t>DEB C/C PG.ICMS DIFER. ALÍQUOTA REF. NF 65141 HOSPITAL DA FUNDACAO CASA DE CARIDADE DE SAO LOURENCO</t>
        </is>
      </c>
      <c r="C360" s="9" t="n">
        <v>33450</v>
      </c>
      <c r="D360" s="10" t="n">
        <v>287.1</v>
      </c>
      <c r="E360" s="11" t="n"/>
      <c r="F360" s="11">
        <f>F359+E360-D360</f>
        <v/>
      </c>
      <c r="G360" s="9">
        <f>IF(F360&gt;=0,"C","D")</f>
        <v/>
      </c>
    </row>
    <row r="361">
      <c r="A361" s="7" t="n">
        <v>45945</v>
      </c>
      <c r="B361" s="8" t="inlineStr">
        <is>
          <t>DEB C/C PG.ICMS REF. 09/2025</t>
        </is>
      </c>
      <c r="C361" s="9" t="n">
        <v>33451</v>
      </c>
      <c r="D361" s="10" t="n">
        <v>46960</v>
      </c>
      <c r="E361" s="11" t="n"/>
      <c r="F361" s="11">
        <f>F360+E361-D361</f>
        <v/>
      </c>
      <c r="G361" s="9">
        <f>IF(F361&gt;=0,"C","D")</f>
        <v/>
      </c>
    </row>
    <row r="362">
      <c r="A362" s="7" t="n">
        <v>45952</v>
      </c>
      <c r="B362" s="8" t="inlineStr">
        <is>
          <t>VLR ICMS DEST DEB. S/ NF 66415 HOSPITAL DA FUNDACAO CASA DE CARIDADE DE SAO LOURENCO</t>
        </is>
      </c>
      <c r="C362" s="9" t="n">
        <v>34338</v>
      </c>
      <c r="D362" s="11" t="n"/>
      <c r="E362" s="12" t="n">
        <v>62.7</v>
      </c>
      <c r="F362" s="11">
        <f>F361+E362-D362</f>
        <v/>
      </c>
      <c r="G362" s="9">
        <f>IF(F362&gt;=0,"C","D")</f>
        <v/>
      </c>
    </row>
    <row r="363">
      <c r="A363" s="7" t="n">
        <v>45960</v>
      </c>
      <c r="B363" s="8" t="inlineStr">
        <is>
          <t>VLR ICMS DEST DEB. S/ NF 66711 SANTA CASA DE MISERICORDIA DA BAHIA</t>
        </is>
      </c>
      <c r="C363" s="9" t="n">
        <v>35029</v>
      </c>
      <c r="D363" s="11" t="n"/>
      <c r="E363" s="12" t="n">
        <v>2.39</v>
      </c>
      <c r="F363" s="11">
        <f>F362+E363-D363</f>
        <v/>
      </c>
      <c r="G363" s="9">
        <f>IF(F363&gt;=0,"C","D")</f>
        <v/>
      </c>
    </row>
    <row r="364">
      <c r="A364" s="7" t="n">
        <v>45960</v>
      </c>
      <c r="B364" s="8" t="inlineStr">
        <is>
          <t>VLR ICMS DEST DEB. S/ NF 66716 SANTA CASA DE MISERICORDIA DA BAHIA</t>
        </is>
      </c>
      <c r="C364" s="9" t="n">
        <v>35030</v>
      </c>
      <c r="D364" s="11" t="n"/>
      <c r="E364" s="12" t="n">
        <v>51.56</v>
      </c>
      <c r="F364" s="11">
        <f>F363+E364-D364</f>
        <v/>
      </c>
      <c r="G364" s="9">
        <f>IF(F364&gt;=0,"C","D")</f>
        <v/>
      </c>
    </row>
    <row r="365">
      <c r="A365" s="7" t="n">
        <v>45961</v>
      </c>
      <c r="B365" s="8" t="inlineStr">
        <is>
          <t>TRANSF SALDO DEVEDOR ICMS 10/2025</t>
        </is>
      </c>
      <c r="C365" s="9" t="n">
        <v>35362</v>
      </c>
      <c r="D365" s="11" t="n"/>
      <c r="E365" s="12" t="n">
        <v>2513.28</v>
      </c>
      <c r="F365" s="11">
        <f>F364+E365-D365</f>
        <v/>
      </c>
      <c r="G365" s="9">
        <f>IF(F365&gt;=0,"C","D")</f>
        <v/>
      </c>
    </row>
    <row r="366">
      <c r="A366" s="7" t="n">
        <v>45961</v>
      </c>
      <c r="B366" s="8" t="inlineStr">
        <is>
          <t>TRANSF SALDO DEVEDOR ICMS 10/2025</t>
        </is>
      </c>
      <c r="C366" s="9" t="n">
        <v>35366</v>
      </c>
      <c r="D366" s="11" t="n"/>
      <c r="E366" s="12" t="n">
        <v>259.3</v>
      </c>
      <c r="F366" s="11">
        <f>F365+E366-D366</f>
        <v/>
      </c>
      <c r="G366" s="9">
        <f>IF(F366&gt;=0,"C","D")</f>
        <v/>
      </c>
    </row>
    <row r="367">
      <c r="A367" s="7" t="n">
        <v>45961</v>
      </c>
      <c r="B367" s="8" t="inlineStr">
        <is>
          <t>VLR ICMS DEST DEB. S/ NF 66728 HOSPITAL DA FUNDACAO CASA DE CARIDADE DE SAO LOURENCO</t>
        </is>
      </c>
      <c r="C367" s="9" t="n">
        <v>35486</v>
      </c>
      <c r="D367" s="11" t="n"/>
      <c r="E367" s="12" t="n">
        <v>287.1</v>
      </c>
      <c r="F367" s="11">
        <f>F366+E367-D367</f>
        <v/>
      </c>
      <c r="G367" s="9">
        <f>IF(F367&gt;=0,"C","D")</f>
        <v/>
      </c>
    </row>
    <row r="368">
      <c r="A368" s="7" t="n">
        <v>45961</v>
      </c>
      <c r="B368" s="8" t="inlineStr">
        <is>
          <t>VLR ICMS DEST DEB. S/ NF 66756 UNIMED NORTE MATO GROSSO</t>
        </is>
      </c>
      <c r="C368" s="9" t="n">
        <v>35487</v>
      </c>
      <c r="D368" s="11" t="n"/>
      <c r="E368" s="12" t="n">
        <v>41600</v>
      </c>
      <c r="F368" s="11">
        <f>F367+E368-D368</f>
        <v/>
      </c>
      <c r="G368" s="9">
        <f>IF(F368&gt;=0,"C","D")</f>
        <v/>
      </c>
    </row>
    <row r="369">
      <c r="A369" s="7" t="n">
        <v>45964</v>
      </c>
      <c r="B369" s="8" t="inlineStr">
        <is>
          <t>DEB C/C PG.ICMS DIFER. ALÍQUOTA REF. NF 66756 UNIMED NORTE MATO GROSSO COOPERATIVA TRABALHO MEDICO</t>
        </is>
      </c>
      <c r="C369" s="9" t="n">
        <v>35659</v>
      </c>
      <c r="D369" s="10" t="n">
        <v>41600</v>
      </c>
      <c r="E369" s="11" t="n"/>
      <c r="F369" s="11">
        <f>F368+E369-D369</f>
        <v/>
      </c>
      <c r="G369" s="9">
        <f>IF(F369&gt;=0,"C","D")</f>
        <v/>
      </c>
    </row>
    <row r="370">
      <c r="A370" s="7" t="n">
        <v>45966</v>
      </c>
      <c r="B370" s="8" t="inlineStr">
        <is>
          <t>DEB C/C PG.ICMS DIFER. ALÍQUOTA REF. NF 66934 UNIMED NORTE MATO GROSSO COOPERATIVA TRABALHO MEDICO</t>
        </is>
      </c>
      <c r="C370" s="9" t="n">
        <v>35918</v>
      </c>
      <c r="D370" s="10" t="n">
        <v>41600</v>
      </c>
      <c r="E370" s="11" t="n"/>
      <c r="F370" s="11">
        <f>F369+E370-D370</f>
        <v/>
      </c>
      <c r="G370" s="9">
        <f>IF(F370&gt;=0,"C","D")</f>
        <v/>
      </c>
    </row>
    <row r="371">
      <c r="A371" s="7" t="n">
        <v>45966</v>
      </c>
      <c r="B371" s="8" t="inlineStr">
        <is>
          <t>VLR ICMS DEST DEB. S/ NF 66934 UNIMED NORTE MATO GROSSO COOPERATIVA TRABALHO MEDICO</t>
        </is>
      </c>
      <c r="C371" s="9" t="n">
        <v>36010</v>
      </c>
      <c r="D371" s="11" t="n"/>
      <c r="E371" s="12" t="n">
        <v>41600</v>
      </c>
      <c r="F371" s="11">
        <f>F370+E371-D371</f>
        <v/>
      </c>
      <c r="G371" s="9">
        <f>IF(F371&gt;=0,"C","D")</f>
        <v/>
      </c>
    </row>
    <row r="372">
      <c r="A372" s="7" t="n">
        <v>45968</v>
      </c>
      <c r="B372" s="8" t="inlineStr">
        <is>
          <t>VLR ICMS DEST DEB. S/ NF 67054 Fundacao Felice Rosso</t>
        </is>
      </c>
      <c r="C372" s="9" t="n">
        <v>36249</v>
      </c>
      <c r="D372" s="11" t="n"/>
      <c r="E372" s="12" t="n">
        <v>41884.78</v>
      </c>
      <c r="F372" s="11">
        <f>F371+E372-D372</f>
        <v/>
      </c>
      <c r="G372" s="9">
        <f>IF(F372&gt;=0,"C","D")</f>
        <v/>
      </c>
    </row>
    <row r="373">
      <c r="A373" s="7" t="n">
        <v>45971</v>
      </c>
      <c r="B373" s="8" t="inlineStr">
        <is>
          <t>DEB C/C PG.ICMS REF. 10/2025</t>
        </is>
      </c>
      <c r="C373" s="9" t="n">
        <v>36311</v>
      </c>
      <c r="D373" s="10" t="n">
        <v>259.3</v>
      </c>
      <c r="E373" s="11" t="n"/>
      <c r="F373" s="11">
        <f>F372+E373-D373</f>
        <v/>
      </c>
      <c r="G373" s="9">
        <f>IF(F373&gt;=0,"C","D")</f>
        <v/>
      </c>
    </row>
    <row r="374">
      <c r="A374" s="7" t="n">
        <v>45971</v>
      </c>
      <c r="B374" s="8" t="inlineStr">
        <is>
          <t>DEB C/C PG.ICMS REF. 10/2025</t>
        </is>
      </c>
      <c r="C374" s="9" t="n">
        <v>36317</v>
      </c>
      <c r="D374" s="10" t="n">
        <v>4519.27</v>
      </c>
      <c r="E374" s="11" t="n"/>
      <c r="F374" s="11">
        <f>F373+E374-D374</f>
        <v/>
      </c>
      <c r="G374" s="9">
        <f>IF(F374&gt;=0,"C","D")</f>
        <v/>
      </c>
    </row>
    <row r="375">
      <c r="A375" s="7" t="n">
        <v>45971</v>
      </c>
      <c r="B375" s="8" t="inlineStr">
        <is>
          <t>VLR ICMS DEST DEB. S/ NF 67075 PROMEDICA PATRIMONIAL S A PROPAT</t>
        </is>
      </c>
      <c r="C375" s="9" t="n">
        <v>36390</v>
      </c>
      <c r="D375" s="11" t="n"/>
      <c r="E375" s="12" t="n">
        <v>973.5</v>
      </c>
      <c r="F375" s="11">
        <f>F374+E375-D375</f>
        <v/>
      </c>
      <c r="G375" s="9">
        <f>IF(F375&gt;=0,"C","D")</f>
        <v/>
      </c>
    </row>
    <row r="376">
      <c r="A376" s="7" t="n">
        <v>45971</v>
      </c>
      <c r="B376" s="8" t="inlineStr">
        <is>
          <t>TRANSF PG. ADICIONAL FECP RJ</t>
        </is>
      </c>
      <c r="C376" s="9" t="n">
        <v>36414</v>
      </c>
      <c r="D376" s="11" t="n"/>
      <c r="E376" s="12" t="n">
        <v>2005.99</v>
      </c>
      <c r="F376" s="11">
        <f>F375+E376-D376</f>
        <v/>
      </c>
      <c r="G376" s="9">
        <f>IF(F376&gt;=0,"C","D")</f>
        <v/>
      </c>
    </row>
    <row r="377">
      <c r="A377" s="7" t="n">
        <v>45978</v>
      </c>
      <c r="B377" s="8" t="inlineStr">
        <is>
          <t>DEB C/C PG.ICMS DIFER. ALÍQUOTA REF. NF 65893 UNIMED CURITIBA - SOCIEDADE COOPERATIVA DE MEDICOS</t>
        </is>
      </c>
      <c r="C377" s="9" t="n">
        <v>36991</v>
      </c>
      <c r="D377" s="10" t="n">
        <v>32227.29</v>
      </c>
      <c r="E377" s="11" t="n"/>
      <c r="F377" s="11">
        <f>F376+E377-D377</f>
        <v/>
      </c>
      <c r="G377" s="9">
        <f>IF(F377&gt;=0,"C","D")</f>
        <v/>
      </c>
    </row>
    <row r="378">
      <c r="A378" s="7" t="n">
        <v>45978</v>
      </c>
      <c r="B378" s="8" t="inlineStr">
        <is>
          <t>DEB C/C PG.ICMS DIFER. ALÍQUOTA REF. 66006-66415-66728</t>
        </is>
      </c>
      <c r="C378" s="9" t="n">
        <v>36992</v>
      </c>
      <c r="D378" s="10" t="n">
        <v>24437.08</v>
      </c>
      <c r="E378" s="11" t="n"/>
      <c r="F378" s="11">
        <f>F377+E378-D378</f>
        <v/>
      </c>
      <c r="G378" s="9">
        <f>IF(F378&gt;=0,"C","D")</f>
        <v/>
      </c>
    </row>
    <row r="379">
      <c r="A379" s="7" t="n">
        <v>45978</v>
      </c>
      <c r="B379" s="8" t="inlineStr">
        <is>
          <t>DEB C/C PG.ICMS DIFER. ALÍQUOTA REF. 65857-65936-65987-66173-66711- 66716</t>
        </is>
      </c>
      <c r="C379" s="9" t="n">
        <v>36993</v>
      </c>
      <c r="D379" s="10" t="n">
        <v>3164.86</v>
      </c>
      <c r="E379" s="11" t="n"/>
      <c r="F379" s="11">
        <f>F378+E379-D379</f>
        <v/>
      </c>
      <c r="G379" s="9">
        <f>IF(F379&gt;=0,"C","D")</f>
        <v/>
      </c>
    </row>
    <row r="380">
      <c r="A380" s="7" t="n">
        <v>45987</v>
      </c>
      <c r="B380" s="8" t="inlineStr">
        <is>
          <t>VLR ICMS DEST DEB. S/ NF 67550 Fundacao Felice Rosso</t>
        </is>
      </c>
      <c r="C380" s="9" t="n">
        <v>38064</v>
      </c>
      <c r="D380" s="11" t="n"/>
      <c r="E380" s="12" t="n">
        <v>3192</v>
      </c>
      <c r="F380" s="11">
        <f>F379+E380-D380</f>
        <v/>
      </c>
      <c r="G380" s="9">
        <f>IF(F380&gt;=0,"C","D")</f>
        <v/>
      </c>
    </row>
    <row r="381">
      <c r="A381" s="7" t="n">
        <v>45991</v>
      </c>
      <c r="B381" s="8" t="inlineStr">
        <is>
          <t>TRANSF SALDO DEVEDOR ICMS 11/2025</t>
        </is>
      </c>
      <c r="C381" s="9" t="n">
        <v>38531</v>
      </c>
      <c r="D381" s="11" t="n"/>
      <c r="E381" s="12" t="n">
        <v>129.32</v>
      </c>
      <c r="F381" s="11">
        <f>F380+E381-D381</f>
        <v/>
      </c>
      <c r="G381" s="9">
        <f>IF(F381&gt;=0,"C","D")</f>
        <v/>
      </c>
    </row>
    <row r="382">
      <c r="A382" s="7" t="n">
        <v>45993</v>
      </c>
      <c r="B382" s="8" t="inlineStr">
        <is>
          <t>PG.ICMS DIFER. ALÍQUOTA REF. NF 67783 HOSPITAL UNIMED OESTE DO PARA</t>
        </is>
      </c>
      <c r="C382" s="9" t="n">
        <v>38912</v>
      </c>
      <c r="D382" s="10" t="n">
        <v>28350</v>
      </c>
      <c r="E382" s="11" t="n"/>
      <c r="F382" s="11">
        <f>F381+E382-D382</f>
        <v/>
      </c>
      <c r="G382" s="9">
        <f>IF(F382&gt;=0,"C","D")</f>
        <v/>
      </c>
    </row>
    <row r="383">
      <c r="A383" s="7" t="n">
        <v>45993</v>
      </c>
      <c r="B383" s="8" t="inlineStr">
        <is>
          <t>VLR ICMS DEST DEB. S/ NF 67783 HOSPITAL UNIMED OESTE DO PARA</t>
        </is>
      </c>
      <c r="C383" s="9" t="n">
        <v>38979</v>
      </c>
      <c r="D383" s="11" t="n"/>
      <c r="E383" s="12" t="n">
        <v>28350</v>
      </c>
      <c r="F383" s="11">
        <f>F382+E383-D383</f>
        <v/>
      </c>
      <c r="G383" s="9">
        <f>IF(F383&gt;=0,"C","D")</f>
        <v/>
      </c>
    </row>
    <row r="384">
      <c r="A384" s="7" t="n">
        <v>45993</v>
      </c>
      <c r="B384" s="8" t="inlineStr">
        <is>
          <t>VLR ICMS DEST DEB. S/ NF 67803 HOSPITAL DA FUNDACAO CASA DE CARIDADE DE SAO LOURENCO</t>
        </is>
      </c>
      <c r="C384" s="9" t="n">
        <v>38980</v>
      </c>
      <c r="D384" s="11" t="n"/>
      <c r="E384" s="12" t="n">
        <v>287.1</v>
      </c>
      <c r="F384" s="11">
        <f>F383+E384-D384</f>
        <v/>
      </c>
      <c r="G384" s="9">
        <f>IF(F384&gt;=0,"C","D")</f>
        <v/>
      </c>
    </row>
    <row r="385">
      <c r="A385" s="7" t="n">
        <v>46000</v>
      </c>
      <c r="B385" s="8" t="inlineStr">
        <is>
          <t>PG.ICMS DIFER. ALÍQUOTA REF. NF 67986 MARIA CECILIA SIQUEIRA DA SILVA</t>
        </is>
      </c>
      <c r="C385" s="9" t="n">
        <v>39493</v>
      </c>
      <c r="D385" s="10" t="n">
        <v>433.75</v>
      </c>
      <c r="E385" s="11" t="n"/>
      <c r="F385" s="11">
        <f>F384+E385-D385</f>
        <v/>
      </c>
      <c r="G385" s="9">
        <f>IF(F385&gt;=0,"C","D")</f>
        <v/>
      </c>
    </row>
    <row r="386">
      <c r="A386" s="7" t="n">
        <v>46000</v>
      </c>
      <c r="B386" s="8" t="inlineStr">
        <is>
          <t>PG.ICMS DIFER. ALÍQUOTA REF. NF 67987 JOAQUIM CAVALCANTE S. LIRA</t>
        </is>
      </c>
      <c r="C386" s="9" t="n">
        <v>39494</v>
      </c>
      <c r="D386" s="10" t="n">
        <v>394.32</v>
      </c>
      <c r="E386" s="11" t="n"/>
      <c r="F386" s="11">
        <f>F385+E386-D386</f>
        <v/>
      </c>
      <c r="G386" s="9">
        <f>IF(F386&gt;=0,"C","D")</f>
        <v/>
      </c>
    </row>
    <row r="387">
      <c r="A387" s="7" t="n">
        <v>46000</v>
      </c>
      <c r="B387" s="8" t="inlineStr">
        <is>
          <t>PG.ICMS DIFER. ALÍQUOTA REF. NF 67988 ENIO GUSTAVO FERREIRA FROTA</t>
        </is>
      </c>
      <c r="C387" s="9" t="n">
        <v>39495</v>
      </c>
      <c r="D387" s="10" t="n">
        <v>394.32</v>
      </c>
      <c r="E387" s="11" t="n"/>
      <c r="F387" s="11">
        <f>F386+E387-D387</f>
        <v/>
      </c>
      <c r="G387" s="9">
        <f>IF(F387&gt;=0,"C","D")</f>
        <v/>
      </c>
    </row>
    <row r="388">
      <c r="A388" s="7" t="n">
        <v>46000</v>
      </c>
      <c r="B388" s="8" t="inlineStr">
        <is>
          <t>PG.ICMS DIFER. ALÍQUOTA REF. NF 67989 DAVI GUILHERME PEREIRA LOPES</t>
        </is>
      </c>
      <c r="C388" s="9" t="n">
        <v>39496</v>
      </c>
      <c r="D388" s="10" t="n">
        <v>433.76</v>
      </c>
      <c r="E388" s="11" t="n"/>
      <c r="F388" s="11">
        <f>F387+E388-D388</f>
        <v/>
      </c>
      <c r="G388" s="9">
        <f>IF(F388&gt;=0,"C","D")</f>
        <v/>
      </c>
    </row>
    <row r="389">
      <c r="A389" s="7" t="n">
        <v>46000</v>
      </c>
      <c r="B389" s="8" t="inlineStr">
        <is>
          <t>PG.ICMS DIFER. ALÍQUOTA REF. NF 67990 FLAVIO VALENTIM ALBERICO DOS SANTOS</t>
        </is>
      </c>
      <c r="C389" s="9" t="n">
        <v>39497</v>
      </c>
      <c r="D389" s="10" t="n">
        <v>735.21</v>
      </c>
      <c r="E389" s="11" t="n"/>
      <c r="F389" s="11">
        <f>F388+E389-D389</f>
        <v/>
      </c>
      <c r="G389" s="9">
        <f>IF(F389&gt;=0,"C","D")</f>
        <v/>
      </c>
    </row>
    <row r="390">
      <c r="A390" s="7" t="n">
        <v>46000</v>
      </c>
      <c r="B390" s="8" t="inlineStr">
        <is>
          <t>PG.ICMS DIFER. ALÍQUOTA REF. NF 67991 GABRIEL HENRIQUE CARVALHO DA COSTA</t>
        </is>
      </c>
      <c r="C390" s="9" t="n">
        <v>39498</v>
      </c>
      <c r="D390" s="10" t="n">
        <v>695.6</v>
      </c>
      <c r="E390" s="11" t="n"/>
      <c r="F390" s="11">
        <f>F389+E390-D390</f>
        <v/>
      </c>
      <c r="G390" s="9">
        <f>IF(F390&gt;=0,"C","D")</f>
        <v/>
      </c>
    </row>
    <row r="391">
      <c r="A391" s="7" t="n">
        <v>46000</v>
      </c>
      <c r="B391" s="8" t="inlineStr">
        <is>
          <t>PG.ICMS DIFER. ALÍQUOTA REF. NF 67992 ANNA KATARINA PINHEIRO DOS SANTOS</t>
        </is>
      </c>
      <c r="C391" s="9" t="n">
        <v>39499</v>
      </c>
      <c r="D391" s="10" t="n">
        <v>433.06</v>
      </c>
      <c r="E391" s="11" t="n"/>
      <c r="F391" s="11">
        <f>F390+E391-D391</f>
        <v/>
      </c>
      <c r="G391" s="9">
        <f>IF(F391&gt;=0,"C","D")</f>
        <v/>
      </c>
    </row>
    <row r="392">
      <c r="A392" s="7" t="n">
        <v>46000</v>
      </c>
      <c r="B392" s="8" t="inlineStr">
        <is>
          <t>PG.ICMS DIFER. ALÍQUOTA REF. NF 67993 FELIPE GOUVEA</t>
        </is>
      </c>
      <c r="C392" s="9" t="n">
        <v>39500</v>
      </c>
      <c r="D392" s="10" t="n">
        <v>658.87</v>
      </c>
      <c r="E392" s="11" t="n"/>
      <c r="F392" s="11">
        <f>F391+E392-D392</f>
        <v/>
      </c>
      <c r="G392" s="9">
        <f>IF(F392&gt;=0,"C","D")</f>
        <v/>
      </c>
    </row>
    <row r="393">
      <c r="A393" s="7" t="n">
        <v>46000</v>
      </c>
      <c r="B393" s="8" t="inlineStr">
        <is>
          <t>PG.ICMS DIFER. ALÍQUOTA REF. NF 67994 ALVARO RAFAEL VAZ RODRIGUES</t>
        </is>
      </c>
      <c r="C393" s="9" t="n">
        <v>39501</v>
      </c>
      <c r="D393" s="10" t="n">
        <v>381.44</v>
      </c>
      <c r="E393" s="11" t="n"/>
      <c r="F393" s="11">
        <f>F392+E393-D393</f>
        <v/>
      </c>
      <c r="G393" s="9">
        <f>IF(F393&gt;=0,"C","D")</f>
        <v/>
      </c>
    </row>
    <row r="394">
      <c r="A394" s="7" t="n">
        <v>46000</v>
      </c>
      <c r="B394" s="8" t="inlineStr">
        <is>
          <t>DEB C/C PG.ICMS REF. 11/2025 - F2</t>
        </is>
      </c>
      <c r="C394" s="9" t="n">
        <v>39502</v>
      </c>
      <c r="D394" s="10" t="n">
        <v>129.32</v>
      </c>
      <c r="E394" s="11" t="n"/>
      <c r="F394" s="11">
        <f>F393+E394-D394</f>
        <v/>
      </c>
      <c r="G394" s="9">
        <f>IF(F394&gt;=0,"C","D")</f>
        <v/>
      </c>
    </row>
    <row r="395">
      <c r="A395" s="7" t="n">
        <v>46000</v>
      </c>
      <c r="B395" s="8" t="inlineStr">
        <is>
          <t>VLR ICMS FCP DEB. S/ NF 67987 JOAQUIM CAVALCANTE S. LIRA</t>
        </is>
      </c>
      <c r="C395" s="9" t="n">
        <v>39586</v>
      </c>
      <c r="D395" s="11" t="n"/>
      <c r="E395" s="12" t="n">
        <v>26.29</v>
      </c>
      <c r="F395" s="11">
        <f>F394+E395-D395</f>
        <v/>
      </c>
      <c r="G395" s="9">
        <f>IF(F395&gt;=0,"C","D")</f>
        <v/>
      </c>
    </row>
    <row r="396">
      <c r="A396" s="7" t="n">
        <v>46000</v>
      </c>
      <c r="B396" s="8" t="inlineStr">
        <is>
          <t>VLR ICMS DEST DEB. S/ NF 67986 MARIA CECILIA SIQUEIRA DA SILVA</t>
        </is>
      </c>
      <c r="C396" s="9" t="n">
        <v>39587</v>
      </c>
      <c r="D396" s="11" t="n"/>
      <c r="E396" s="12" t="n">
        <v>433.75</v>
      </c>
      <c r="F396" s="11">
        <f>F395+E396-D396</f>
        <v/>
      </c>
      <c r="G396" s="9">
        <f>IF(F396&gt;=0,"C","D")</f>
        <v/>
      </c>
    </row>
    <row r="397">
      <c r="A397" s="7" t="n">
        <v>46000</v>
      </c>
      <c r="B397" s="8" t="inlineStr">
        <is>
          <t>VLR ICMS DEST DEB. S/ NF 67987 JOAQUIM CAVALCANTE S. LIRA</t>
        </is>
      </c>
      <c r="C397" s="9" t="n">
        <v>39588</v>
      </c>
      <c r="D397" s="11" t="n"/>
      <c r="E397" s="12" t="n">
        <v>394.32</v>
      </c>
      <c r="F397" s="11">
        <f>F396+E397-D397</f>
        <v/>
      </c>
      <c r="G397" s="9">
        <f>IF(F397&gt;=0,"C","D")</f>
        <v/>
      </c>
    </row>
    <row r="398">
      <c r="A398" s="7" t="n">
        <v>46000</v>
      </c>
      <c r="B398" s="8" t="inlineStr">
        <is>
          <t>VLR ICMS DEST DEB. S/ NF 67988 ENIO GUSTAVO FERREIRA FROTA</t>
        </is>
      </c>
      <c r="C398" s="9" t="n">
        <v>39589</v>
      </c>
      <c r="D398" s="11" t="n"/>
      <c r="E398" s="12" t="n">
        <v>394.32</v>
      </c>
      <c r="F398" s="11">
        <f>F397+E398-D398</f>
        <v/>
      </c>
      <c r="G398" s="9">
        <f>IF(F398&gt;=0,"C","D")</f>
        <v/>
      </c>
    </row>
    <row r="399">
      <c r="A399" s="7" t="n">
        <v>46000</v>
      </c>
      <c r="B399" s="8" t="inlineStr">
        <is>
          <t>VLR ICMS DEST DEB. S/ NF 67989 DAVI GUILHERME PEREIRA LOPES</t>
        </is>
      </c>
      <c r="C399" s="9" t="n">
        <v>39590</v>
      </c>
      <c r="D399" s="11" t="n"/>
      <c r="E399" s="12" t="n">
        <v>433.76</v>
      </c>
      <c r="F399" s="11">
        <f>F398+E399-D399</f>
        <v/>
      </c>
      <c r="G399" s="9">
        <f>IF(F399&gt;=0,"C","D")</f>
        <v/>
      </c>
    </row>
    <row r="400">
      <c r="A400" s="7" t="n">
        <v>46000</v>
      </c>
      <c r="B400" s="8" t="inlineStr">
        <is>
          <t>VLR ICMS DEST DEB. S/ NF 67990 FLAVIO VALENTIM ALBERICO DOS SANTOS</t>
        </is>
      </c>
      <c r="C400" s="9" t="n">
        <v>39591</v>
      </c>
      <c r="D400" s="11" t="n"/>
      <c r="E400" s="12" t="n">
        <v>735.21</v>
      </c>
      <c r="F400" s="11">
        <f>F399+E400-D400</f>
        <v/>
      </c>
      <c r="G400" s="9">
        <f>IF(F400&gt;=0,"C","D")</f>
        <v/>
      </c>
    </row>
    <row r="401">
      <c r="A401" s="7" t="n">
        <v>46000</v>
      </c>
      <c r="B401" s="8" t="inlineStr">
        <is>
          <t>VLR ICMS DEST DEB. S/ NF 67991 GABRIEL HENRIQUE CARVALHO DA COSTA</t>
        </is>
      </c>
      <c r="C401" s="9" t="n">
        <v>39592</v>
      </c>
      <c r="D401" s="11" t="n"/>
      <c r="E401" s="12" t="n">
        <v>695.6</v>
      </c>
      <c r="F401" s="11">
        <f>F400+E401-D401</f>
        <v/>
      </c>
      <c r="G401" s="9">
        <f>IF(F401&gt;=0,"C","D")</f>
        <v/>
      </c>
    </row>
    <row r="402">
      <c r="A402" s="7" t="n">
        <v>46000</v>
      </c>
      <c r="B402" s="8" t="inlineStr">
        <is>
          <t>VLR ICMS DEST DEB. S/ NF 67992 ANNA KATARINA PINHEIRO DOS SANTOS</t>
        </is>
      </c>
      <c r="C402" s="9" t="n">
        <v>39593</v>
      </c>
      <c r="D402" s="11" t="n"/>
      <c r="E402" s="12" t="n">
        <v>433.06</v>
      </c>
      <c r="F402" s="11">
        <f>F401+E402-D402</f>
        <v/>
      </c>
      <c r="G402" s="9">
        <f>IF(F402&gt;=0,"C","D")</f>
        <v/>
      </c>
    </row>
    <row r="403">
      <c r="A403" s="7" t="n">
        <v>46000</v>
      </c>
      <c r="B403" s="8" t="inlineStr">
        <is>
          <t>VLR ICMS DEST DEB. S/ NF 67993 FELIPE GOUVEA</t>
        </is>
      </c>
      <c r="C403" s="9" t="n">
        <v>39594</v>
      </c>
      <c r="D403" s="11" t="n"/>
      <c r="E403" s="12" t="n">
        <v>658.87</v>
      </c>
      <c r="F403" s="11">
        <f>F402+E403-D403</f>
        <v/>
      </c>
      <c r="G403" s="9">
        <f>IF(F403&gt;=0,"C","D")</f>
        <v/>
      </c>
    </row>
    <row r="404">
      <c r="A404" s="7" t="n">
        <v>46000</v>
      </c>
      <c r="B404" s="8" t="inlineStr">
        <is>
          <t>VLR ICMS DEST DEB. S/ NF 67994 ALVARO RAFAEL VAZ RODRIGUES</t>
        </is>
      </c>
      <c r="C404" s="9" t="n">
        <v>39595</v>
      </c>
      <c r="D404" s="11" t="n"/>
      <c r="E404" s="12" t="n">
        <v>381.44</v>
      </c>
      <c r="F404" s="11">
        <f>F403+E404-D404</f>
        <v/>
      </c>
      <c r="G404" s="9">
        <f>IF(F404&gt;=0,"C","D")</f>
        <v/>
      </c>
    </row>
    <row r="405">
      <c r="A405" s="7" t="n">
        <v>46001</v>
      </c>
      <c r="B405" s="8" t="inlineStr">
        <is>
          <t>VLR ICMS FCP DEB. S/ NF 68068 GEAP AUTOGESTAO EM SAUDE RJ</t>
        </is>
      </c>
      <c r="C405" s="9" t="n">
        <v>39725</v>
      </c>
      <c r="D405" s="11" t="n"/>
      <c r="E405" s="12" t="n">
        <v>0.92</v>
      </c>
      <c r="F405" s="11">
        <f>F404+E405-D405</f>
        <v/>
      </c>
      <c r="G405" s="9">
        <f>IF(F405&gt;=0,"C","D")</f>
        <v/>
      </c>
    </row>
    <row r="406">
      <c r="A406" s="7" t="n">
        <v>46001</v>
      </c>
      <c r="B406" s="8" t="inlineStr">
        <is>
          <t>VLR ICMS DEST DEB. S/ NF 68046 UNIMED JOAO PESSOA COOPERATIVA DE TRABALHO MEDICO</t>
        </is>
      </c>
      <c r="C406" s="9" t="n">
        <v>39726</v>
      </c>
      <c r="D406" s="11" t="n"/>
      <c r="E406" s="12" t="n">
        <v>31680</v>
      </c>
      <c r="F406" s="11">
        <f>F405+E406-D406</f>
        <v/>
      </c>
      <c r="G406" s="9">
        <f>IF(F406&gt;=0,"C","D")</f>
        <v/>
      </c>
    </row>
    <row r="407">
      <c r="A407" s="7" t="n">
        <v>46001</v>
      </c>
      <c r="B407" s="8" t="inlineStr">
        <is>
          <t>VLR ICMS DEST DEB. S/ NF 68068 GEAP AUTOGESTAO EM SAUDE RJ</t>
        </is>
      </c>
      <c r="C407" s="9" t="n">
        <v>39727</v>
      </c>
      <c r="D407" s="11" t="n"/>
      <c r="E407" s="12" t="n">
        <v>7.36</v>
      </c>
      <c r="F407" s="11">
        <f>F406+E407-D407</f>
        <v/>
      </c>
      <c r="G407" s="9">
        <f>IF(F407&gt;=0,"C","D")</f>
        <v/>
      </c>
    </row>
    <row r="408">
      <c r="A408" s="7" t="n">
        <v>46006</v>
      </c>
      <c r="B408" s="8" t="inlineStr">
        <is>
          <t>PG.ICMS DIFER. ALÍQUOTA REF. NF 68152 IELVIS DA COSTA SOUZA FILHO</t>
        </is>
      </c>
      <c r="C408" s="9" t="n">
        <v>40035</v>
      </c>
      <c r="D408" s="10" t="n">
        <v>433.06</v>
      </c>
      <c r="E408" s="11" t="n"/>
      <c r="F408" s="11">
        <f>F407+E408-D408</f>
        <v/>
      </c>
      <c r="G408" s="9">
        <f>IF(F408&gt;=0,"C","D")</f>
        <v/>
      </c>
    </row>
    <row r="409">
      <c r="A409" s="7" t="n">
        <v>46006</v>
      </c>
      <c r="B409" s="8" t="inlineStr">
        <is>
          <t>DEB C/C PG.ICMS DIFER. ALÍQUOTA REF. 67054-67550</t>
        </is>
      </c>
      <c r="C409" s="9" t="n">
        <v>40065</v>
      </c>
      <c r="D409" s="10" t="n">
        <v>45076.78</v>
      </c>
      <c r="E409" s="11" t="n"/>
      <c r="F409" s="11">
        <f>F408+E409-D409</f>
        <v/>
      </c>
      <c r="G409" s="9">
        <f>IF(F409&gt;=0,"C","D")</f>
        <v/>
      </c>
    </row>
    <row r="410">
      <c r="A410" s="7" t="n">
        <v>46006</v>
      </c>
      <c r="B410" s="8" t="inlineStr">
        <is>
          <t>DEB C/C PG.ICMS DIFER. ALÍQUOTA REF. NF 67075 PROMEDICA PATRIMONIAL S A PROPAT</t>
        </is>
      </c>
      <c r="C410" s="9" t="n">
        <v>40068</v>
      </c>
      <c r="D410" s="10" t="n">
        <v>973.5</v>
      </c>
      <c r="E410" s="11" t="n"/>
      <c r="F410" s="11">
        <f>F409+E410-D410</f>
        <v/>
      </c>
      <c r="G410" s="9">
        <f>IF(F410&gt;=0,"C","D")</f>
        <v/>
      </c>
    </row>
    <row r="411">
      <c r="A411" s="7" t="n">
        <v>46006</v>
      </c>
      <c r="B411" s="8" t="inlineStr">
        <is>
          <t>VLR ICMS DEST DEB. S/ NF 68139 LETICIA KAROLINE SANTIAGO DA SILVA</t>
        </is>
      </c>
      <c r="C411" s="9" t="n">
        <v>40289</v>
      </c>
      <c r="D411" s="11" t="n"/>
      <c r="E411" s="12" t="n">
        <v>420.61</v>
      </c>
      <c r="F411" s="11">
        <f>F410+E411-D411</f>
        <v/>
      </c>
      <c r="G411" s="9">
        <f>IF(F411&gt;=0,"C","D")</f>
        <v/>
      </c>
    </row>
    <row r="412">
      <c r="A412" s="7" t="n">
        <v>46006</v>
      </c>
      <c r="B412" s="8" t="inlineStr">
        <is>
          <t>VLR ICMS DEST DEB. S/ NF 68142 URSULA DOS SANTOS TORRES</t>
        </is>
      </c>
      <c r="C412" s="9" t="n">
        <v>40290</v>
      </c>
      <c r="D412" s="11" t="n"/>
      <c r="E412" s="12" t="n">
        <v>810.92</v>
      </c>
      <c r="F412" s="11">
        <f>F411+E412-D412</f>
        <v/>
      </c>
      <c r="G412" s="9">
        <f>IF(F412&gt;=0,"C","D")</f>
        <v/>
      </c>
    </row>
    <row r="413">
      <c r="A413" s="7" t="n">
        <v>46006</v>
      </c>
      <c r="B413" s="8" t="inlineStr">
        <is>
          <t>VLR ICMS DEST DEB. S/ NF 68152 IELVIS DA COSTA SOUZA FILHO</t>
        </is>
      </c>
      <c r="C413" s="9" t="n">
        <v>40291</v>
      </c>
      <c r="D413" s="11" t="n"/>
      <c r="E413" s="12" t="n">
        <v>433.06</v>
      </c>
      <c r="F413" s="11">
        <f>F412+E413-D413</f>
        <v/>
      </c>
      <c r="G413" s="9">
        <f>IF(F413&gt;=0,"C","D")</f>
        <v/>
      </c>
    </row>
    <row r="414">
      <c r="A414" s="7" t="n">
        <v>46009</v>
      </c>
      <c r="B414" s="8" t="inlineStr">
        <is>
          <t>PG.ICMS DIFER. ALÍQUOTA REF. NF 68269 UNIMED NORTE MATO GROSSO COOPERATIVA TRABALHO MEDICO</t>
        </is>
      </c>
      <c r="C414" s="9" t="n">
        <v>40523</v>
      </c>
      <c r="D414" s="10" t="n">
        <v>41600</v>
      </c>
      <c r="E414" s="11" t="n"/>
      <c r="F414" s="11">
        <f>F413+E414-D414</f>
        <v/>
      </c>
      <c r="G414" s="9">
        <f>IF(F414&gt;=0,"C","D")</f>
        <v/>
      </c>
    </row>
    <row r="415">
      <c r="A415" s="7" t="n">
        <v>46009</v>
      </c>
      <c r="B415" s="8" t="inlineStr">
        <is>
          <t>VLR ICMS DEST DEB. S/ NF 68269 UNIMED NORTE MATO GROSSO COOPERATIVA TRABALHO MEDICO</t>
        </is>
      </c>
      <c r="C415" s="9" t="n">
        <v>40603</v>
      </c>
      <c r="D415" s="11" t="n"/>
      <c r="E415" s="12" t="n">
        <v>41600</v>
      </c>
      <c r="F415" s="11">
        <f>F414+E415-D415</f>
        <v/>
      </c>
      <c r="G415" s="9">
        <f>IF(F415&gt;=0,"C","D")</f>
        <v/>
      </c>
    </row>
    <row r="416">
      <c r="A416" s="13" t="n"/>
      <c r="B416" s="13" t="inlineStr">
        <is>
          <t>TOTAIS DO PERÍODO / SALDO FINAL</t>
        </is>
      </c>
      <c r="C416" s="13" t="n"/>
      <c r="D416" s="14">
        <f>SUM(D7:D415)</f>
        <v/>
      </c>
      <c r="E416" s="14">
        <f>SUM(E7:E415)</f>
        <v/>
      </c>
      <c r="F416" s="14">
        <f>F415</f>
        <v/>
      </c>
      <c r="G416" s="13">
        <f>G415</f>
        <v/>
      </c>
    </row>
  </sheetData>
  <autoFilter ref="A5:G415"/>
  <mergeCells count="4">
    <mergeCell ref="A3:G3"/>
    <mergeCell ref="A2:G2"/>
    <mergeCell ref="A1:G1"/>
    <mergeCell ref="A4:G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ENTRADAS E SAÍDAS POR MÊS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Entrada = crédito (ICMS apurado/devido) | Saída = débito (pagamentos/estornos)</t>
        </is>
      </c>
    </row>
    <row r="5" ht="24" customHeight="1">
      <c r="A5" s="3" t="inlineStr">
        <is>
          <t>Mês</t>
        </is>
      </c>
      <c r="B5" s="3" t="inlineStr">
        <is>
          <t>Saldo inicial</t>
        </is>
      </c>
      <c r="C5" s="3" t="inlineStr">
        <is>
          <t>Entradas (Crédito)</t>
        </is>
      </c>
      <c r="D5" s="3" t="inlineStr">
        <is>
          <t>Saídas (Débito)</t>
        </is>
      </c>
      <c r="E5" s="3" t="inlineStr">
        <is>
          <t>Saldo final</t>
        </is>
      </c>
    </row>
    <row r="6">
      <c r="A6" s="15" t="n">
        <v>45658</v>
      </c>
      <c r="B6" s="16" t="n">
        <v>152049.49</v>
      </c>
      <c r="C6" s="16" t="n">
        <v>201645.79</v>
      </c>
      <c r="D6" s="16" t="n">
        <v>267987.49</v>
      </c>
      <c r="E6" s="16">
        <f>B6+C6-D6</f>
        <v/>
      </c>
    </row>
    <row r="7">
      <c r="A7" s="15" t="n">
        <v>45689</v>
      </c>
      <c r="B7" s="16">
        <f>B6+C6-D6</f>
        <v/>
      </c>
      <c r="C7" s="16" t="n">
        <v>42390.93</v>
      </c>
      <c r="D7" s="16" t="n">
        <v>123319.25</v>
      </c>
      <c r="E7" s="16">
        <f>B7+C7-D7</f>
        <v/>
      </c>
    </row>
    <row r="8">
      <c r="A8" s="15" t="n">
        <v>45717</v>
      </c>
      <c r="B8" s="16">
        <f>B7+C7-D7</f>
        <v/>
      </c>
      <c r="C8" s="16" t="n">
        <v>105933.45</v>
      </c>
      <c r="D8" s="16" t="n">
        <v>98343.69</v>
      </c>
      <c r="E8" s="16">
        <f>B8+C8-D8</f>
        <v/>
      </c>
    </row>
    <row r="9">
      <c r="A9" s="15" t="n">
        <v>45748</v>
      </c>
      <c r="B9" s="16">
        <f>B8+C8-D8</f>
        <v/>
      </c>
      <c r="C9" s="16" t="n">
        <v>292646.73</v>
      </c>
      <c r="D9" s="16" t="n">
        <v>44794.54</v>
      </c>
      <c r="E9" s="16">
        <f>B9+C9-D9</f>
        <v/>
      </c>
    </row>
    <row r="10">
      <c r="A10" s="15" t="n">
        <v>45778</v>
      </c>
      <c r="B10" s="16">
        <f>B9+C9-D9</f>
        <v/>
      </c>
      <c r="C10" s="16" t="n">
        <v>107451.03</v>
      </c>
      <c r="D10" s="16" t="n">
        <v>291683.62</v>
      </c>
      <c r="E10" s="16">
        <f>B10+C10-D10</f>
        <v/>
      </c>
    </row>
    <row r="11">
      <c r="A11" s="15" t="n">
        <v>45809</v>
      </c>
      <c r="B11" s="16">
        <f>B10+C10-D10</f>
        <v/>
      </c>
      <c r="C11" s="16" t="n">
        <v>150069.87</v>
      </c>
      <c r="D11" s="16" t="n">
        <v>106690.53</v>
      </c>
      <c r="E11" s="16">
        <f>B11+C11-D11</f>
        <v/>
      </c>
    </row>
    <row r="12">
      <c r="A12" s="15" t="n">
        <v>45839</v>
      </c>
      <c r="B12" s="16">
        <f>B11+C11-D11</f>
        <v/>
      </c>
      <c r="C12" s="16" t="n">
        <v>89929.16</v>
      </c>
      <c r="D12" s="16" t="n">
        <v>127281.43</v>
      </c>
      <c r="E12" s="16">
        <f>B12+C12-D12</f>
        <v/>
      </c>
    </row>
    <row r="13">
      <c r="A13" s="15" t="n">
        <v>45870</v>
      </c>
      <c r="B13" s="16">
        <f>B12+C12-D12</f>
        <v/>
      </c>
      <c r="C13" s="16" t="n">
        <v>27097.94</v>
      </c>
      <c r="D13" s="16" t="n">
        <v>58446.3</v>
      </c>
      <c r="E13" s="16">
        <f>B13+C13-D13</f>
        <v/>
      </c>
    </row>
    <row r="14">
      <c r="A14" s="15" t="n">
        <v>45901</v>
      </c>
      <c r="B14" s="16">
        <f>B13+C13-D13</f>
        <v/>
      </c>
      <c r="C14" s="16" t="n">
        <v>93759.03</v>
      </c>
      <c r="D14" s="16" t="n">
        <v>52868.52</v>
      </c>
      <c r="E14" s="16">
        <f>B14+C14-D14</f>
        <v/>
      </c>
    </row>
    <row r="15">
      <c r="A15" s="15" t="n">
        <v>45931</v>
      </c>
      <c r="B15" s="16">
        <f>B14+C14-D14</f>
        <v/>
      </c>
      <c r="C15" s="16" t="n">
        <v>105009.81</v>
      </c>
      <c r="D15" s="16" t="n">
        <v>92366.05</v>
      </c>
      <c r="E15" s="16">
        <f>B15+C15-D15</f>
        <v/>
      </c>
    </row>
    <row r="16">
      <c r="A16" s="15" t="n">
        <v>45962</v>
      </c>
      <c r="B16" s="16">
        <f>B15+C15-D15</f>
        <v/>
      </c>
      <c r="C16" s="16" t="n">
        <v>89785.59</v>
      </c>
      <c r="D16" s="16" t="n">
        <v>147807.8</v>
      </c>
      <c r="E16" s="16">
        <f>B16+C16-D16</f>
        <v/>
      </c>
    </row>
    <row r="17">
      <c r="A17" s="15" t="n">
        <v>45992</v>
      </c>
      <c r="B17" s="16">
        <f>B16+C16-D16</f>
        <v/>
      </c>
      <c r="C17" s="16" t="n">
        <v>108176.59</v>
      </c>
      <c r="D17" s="16" t="n">
        <v>121122.99</v>
      </c>
      <c r="E17" s="16">
        <f>B17+C17-D17</f>
        <v/>
      </c>
    </row>
    <row r="18">
      <c r="A18" s="5" t="inlineStr">
        <is>
          <t>Total</t>
        </is>
      </c>
      <c r="B18" s="17" t="n"/>
      <c r="C18" s="17">
        <f>SUM(C6:C17)</f>
        <v/>
      </c>
      <c r="D18" s="17">
        <f>SUM(D6:D17)</f>
        <v/>
      </c>
      <c r="E18" s="17">
        <f>E17</f>
        <v/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2026-10-02T17:43:41Z</dcterms:created>
  <dcterms:modified xsi:type="dcterms:W3CDTF">2026-10-02T17:43:41Z</dcterms:modified>
</cp:coreProperties>
</file>