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em aber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5">
    <font>
      <name val="Calibri"/>
      <family val="2"/>
      <color theme="1"/>
      <sz val="11"/>
      <scheme val="minor"/>
    </font>
    <font>
      <b val="1"/>
      <color rgb="009C6B3C"/>
      <sz val="16"/>
    </font>
    <font>
      <color rgb="00555555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9C6B3C"/>
      </patternFill>
    </fill>
    <fill>
      <patternFill patternType="solid">
        <fgColor rgb="00F3E7D3"/>
      </patternFill>
    </fill>
  </fills>
  <borders count="2">
    <border>
      <left/>
      <right/>
      <top/>
      <bottom/>
      <diagonal/>
    </border>
    <border>
      <bottom style="thin">
        <color rgb="00D9C9A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6" fontId="0" fillId="0" borderId="1" applyAlignment="1" pivotButton="0" quotePrefix="0" xfId="0">
      <alignment horizontal="right" vertical="top"/>
    </xf>
    <xf numFmtId="0" fontId="4" fillId="3" borderId="0" pivotButton="0" quotePrefix="0" xfId="0"/>
    <xf numFmtId="166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4" customWidth="1" min="3" max="3"/>
    <col width="17" customWidth="1" min="4" max="4"/>
    <col width="15" customWidth="1" min="5" max="5"/>
    <col width="17" customWidth="1" min="6" max="6"/>
    <col width="10" customWidth="1" min="7" max="7"/>
  </cols>
  <sheetData>
    <row r="1">
      <c r="A1" s="1" t="inlineStr">
        <is>
          <t>COMPOSIÇÃO DO SALDO EM ABERTO – 31/12/2025</t>
        </is>
      </c>
    </row>
    <row r="2">
      <c r="A2" s="2" t="inlineStr">
        <is>
          <t>Entidade: MICROMEDICAL IMPLANTES DO BRASIL LTDA</t>
        </is>
      </c>
    </row>
    <row r="3">
      <c r="A3" s="2" t="inlineStr">
        <is>
          <t>CNPJ: 07.326.871/0002-20   |   Conta: 21200204701 - ICMS a recolher</t>
        </is>
      </c>
    </row>
    <row r="4">
      <c r="A4" s="2" t="inlineStr">
        <is>
          <t>Saldo final do razão: R$ 33.233,20 (C)</t>
        </is>
      </c>
    </row>
    <row r="5" ht="24" customHeight="1">
      <c r="A5" s="3" t="inlineStr">
        <is>
          <t>Data</t>
        </is>
      </c>
      <c r="B5" s="3" t="inlineStr">
        <is>
          <t>Histórico</t>
        </is>
      </c>
      <c r="C5" s="3" t="inlineStr">
        <is>
          <t>Nº Lançamento</t>
        </is>
      </c>
      <c r="D5" s="3" t="inlineStr">
        <is>
          <t>Valor original</t>
        </is>
      </c>
      <c r="E5" s="3" t="inlineStr">
        <is>
          <t>Já baixado</t>
        </is>
      </c>
      <c r="F5" s="3" t="inlineStr">
        <is>
          <t>Em aberto</t>
        </is>
      </c>
      <c r="G5" s="3" t="inlineStr">
        <is>
          <t>Origem</t>
        </is>
      </c>
    </row>
    <row r="6">
      <c r="A6" s="4" t="n">
        <v>45993</v>
      </c>
      <c r="B6" s="5" t="inlineStr">
        <is>
          <t>VLR ICMS DEST DEB. S/ NF 67803 HOSPITAL DA FUNDACAO CASA DE CARIDADE DE SAO LOURENCO</t>
        </is>
      </c>
      <c r="C6" s="6" t="n">
        <v>38980</v>
      </c>
      <c r="D6" s="7" t="n">
        <v>287.1</v>
      </c>
      <c r="E6" s="7">
        <f>D6-F6</f>
        <v/>
      </c>
      <c r="F6" s="7" t="n">
        <v>287.1</v>
      </c>
      <c r="G6" s="6" t="inlineStr">
        <is>
          <t>Integral</t>
        </is>
      </c>
    </row>
    <row r="7">
      <c r="A7" s="4" t="n">
        <v>46000</v>
      </c>
      <c r="B7" s="5" t="inlineStr">
        <is>
          <t>VLR ICMS DEST DEB. S/ NF 67987 JOAQUIM CAVALCANTE S. LIRA</t>
        </is>
      </c>
      <c r="C7" s="6" t="n">
        <v>39588</v>
      </c>
      <c r="D7" s="7" t="n">
        <v>394.32</v>
      </c>
      <c r="E7" s="7">
        <f>D7-F7</f>
        <v/>
      </c>
      <c r="F7" s="7" t="n">
        <v>26.29</v>
      </c>
      <c r="G7" s="6" t="inlineStr">
        <is>
          <t>Parcial</t>
        </is>
      </c>
    </row>
    <row r="8">
      <c r="A8" s="4" t="n">
        <v>46001</v>
      </c>
      <c r="B8" s="5" t="inlineStr">
        <is>
          <t>VLR ICMS FCP DEB. S/ NF 68068 GEAP AUTOGESTAO EM SAUDE RJ</t>
        </is>
      </c>
      <c r="C8" s="6" t="n">
        <v>39725</v>
      </c>
      <c r="D8" s="7" t="n">
        <v>0.92</v>
      </c>
      <c r="E8" s="7">
        <f>D8-F8</f>
        <v/>
      </c>
      <c r="F8" s="7" t="n">
        <v>0.92</v>
      </c>
      <c r="G8" s="6" t="inlineStr">
        <is>
          <t>Integral</t>
        </is>
      </c>
    </row>
    <row r="9">
      <c r="A9" s="4" t="n">
        <v>46001</v>
      </c>
      <c r="B9" s="5" t="inlineStr">
        <is>
          <t>VLR ICMS DEST DEB. S/ NF 68046 UNIMED JOAO PESSOA COOPERATIVA DE TRABALHO MEDICO</t>
        </is>
      </c>
      <c r="C9" s="6" t="n">
        <v>39726</v>
      </c>
      <c r="D9" s="7" t="n">
        <v>31680</v>
      </c>
      <c r="E9" s="7">
        <f>D9-F9</f>
        <v/>
      </c>
      <c r="F9" s="7" t="n">
        <v>31680</v>
      </c>
      <c r="G9" s="6" t="inlineStr">
        <is>
          <t>Integral</t>
        </is>
      </c>
    </row>
    <row r="10">
      <c r="A10" s="4" t="n">
        <v>46001</v>
      </c>
      <c r="B10" s="5" t="inlineStr">
        <is>
          <t>VLR ICMS DEST DEB. S/ NF 68068 GEAP AUTOGESTAO EM SAUDE RJ</t>
        </is>
      </c>
      <c r="C10" s="6" t="n">
        <v>39727</v>
      </c>
      <c r="D10" s="7" t="n">
        <v>7.36</v>
      </c>
      <c r="E10" s="7">
        <f>D10-F10</f>
        <v/>
      </c>
      <c r="F10" s="7" t="n">
        <v>7.36</v>
      </c>
      <c r="G10" s="6" t="inlineStr">
        <is>
          <t>Integral</t>
        </is>
      </c>
    </row>
    <row r="11">
      <c r="A11" s="4" t="n">
        <v>46006</v>
      </c>
      <c r="B11" s="5" t="inlineStr">
        <is>
          <t>VLR ICMS DEST DEB. S/ NF 68139 LETICIA KAROLINE SANTIAGO DA SILVA</t>
        </is>
      </c>
      <c r="C11" s="6" t="n">
        <v>40289</v>
      </c>
      <c r="D11" s="7" t="n">
        <v>420.61</v>
      </c>
      <c r="E11" s="7">
        <f>D11-F11</f>
        <v/>
      </c>
      <c r="F11" s="7" t="n">
        <v>420.61</v>
      </c>
      <c r="G11" s="6" t="inlineStr">
        <is>
          <t>Integral</t>
        </is>
      </c>
    </row>
    <row r="12">
      <c r="A12" s="4" t="n">
        <v>46006</v>
      </c>
      <c r="B12" s="5" t="inlineStr">
        <is>
          <t>VLR ICMS DEST DEB. S/ NF 68142 URSULA DOS SANTOS TORRES</t>
        </is>
      </c>
      <c r="C12" s="6" t="n">
        <v>40290</v>
      </c>
      <c r="D12" s="7" t="n">
        <v>810.92</v>
      </c>
      <c r="E12" s="7">
        <f>D12-F12</f>
        <v/>
      </c>
      <c r="F12" s="7" t="n">
        <v>810.92</v>
      </c>
      <c r="G12" s="6" t="inlineStr">
        <is>
          <t>Integral</t>
        </is>
      </c>
    </row>
    <row r="13">
      <c r="A13" s="8" t="n"/>
      <c r="B13" s="8" t="inlineStr">
        <is>
          <t>TOTAL EM ABERTO</t>
        </is>
      </c>
      <c r="C13" s="8" t="n"/>
      <c r="D13" s="8" t="n"/>
      <c r="E13" s="8" t="n"/>
      <c r="F13" s="9">
        <f>SUM(F6:F12)</f>
        <v/>
      </c>
      <c r="G13" s="8" t="n"/>
    </row>
    <row r="14">
      <c r="A14" s="8" t="n"/>
      <c r="B14" s="8" t="inlineStr">
        <is>
          <t>Saldo final do razão (SPED)</t>
        </is>
      </c>
      <c r="C14" s="8" t="n"/>
      <c r="D14" s="8" t="n"/>
      <c r="E14" s="8" t="n"/>
      <c r="F14" s="9" t="n">
        <v>33233.2</v>
      </c>
      <c r="G14" s="8" t="n"/>
    </row>
    <row r="15">
      <c r="A15" s="8" t="n"/>
      <c r="B15" s="8" t="inlineStr">
        <is>
          <t>Diferença</t>
        </is>
      </c>
      <c r="C15" s="8" t="n"/>
      <c r="D15" s="8" t="n"/>
      <c r="E15" s="8" t="n"/>
      <c r="F15" s="9">
        <f>F13-F14</f>
        <v/>
      </c>
      <c r="G15" s="8" t="n"/>
    </row>
    <row r="17" ht="48" customHeight="1">
      <c r="B17" s="10" t="inlineStr">
        <is>
          <t>Critério: cada pagamento (débito) baixa primeiro o lançamento da NF citada no histórico; o que sobra de pagamento sem NF (ex.: "PG.ICMS REF. mm/aaaa", guias, transferências) baixa os créditos mais antigos primeiro (FIFO). O que não foi baixado é o saldo em aberto acima.</t>
        </is>
      </c>
    </row>
  </sheetData>
  <mergeCells count="5">
    <mergeCell ref="A1:G1"/>
    <mergeCell ref="A3:G3"/>
    <mergeCell ref="B17:G17"/>
    <mergeCell ref="A4:G4"/>
    <mergeCell ref="A2:G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2026-10-02T17:43:41Z</dcterms:created>
  <dcterms:modified xsi:type="dcterms:W3CDTF">2026-10-02T17:43:41Z</dcterms:modified>
</cp:coreProperties>
</file>