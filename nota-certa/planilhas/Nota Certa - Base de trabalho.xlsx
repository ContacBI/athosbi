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erência LC 214" sheetId="1" state="visible" r:id="rId3"/>
    <sheet name="CFOP" sheetId="2" state="visible" r:id="rId4"/>
    <sheet name="Modelo de catálogo" sheetId="3" state="visible" r:id="rId5"/>
  </sheets>
  <definedNames>
    <definedName function="false" hidden="true" localSheetId="1" name="_xlnm._FilterDatabase" vbProcedure="false">CFOP!$A$4:$F$74</definedName>
    <definedName function="false" hidden="true" localSheetId="2" name="_xlnm._FilterDatabase" vbProcedure="false">'Modelo de catálogo'!$A$6:$S$306</definedName>
    <definedName function="false" hidden="true" localSheetId="0" name="_xlnm._FilterDatabase" vbProcedure="false">'Referência LC 214'!$A$5:$N$967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N5" authorId="0">
      <text>
        <r>
          <rPr>
            <sz val="10"/>
            <rFont val="Arial"/>
            <family val="2"/>
          </rPr>
          <t xml:space="preserve">Coluna auxiliar (P/S + dígitos) usada pelas fórmulas da aba Modelo de catálogo. Não apagar.</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O6" authorId="0">
      <text>
        <r>
          <rPr>
            <sz val="10"/>
            <rFont val="Arial"/>
            <family val="2"/>
          </rPr>
          <t xml:space="preserve">A classificação que vai para a nota. Se o produto tem regra diferente para órgão público/SUS, registre as duas (ex.: 200030 / 200005) e explique na observação.</t>
        </r>
      </text>
    </comment>
  </commentList>
</comments>
</file>

<file path=xl/sharedStrings.xml><?xml version="1.0" encoding="utf-8"?>
<sst xmlns="http://schemas.openxmlformats.org/spreadsheetml/2006/main" count="11472" uniqueCount="2253">
  <si>
    <t xml:space="preserve">Referência da LC 214 por NCM e NBS — reduções e alíquota zero</t>
  </si>
  <si>
    <t xml:space="preserve">Como ler: o “Código” pode ser só o começo do NCM/NBS — a regra vale para todos os códigos que começam com ele, menos os da coluna “Exceções”. Um mesmo código pode aparecer em mais de uma linha: quem decide é a descrição do produto (coluna G) e, às vezes, o comprador (coluna L).</t>
  </si>
  <si>
    <t xml:space="preserve">NCM/NBS que não aparece aqui: alíquota cheia (cClassTrib 000001), salvo regimes específicos (combustíveis, financeiro, imóveis etc.). Medicamentos dependem também do registro na Anvisa (conferir).</t>
  </si>
  <si>
    <t xml:space="preserve">Fonte: @sinete/ibs-cbs-dados@2026.9.3 (dados 2026.09, licença Apache-2.0), extraído da Calculadora da Receita (módulo offline V0059) e do Informe Técnico 2025.002 v1.60. Material de estudo — confirmar na lei e nas tabelas oficiais vigentes.</t>
  </si>
  <si>
    <t xml:space="preserve">Tipo</t>
  </si>
  <si>
    <t xml:space="preserve">Código</t>
  </si>
  <si>
    <t xml:space="preserve">Abrange</t>
  </si>
  <si>
    <t xml:space="preserve">Exceções (não vale)</t>
  </si>
  <si>
    <t xml:space="preserve">Anexo</t>
  </si>
  <si>
    <t xml:space="preserve">Item</t>
  </si>
  <si>
    <t xml:space="preserve">Descrição do item no anexo</t>
  </si>
  <si>
    <t xml:space="preserve">Tratamento</t>
  </si>
  <si>
    <t xml:space="preserve">cClassTrib</t>
  </si>
  <si>
    <t xml:space="preserve">CST</t>
  </si>
  <si>
    <t xml:space="preserve">Redução</t>
  </si>
  <si>
    <t xml:space="preserve">Condição para valer</t>
  </si>
  <si>
    <t xml:space="preserve">Base legal</t>
  </si>
  <si>
    <t xml:space="preserve">Chave</t>
  </si>
  <si>
    <t xml:space="preserve">Produto</t>
  </si>
  <si>
    <t xml:space="preserve">0102</t>
  </si>
  <si>
    <t xml:space="preserve">Todos os NCM que começam com 0102</t>
  </si>
  <si>
    <t xml:space="preserve">IX</t>
  </si>
  <si>
    <t xml:space="preserve">15</t>
  </si>
  <si>
    <t xml:space="preserve">Reprodutores de raça pura, inclusive matrizes de animais puros de origem com registro genealógico; em conformidade com as definições e demais requisitos da legislação específica</t>
  </si>
  <si>
    <t xml:space="preserve">Insumos agropecuários e aquícolas — redução de 60%</t>
  </si>
  <si>
    <t xml:space="preserve">200038</t>
  </si>
  <si>
    <t xml:space="preserve">200</t>
  </si>
  <si>
    <t xml:space="preserve">Art. 138</t>
  </si>
  <si>
    <t xml:space="preserve">P0102</t>
  </si>
  <si>
    <t xml:space="preserve">0103</t>
  </si>
  <si>
    <t xml:space="preserve">Todos os NCM que começam com 0103</t>
  </si>
  <si>
    <t xml:space="preserve">P0103</t>
  </si>
  <si>
    <t xml:space="preserve">0104</t>
  </si>
  <si>
    <t xml:space="preserve">Todos os NCM que começam com 0104</t>
  </si>
  <si>
    <t xml:space="preserve">P0104</t>
  </si>
  <si>
    <t xml:space="preserve">0105.1</t>
  </si>
  <si>
    <t xml:space="preserve">Todos os NCM que começam com 0105.1</t>
  </si>
  <si>
    <t xml:space="preserve">13</t>
  </si>
  <si>
    <t xml:space="preserve">Aves de um dia, exceto as ornamentais</t>
  </si>
  <si>
    <t xml:space="preserve">P01051</t>
  </si>
  <si>
    <t xml:space="preserve">0106.90.00</t>
  </si>
  <si>
    <t xml:space="preserve">Só este NCM</t>
  </si>
  <si>
    <t xml:space="preserve">17</t>
  </si>
  <si>
    <t xml:space="preserve">Girinos e alevinos</t>
  </si>
  <si>
    <t xml:space="preserve">P01069000</t>
  </si>
  <si>
    <t xml:space="preserve">0201</t>
  </si>
  <si>
    <t xml:space="preserve">Todos os NCM que começam com 0201</t>
  </si>
  <si>
    <t xml:space="preserve">I</t>
  </si>
  <si>
    <t xml:space="preserve">19</t>
  </si>
  <si>
    <t xml:space="preserve">Carnes bovina, suína, ovina, caprina e de aves e produtos de origem animal (excetofoiesgras)dos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</si>
  <si>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 xml:space="preserve">Cesta Básica Nacional de Alimentos — alíquota zero</t>
  </si>
  <si>
    <t xml:space="preserve">200003</t>
  </si>
  <si>
    <t xml:space="preserve">Art. 125</t>
  </si>
  <si>
    <t xml:space="preserve">P0201</t>
  </si>
  <si>
    <t xml:space="preserve">0202</t>
  </si>
  <si>
    <t xml:space="preserve">Todos os NCM que começam com 0202</t>
  </si>
  <si>
    <t xml:space="preserve">P0202</t>
  </si>
  <si>
    <t xml:space="preserve">0203</t>
  </si>
  <si>
    <t xml:space="preserve">Todos os NCM que começam com 0203</t>
  </si>
  <si>
    <t xml:space="preserve">P0203</t>
  </si>
  <si>
    <t xml:space="preserve">0204</t>
  </si>
  <si>
    <t xml:space="preserve">Todos os NCM que começam com 0204</t>
  </si>
  <si>
    <t xml:space="preserve">P0204</t>
  </si>
  <si>
    <t xml:space="preserve">0206.10.00</t>
  </si>
  <si>
    <t xml:space="preserve">P02061000</t>
  </si>
  <si>
    <t xml:space="preserve">0206.2</t>
  </si>
  <si>
    <t xml:space="preserve">Todos os NCM que começam com 0206.2</t>
  </si>
  <si>
    <t xml:space="preserve">P02062</t>
  </si>
  <si>
    <t xml:space="preserve">0206.30.00</t>
  </si>
  <si>
    <t xml:space="preserve">P02063000</t>
  </si>
  <si>
    <t xml:space="preserve">0206.4</t>
  </si>
  <si>
    <t xml:space="preserve">Todos os NCM que começam com 0206.4</t>
  </si>
  <si>
    <t xml:space="preserve">P02064</t>
  </si>
  <si>
    <t xml:space="preserve">0206.80.00</t>
  </si>
  <si>
    <t xml:space="preserve">P02068000</t>
  </si>
  <si>
    <t xml:space="preserve">0206.90.00</t>
  </si>
  <si>
    <t xml:space="preserve">P02069000</t>
  </si>
  <si>
    <t xml:space="preserve">0207</t>
  </si>
  <si>
    <t xml:space="preserve">Todos os NCM que começam com 0207</t>
  </si>
  <si>
    <t xml:space="preserve">0207.43.00</t>
  </si>
  <si>
    <t xml:space="preserve">P0207</t>
  </si>
  <si>
    <t xml:space="preserve">0207.53.00</t>
  </si>
  <si>
    <t xml:space="preserve">0209.10</t>
  </si>
  <si>
    <t xml:space="preserve">Todos os NCM que começam com 0209.10</t>
  </si>
  <si>
    <t xml:space="preserve">P020910</t>
  </si>
  <si>
    <t xml:space="preserve">0209.90.00</t>
  </si>
  <si>
    <t xml:space="preserve">P02099000</t>
  </si>
  <si>
    <t xml:space="preserve">0210</t>
  </si>
  <si>
    <t xml:space="preserve">Todos os NCM que começam com 0210</t>
  </si>
  <si>
    <t xml:space="preserve">21</t>
  </si>
  <si>
    <t xml:space="preserve">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</si>
  <si>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 xml:space="preserve">P0210</t>
  </si>
  <si>
    <t xml:space="preserve">0210.1</t>
  </si>
  <si>
    <t xml:space="preserve">Todos os NCM que começam com 0210.1</t>
  </si>
  <si>
    <t xml:space="preserve">P02101</t>
  </si>
  <si>
    <t xml:space="preserve">0210.20.00</t>
  </si>
  <si>
    <t xml:space="preserve">P02102000</t>
  </si>
  <si>
    <t xml:space="preserve">0210.99.1</t>
  </si>
  <si>
    <t xml:space="preserve">Todos os NCM que começam com 0210.99.1</t>
  </si>
  <si>
    <t xml:space="preserve">P0210991</t>
  </si>
  <si>
    <t xml:space="preserve">0210.99.20</t>
  </si>
  <si>
    <t xml:space="preserve">P02109920</t>
  </si>
  <si>
    <t xml:space="preserve">0210.99.90</t>
  </si>
  <si>
    <t xml:space="preserve">P02109990</t>
  </si>
  <si>
    <t xml:space="preserve">0302</t>
  </si>
  <si>
    <t xml:space="preserve">Todos os NCM que começam com 0302</t>
  </si>
  <si>
    <t xml:space="preserve">0302.1</t>
  </si>
  <si>
    <t xml:space="preserve">20</t>
  </si>
  <si>
    <t xml:space="preserve">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</si>
  <si>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 xml:space="preserve">P0302</t>
  </si>
  <si>
    <t xml:space="preserve">0302.3</t>
  </si>
  <si>
    <t xml:space="preserve">0302.51.00</t>
  </si>
  <si>
    <t xml:space="preserve">0302.52.00</t>
  </si>
  <si>
    <t xml:space="preserve">0302.53.00</t>
  </si>
  <si>
    <t xml:space="preserve">0302.9</t>
  </si>
  <si>
    <t xml:space="preserve">0303</t>
  </si>
  <si>
    <t xml:space="preserve">Todos os NCM que começam com 0303</t>
  </si>
  <si>
    <t xml:space="preserve">0303.1</t>
  </si>
  <si>
    <t xml:space="preserve">P0303</t>
  </si>
  <si>
    <t xml:space="preserve">0303.4</t>
  </si>
  <si>
    <t xml:space="preserve">0303.63.00</t>
  </si>
  <si>
    <t xml:space="preserve">0303.64.00</t>
  </si>
  <si>
    <t xml:space="preserve">0303.65.00</t>
  </si>
  <si>
    <t xml:space="preserve">0303.9</t>
  </si>
  <si>
    <t xml:space="preserve">0304</t>
  </si>
  <si>
    <t xml:space="preserve">Todos os NCM que começam com 0304</t>
  </si>
  <si>
    <t xml:space="preserve">0304.4</t>
  </si>
  <si>
    <t xml:space="preserve">P0304</t>
  </si>
  <si>
    <t xml:space="preserve">0304.5</t>
  </si>
  <si>
    <t xml:space="preserve">0304.7</t>
  </si>
  <si>
    <t xml:space="preserve">0304.8</t>
  </si>
  <si>
    <t xml:space="preserve">0304.9</t>
  </si>
  <si>
    <t xml:space="preserve">0306.1</t>
  </si>
  <si>
    <t xml:space="preserve">Todos os NCM que começam com 0306.1</t>
  </si>
  <si>
    <t xml:space="preserve">0306.11</t>
  </si>
  <si>
    <t xml:space="preserve">VII</t>
  </si>
  <si>
    <t xml:space="preserve">1</t>
  </si>
  <si>
    <t xml:space="preserve">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</si>
  <si>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 xml:space="preserve">Alimentos destinados ao consumo humano — redução de 60%</t>
  </si>
  <si>
    <t xml:space="preserve">200034</t>
  </si>
  <si>
    <t xml:space="preserve">Art. 135</t>
  </si>
  <si>
    <t xml:space="preserve">P03061</t>
  </si>
  <si>
    <t xml:space="preserve">0306.15.00</t>
  </si>
  <si>
    <t xml:space="preserve">0306.3</t>
  </si>
  <si>
    <t xml:space="preserve">Todos os NCM que começam com 0306.3</t>
  </si>
  <si>
    <t xml:space="preserve">0306.31.00</t>
  </si>
  <si>
    <t xml:space="preserve">P03063</t>
  </si>
  <si>
    <t xml:space="preserve">0306.34.00</t>
  </si>
  <si>
    <t xml:space="preserve">0306.39.10</t>
  </si>
  <si>
    <t xml:space="preserve">0307.31.00</t>
  </si>
  <si>
    <t xml:space="preserve">P03073100</t>
  </si>
  <si>
    <t xml:space="preserve">0307.32.00</t>
  </si>
  <si>
    <t xml:space="preserve">P03073200</t>
  </si>
  <si>
    <t xml:space="preserve">0307.42.00</t>
  </si>
  <si>
    <t xml:space="preserve">P03074200</t>
  </si>
  <si>
    <t xml:space="preserve">0307.43</t>
  </si>
  <si>
    <t xml:space="preserve">Todos os NCM que começam com 0307.43</t>
  </si>
  <si>
    <t xml:space="preserve">P030743</t>
  </si>
  <si>
    <t xml:space="preserve">0307.49.00</t>
  </si>
  <si>
    <t xml:space="preserve">P03074900</t>
  </si>
  <si>
    <t xml:space="preserve">0307.51.00</t>
  </si>
  <si>
    <t xml:space="preserve">P03075100</t>
  </si>
  <si>
    <t xml:space="preserve">0307.52.00</t>
  </si>
  <si>
    <t xml:space="preserve">P03075200</t>
  </si>
  <si>
    <t xml:space="preserve">0307.91.00</t>
  </si>
  <si>
    <t xml:space="preserve">P03079100</t>
  </si>
  <si>
    <t xml:space="preserve">0307.92.00</t>
  </si>
  <si>
    <t xml:space="preserve">P03079200</t>
  </si>
  <si>
    <t xml:space="preserve">0309</t>
  </si>
  <si>
    <t xml:space="preserve">Todos os NCM que começam com 0309</t>
  </si>
  <si>
    <t xml:space="preserve">P0309</t>
  </si>
  <si>
    <t xml:space="preserve">0401.10.10</t>
  </si>
  <si>
    <t xml:space="preserve">2</t>
  </si>
  <si>
    <t xml:space="preserve">Leite, em conformidade com os requisitos da legislação específica relativos ao consumo direto pela população, classificado nos códigos 0401.10.10, 0401.10.90, 0401.20.10, 0401.20.90, 0401.40.10 e 0401.50.10 da NCM/SH</t>
  </si>
  <si>
    <t xml:space="preserve">P04011010</t>
  </si>
  <si>
    <t xml:space="preserve">0401.10.90</t>
  </si>
  <si>
    <t xml:space="preserve">P04011090</t>
  </si>
  <si>
    <t xml:space="preserve">0401.20.10</t>
  </si>
  <si>
    <t xml:space="preserve">P04012010</t>
  </si>
  <si>
    <t xml:space="preserve">0401.20.90</t>
  </si>
  <si>
    <t xml:space="preserve">P04012090</t>
  </si>
  <si>
    <t xml:space="preserve">0401.40.10</t>
  </si>
  <si>
    <t xml:space="preserve">P04014010</t>
  </si>
  <si>
    <t xml:space="preserve">0401.50.10</t>
  </si>
  <si>
    <t xml:space="preserve">P04015010</t>
  </si>
  <si>
    <t xml:space="preserve">0402.10.10</t>
  </si>
  <si>
    <t xml:space="preserve">3</t>
  </si>
  <si>
    <t xml:space="preserve">Leite em pó, em conformidade com os requisitos da legislação específica, classificado nos códigos 0402.10.10, 0402.10.90, 0402.21.10, 0402.21.20, 0402.29.10 e 0402.29.20 da NCM/SH</t>
  </si>
  <si>
    <t xml:space="preserve">P04021010</t>
  </si>
  <si>
    <t xml:space="preserve">0402.10.90</t>
  </si>
  <si>
    <t xml:space="preserve">P04021090</t>
  </si>
  <si>
    <t xml:space="preserve">0402.21.10</t>
  </si>
  <si>
    <t xml:space="preserve">P04022110</t>
  </si>
  <si>
    <t xml:space="preserve">0402.21.20</t>
  </si>
  <si>
    <t xml:space="preserve">P04022120</t>
  </si>
  <si>
    <t xml:space="preserve">0402.29.10</t>
  </si>
  <si>
    <t xml:space="preserve">P04022910</t>
  </si>
  <si>
    <t xml:space="preserve">0402.29.20</t>
  </si>
  <si>
    <t xml:space="preserve">P04022920</t>
  </si>
  <si>
    <t xml:space="preserve">0403.20.00</t>
  </si>
  <si>
    <t xml:space="preserve">Leite fermentado, bebidas e compostos lácteos, em conformidade com os requisitos da legislação específica, classificados nos códigos 0403.20.00, 0403.90.00 e 2202.99.00 da NCM/SH</t>
  </si>
  <si>
    <t xml:space="preserve">P04032000</t>
  </si>
  <si>
    <t xml:space="preserve">0403.90.00</t>
  </si>
  <si>
    <t xml:space="preserve">P04039000</t>
  </si>
  <si>
    <t xml:space="preserve">0405.10.00</t>
  </si>
  <si>
    <t xml:space="preserve">5</t>
  </si>
  <si>
    <t xml:space="preserve">Manteiga do código 0405.10.00 da NCM/SH</t>
  </si>
  <si>
    <t xml:space="preserve">P04051000</t>
  </si>
  <si>
    <t xml:space="preserve">0406.10.10</t>
  </si>
  <si>
    <t xml:space="preserve">Queijos tipo mozarela, minas, prato, queijo de coalho, ricota, requeijão, queijo provolone, queijo parmesão, queijo fresco não maturado e queijo do reino classificados nos códigos 0406.10.10, 0406.10.90, 0406.20.00, 0406.90.10, 0406.90.20 e 0406.90.30 da NCM/SH</t>
  </si>
  <si>
    <t xml:space="preserve">P04061010</t>
  </si>
  <si>
    <t xml:space="preserve">0406.10.90</t>
  </si>
  <si>
    <t xml:space="preserve">P04061090</t>
  </si>
  <si>
    <t xml:space="preserve">0406.20.00</t>
  </si>
  <si>
    <t xml:space="preserve">P04062000</t>
  </si>
  <si>
    <t xml:space="preserve">0406.90.10</t>
  </si>
  <si>
    <t xml:space="preserve">P04069010</t>
  </si>
  <si>
    <t xml:space="preserve">0406.90.20</t>
  </si>
  <si>
    <t xml:space="preserve">P04069020</t>
  </si>
  <si>
    <t xml:space="preserve">0406.90.30</t>
  </si>
  <si>
    <t xml:space="preserve">P04069030</t>
  </si>
  <si>
    <t xml:space="preserve">0407.1</t>
  </si>
  <si>
    <t xml:space="preserve">Todos os NCM que começam com 0407.1</t>
  </si>
  <si>
    <t xml:space="preserve">16</t>
  </si>
  <si>
    <t xml:space="preserve">Ovos fertilizados</t>
  </si>
  <si>
    <t xml:space="preserve">P04071</t>
  </si>
  <si>
    <t xml:space="preserve">0407.2</t>
  </si>
  <si>
    <t xml:space="preserve">Todos os NCM que começam com 0407.2</t>
  </si>
  <si>
    <t xml:space="preserve">XV</t>
  </si>
  <si>
    <t xml:space="preserve">Ovos da subposição 0407.2 da NCM/SH</t>
  </si>
  <si>
    <t xml:space="preserve">Produtos hortícolas, frutas e ovos — alíquota zero</t>
  </si>
  <si>
    <t xml:space="preserve">200014</t>
  </si>
  <si>
    <t xml:space="preserve">Art. 148</t>
  </si>
  <si>
    <t xml:space="preserve">P04072</t>
  </si>
  <si>
    <t xml:space="preserve">0409.00.00</t>
  </si>
  <si>
    <t xml:space="preserve">Mel natural do código 0409.00.00 da NCM/SH</t>
  </si>
  <si>
    <t xml:space="preserve">P04090000</t>
  </si>
  <si>
    <t xml:space="preserve">0506</t>
  </si>
  <si>
    <t xml:space="preserve">Todos os NCM que começam com 0506</t>
  </si>
  <si>
    <t xml:space="preserve">7</t>
  </si>
  <si>
    <t xml:space="preserve">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</si>
  <si>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 xml:space="preserve">P0506</t>
  </si>
  <si>
    <t xml:space="preserve">0511.10.00</t>
  </si>
  <si>
    <t xml:space="preserve">14</t>
  </si>
  <si>
    <t xml:space="preserve">Embriões e sêmen, congelado ou resfriado</t>
  </si>
  <si>
    <t xml:space="preserve">P05111000</t>
  </si>
  <si>
    <t xml:space="preserve">0511.9</t>
  </si>
  <si>
    <t xml:space="preserve">Todos os NCM que começam com 0511.9</t>
  </si>
  <si>
    <t xml:space="preserve">P05119</t>
  </si>
  <si>
    <t xml:space="preserve">06</t>
  </si>
  <si>
    <t xml:space="preserve">Todos os NCM que começam com 06</t>
  </si>
  <si>
    <t xml:space="preserve">4</t>
  </si>
  <si>
    <t xml:space="preserve">Plantas e produtos de floricultura relativos à horticultura e cultivados para fins alimentares, ornamentais ou medicinais classificados no Capítulo 6 da NCM/SH</t>
  </si>
  <si>
    <t xml:space="preserve">P06</t>
  </si>
  <si>
    <t xml:space="preserve">0601</t>
  </si>
  <si>
    <t xml:space="preserve">Todos os NCM que começam com 0601</t>
  </si>
  <si>
    <t xml:space="preserve">11</t>
  </si>
  <si>
    <t xml:space="preserve">Mudas de plantas e demais materiais propagativos de plantas e fungos, inclusive plantas e fungos nativos de espécies florestais; em conformidade com as definições e demais requisitos da legislação específica</t>
  </si>
  <si>
    <t xml:space="preserve">P0601</t>
  </si>
  <si>
    <t xml:space="preserve">0602</t>
  </si>
  <si>
    <t xml:space="preserve">Todos os NCM que começam com 0602</t>
  </si>
  <si>
    <t xml:space="preserve">P0602</t>
  </si>
  <si>
    <t xml:space="preserve">07</t>
  </si>
  <si>
    <t xml:space="preserve">Todos os NCM que começam com 07</t>
  </si>
  <si>
    <t xml:space="preserve">10</t>
  </si>
  <si>
    <t xml:space="preserve">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</si>
  <si>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 xml:space="preserve">P07</t>
  </si>
  <si>
    <t xml:space="preserve">0701</t>
  </si>
  <si>
    <t xml:space="preserve">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</si>
  <si>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 xml:space="preserve">0702.00.00</t>
  </si>
  <si>
    <t xml:space="preserve">0703</t>
  </si>
  <si>
    <t xml:space="preserve">0704</t>
  </si>
  <si>
    <t xml:space="preserve">0705</t>
  </si>
  <si>
    <t xml:space="preserve">0706</t>
  </si>
  <si>
    <t xml:space="preserve">0707.00.00</t>
  </si>
  <si>
    <t xml:space="preserve">0708</t>
  </si>
  <si>
    <t xml:space="preserve">0709</t>
  </si>
  <si>
    <t xml:space="preserve">0710</t>
  </si>
  <si>
    <t xml:space="preserve">0711, 0714.10.00, 0714.20.00, 0714.30.00, 0714.40.00, 0714.50.00, 0714.90.00</t>
  </si>
  <si>
    <t xml:space="preserve">0713.33.19</t>
  </si>
  <si>
    <t xml:space="preserve">0713.33.29</t>
  </si>
  <si>
    <t xml:space="preserve">0713.33.99</t>
  </si>
  <si>
    <t xml:space="preserve">0713.35.90</t>
  </si>
  <si>
    <t xml:space="preserve">Todos os NCM que começam com 0701</t>
  </si>
  <si>
    <t xml:space="preserve">Produtos hortícolas das posições 07.01, 07.02.00.00, 07.03, 07.04, 07.05, 07.06, 0707.00.00, 07.08, 07.09 e 07.10, exceto os cogumelos e trufas classificados na subposição 0709.5 e no código 0710.80.00 da NCM/SH</t>
  </si>
  <si>
    <t xml:space="preserve">P0701</t>
  </si>
  <si>
    <t xml:space="preserve">P07020000</t>
  </si>
  <si>
    <t xml:space="preserve">Todos os NCM que começam com 0703</t>
  </si>
  <si>
    <t xml:space="preserve">P0703</t>
  </si>
  <si>
    <t xml:space="preserve">Todos os NCM que começam com 0704</t>
  </si>
  <si>
    <t xml:space="preserve">P0704</t>
  </si>
  <si>
    <t xml:space="preserve">Todos os NCM que começam com 0705</t>
  </si>
  <si>
    <t xml:space="preserve">P0705</t>
  </si>
  <si>
    <t xml:space="preserve">Todos os NCM que começam com 0706</t>
  </si>
  <si>
    <t xml:space="preserve">P0706</t>
  </si>
  <si>
    <t xml:space="preserve">P07070000</t>
  </si>
  <si>
    <t xml:space="preserve">Todos os NCM que começam com 0708</t>
  </si>
  <si>
    <t xml:space="preserve">P0708</t>
  </si>
  <si>
    <t xml:space="preserve">Todos os NCM que começam com 0709</t>
  </si>
  <si>
    <t xml:space="preserve">0709.5</t>
  </si>
  <si>
    <t xml:space="preserve">P0709</t>
  </si>
  <si>
    <t xml:space="preserve">Todos os NCM que começam com 0709.5</t>
  </si>
  <si>
    <t xml:space="preserve">P07095</t>
  </si>
  <si>
    <t xml:space="preserve">Todos os NCM que começam com 0710</t>
  </si>
  <si>
    <t xml:space="preserve">P0710</t>
  </si>
  <si>
    <t xml:space="preserve">0710.80.00</t>
  </si>
  <si>
    <t xml:space="preserve">P07108000</t>
  </si>
  <si>
    <t xml:space="preserve">0712.90.10</t>
  </si>
  <si>
    <t xml:space="preserve">P07129010</t>
  </si>
  <si>
    <t xml:space="preserve">Feijões dos códigos 0713.33.19, 0713.33.29, 0713.33.99 e 0713.35.90 da NCM/SH</t>
  </si>
  <si>
    <t xml:space="preserve">P07133319</t>
  </si>
  <si>
    <t xml:space="preserve">P07133329</t>
  </si>
  <si>
    <t xml:space="preserve">P07133399</t>
  </si>
  <si>
    <t xml:space="preserve">P07133590</t>
  </si>
  <si>
    <t xml:space="preserve">0714</t>
  </si>
  <si>
    <t xml:space="preserve">Todos os NCM que começam com 0714</t>
  </si>
  <si>
    <t xml:space="preserve">Raízes e tubérculos da posição 07.14 da NCM/SH</t>
  </si>
  <si>
    <t xml:space="preserve">P0714</t>
  </si>
  <si>
    <t xml:space="preserve">08</t>
  </si>
  <si>
    <t xml:space="preserve">Todos os NCM que começam com 08</t>
  </si>
  <si>
    <t xml:space="preserve">0801.1</t>
  </si>
  <si>
    <t xml:space="preserve">P08</t>
  </si>
  <si>
    <t xml:space="preserve">0803</t>
  </si>
  <si>
    <t xml:space="preserve">0804</t>
  </si>
  <si>
    <t xml:space="preserve">0805</t>
  </si>
  <si>
    <t xml:space="preserve">0806</t>
  </si>
  <si>
    <t xml:space="preserve">0807</t>
  </si>
  <si>
    <t xml:space="preserve">0808</t>
  </si>
  <si>
    <t xml:space="preserve">0809</t>
  </si>
  <si>
    <t xml:space="preserve">0810</t>
  </si>
  <si>
    <t xml:space="preserve">0811</t>
  </si>
  <si>
    <t xml:space="preserve">0812</t>
  </si>
  <si>
    <t xml:space="preserve">0814.00.00</t>
  </si>
  <si>
    <t xml:space="preserve">Todos os NCM que começam com 0801.1</t>
  </si>
  <si>
    <t xml:space="preserve">6</t>
  </si>
  <si>
    <t xml:space="preserve">Cocos da subposição 0801.1 da NCM/SH</t>
  </si>
  <si>
    <t xml:space="preserve">P08011</t>
  </si>
  <si>
    <t xml:space="preserve">Todos os NCM que começam com 0803</t>
  </si>
  <si>
    <t xml:space="preserve">Frutas frescas ou refrigeradas e frutas congeladas sem adição de açúcar ou de outros edulcorantes classificadas nas posições 08.03, 08.04, 08.05, 08.06, 08.07, 08.08, 08.09, 08.10 e 08.11 da NCM/SH</t>
  </si>
  <si>
    <t xml:space="preserve">P0803</t>
  </si>
  <si>
    <t xml:space="preserve">Todos os NCM que começam com 0804</t>
  </si>
  <si>
    <t xml:space="preserve">P0804</t>
  </si>
  <si>
    <t xml:space="preserve">Todos os NCM que começam com 0805</t>
  </si>
  <si>
    <t xml:space="preserve">P0805</t>
  </si>
  <si>
    <t xml:space="preserve">Todos os NCM que começam com 0806</t>
  </si>
  <si>
    <t xml:space="preserve">P0806</t>
  </si>
  <si>
    <t xml:space="preserve">Todos os NCM que começam com 0807</t>
  </si>
  <si>
    <t xml:space="preserve">P0807</t>
  </si>
  <si>
    <t xml:space="preserve">Todos os NCM que começam com 0808</t>
  </si>
  <si>
    <t xml:space="preserve">P0808</t>
  </si>
  <si>
    <t xml:space="preserve">Todos os NCM que começam com 0809</t>
  </si>
  <si>
    <t xml:space="preserve">P0809</t>
  </si>
  <si>
    <t xml:space="preserve">Todos os NCM que começam com 0810</t>
  </si>
  <si>
    <t xml:space="preserve">P0810</t>
  </si>
  <si>
    <t xml:space="preserve">Todos os NCM que começam com 0811</t>
  </si>
  <si>
    <t xml:space="preserve">P0811</t>
  </si>
  <si>
    <t xml:space="preserve">0901</t>
  </si>
  <si>
    <t xml:space="preserve">Todos os NCM que começam com 0901</t>
  </si>
  <si>
    <t xml:space="preserve">8</t>
  </si>
  <si>
    <t xml:space="preserve">Café da posição 09.01 e da subposição 2101.1, ambos da NCM/SH</t>
  </si>
  <si>
    <t xml:space="preserve">P0901</t>
  </si>
  <si>
    <t xml:space="preserve">0903</t>
  </si>
  <si>
    <t xml:space="preserve">Todos os NCM que começam com 0903</t>
  </si>
  <si>
    <t xml:space="preserve">23</t>
  </si>
  <si>
    <t xml:space="preserve">Mate da posição 09.03 da NCM/SH</t>
  </si>
  <si>
    <t xml:space="preserve">P0903</t>
  </si>
  <si>
    <t xml:space="preserve">Todos os NCM que começam com 10</t>
  </si>
  <si>
    <t xml:space="preserve">P10</t>
  </si>
  <si>
    <t xml:space="preserve">Sementes e cereais, mesmo triturados, em grãos esmagados ou trabalhados de outro modo; todos destinados diretamente à fabricação de ração para animais ou diretamente à alimentação animal, exceto de animais domésticos</t>
  </si>
  <si>
    <t xml:space="preserve">1006.20</t>
  </si>
  <si>
    <t xml:space="preserve">Cereais do capítulo 10 e sementes e frutos oleaginosos classificados no capítulo 12, ambos da NCM/SH, ressalvados os produtos relacionados no Anexo I</t>
  </si>
  <si>
    <t xml:space="preserve">1006.30</t>
  </si>
  <si>
    <t xml:space="preserve">1006.40.00</t>
  </si>
  <si>
    <t xml:space="preserve">Todos os NCM que começam com 1006.20</t>
  </si>
  <si>
    <t xml:space="preserve">Arroz das subposições 1006.20 e 1006.30 e do código 1006.40.00 da NCM/SH</t>
  </si>
  <si>
    <t xml:space="preserve">P100620</t>
  </si>
  <si>
    <t xml:space="preserve">Todos os NCM que começam com 1006.30</t>
  </si>
  <si>
    <t xml:space="preserve">P100630</t>
  </si>
  <si>
    <t xml:space="preserve">P10064000</t>
  </si>
  <si>
    <t xml:space="preserve">Todos os NCM que começam com 11</t>
  </si>
  <si>
    <t xml:space="preserve">P11</t>
  </si>
  <si>
    <t xml:space="preserve">1101.00</t>
  </si>
  <si>
    <t xml:space="preserve">Todos os NCM que começam com 1101.00</t>
  </si>
  <si>
    <t xml:space="preserve">1101.00.10</t>
  </si>
  <si>
    <t xml:space="preserve">Farinha das posições 1101.00, 11.02, 11.05, 11.06 e 12.08 da NCM/SH; ressalvados os produtos relacionados no Anexo I</t>
  </si>
  <si>
    <t xml:space="preserve">P110100</t>
  </si>
  <si>
    <t xml:space="preserve">Farinha de trigo do código 1101.00.10 da NCM/SH</t>
  </si>
  <si>
    <t xml:space="preserve">P11010010</t>
  </si>
  <si>
    <t xml:space="preserve">1102</t>
  </si>
  <si>
    <t xml:space="preserve">Todos os NCM que começam com 1102</t>
  </si>
  <si>
    <t xml:space="preserve">1102.20.00</t>
  </si>
  <si>
    <t xml:space="preserve">P1102</t>
  </si>
  <si>
    <t xml:space="preserve">1102.90.00</t>
  </si>
  <si>
    <t xml:space="preserve">Farinha, grumos e sêmolas, de milho, dos códigos 1102.20.00 e 1103.13.00 da NCM</t>
  </si>
  <si>
    <t xml:space="preserve">P11022000</t>
  </si>
  <si>
    <t xml:space="preserve">18</t>
  </si>
  <si>
    <t xml:space="preserve">Farinha de aveia classificada no código 1102.90.00 da NCM/SH</t>
  </si>
  <si>
    <t xml:space="preserve">P11029000</t>
  </si>
  <si>
    <t xml:space="preserve">1103.11.00</t>
  </si>
  <si>
    <t xml:space="preserve">Grumos e sêmolas de cereais dos códigos 1103.11.00 e 1103.19.00 da NCM/SH; ressalvados os produtos relacionados no Anexo I</t>
  </si>
  <si>
    <t xml:space="preserve">P11031100</t>
  </si>
  <si>
    <t xml:space="preserve">1103.13.00</t>
  </si>
  <si>
    <t xml:space="preserve">P11031300</t>
  </si>
  <si>
    <t xml:space="preserve">1103.19.00</t>
  </si>
  <si>
    <t xml:space="preserve">P11031900</t>
  </si>
  <si>
    <t xml:space="preserve">1104.1</t>
  </si>
  <si>
    <t xml:space="preserve">Todos os NCM que começam com 1104.1</t>
  </si>
  <si>
    <t xml:space="preserve">1104.12.00</t>
  </si>
  <si>
    <t xml:space="preserve">Grãos de cereais das subposições 1104.1 e 1104.2 da NCM/SH; ressalvados os produtos relacionados no Anexo I</t>
  </si>
  <si>
    <t xml:space="preserve">P11041</t>
  </si>
  <si>
    <t xml:space="preserve">1104.19.00</t>
  </si>
  <si>
    <t xml:space="preserve">Grãos de aveia dos códigos 1104.12.00 e 1104.22.00 da NCM/SH</t>
  </si>
  <si>
    <t xml:space="preserve">P11041200</t>
  </si>
  <si>
    <t xml:space="preserve">12</t>
  </si>
  <si>
    <t xml:space="preserve">Grãos de milho classificados no código 1104.19.00 e do código 1104.23.00 da NCM/SH</t>
  </si>
  <si>
    <t xml:space="preserve">P11041900</t>
  </si>
  <si>
    <t xml:space="preserve">1104.2</t>
  </si>
  <si>
    <t xml:space="preserve">Todos os NCM que começam com 1104.2</t>
  </si>
  <si>
    <t xml:space="preserve">1104.22.00</t>
  </si>
  <si>
    <t xml:space="preserve">P11042</t>
  </si>
  <si>
    <t xml:space="preserve">1104.23.00</t>
  </si>
  <si>
    <t xml:space="preserve">P11042200</t>
  </si>
  <si>
    <t xml:space="preserve">P11042300</t>
  </si>
  <si>
    <t xml:space="preserve">1105</t>
  </si>
  <si>
    <t xml:space="preserve">Todos os NCM que começam com 1105</t>
  </si>
  <si>
    <t xml:space="preserve">P1105</t>
  </si>
  <si>
    <t xml:space="preserve">1106</t>
  </si>
  <si>
    <t xml:space="preserve">Todos os NCM que começam com 1106</t>
  </si>
  <si>
    <t xml:space="preserve">1106.20.00</t>
  </si>
  <si>
    <t xml:space="preserve">P1106</t>
  </si>
  <si>
    <t xml:space="preserve">Farinha de mandioca classificada no código 1106.20.00 da NCM/SH e tapioca e seus sucedâneos do código 1903.00.00 da NCM/SH</t>
  </si>
  <si>
    <t xml:space="preserve">P11062000</t>
  </si>
  <si>
    <t xml:space="preserve">1108.12.00</t>
  </si>
  <si>
    <t xml:space="preserve">Amido de milho do código 1108.12.00 da NCM/SH</t>
  </si>
  <si>
    <t xml:space="preserve">P11081200</t>
  </si>
  <si>
    <t xml:space="preserve">Todos os NCM que começam com 12</t>
  </si>
  <si>
    <t xml:space="preserve">P12</t>
  </si>
  <si>
    <t xml:space="preserve">1201.10.00</t>
  </si>
  <si>
    <t xml:space="preserve">P12011000</t>
  </si>
  <si>
    <t xml:space="preserve">1208</t>
  </si>
  <si>
    <t xml:space="preserve">Todos os NCM que começam com 1208</t>
  </si>
  <si>
    <t xml:space="preserve">P1208</t>
  </si>
  <si>
    <t xml:space="preserve">1211</t>
  </si>
  <si>
    <t xml:space="preserve">Todos os NCM que começam com 1211</t>
  </si>
  <si>
    <t xml:space="preserve">Bioestimulantes e bioinsumos para controle fitossanitário, em conformidade com as definições e demais requisitos da legislação específica</t>
  </si>
  <si>
    <t xml:space="preserve">P1211</t>
  </si>
  <si>
    <t xml:space="preserve">1213.00.00</t>
  </si>
  <si>
    <t xml:space="preserve">P12130000</t>
  </si>
  <si>
    <t xml:space="preserve">1301.90.90</t>
  </si>
  <si>
    <t xml:space="preserve">P13019090</t>
  </si>
  <si>
    <t xml:space="preserve">1302.19.9</t>
  </si>
  <si>
    <t xml:space="preserve">Todos os NCM que começam com 1302.19.9</t>
  </si>
  <si>
    <t xml:space="preserve">P1302199</t>
  </si>
  <si>
    <t xml:space="preserve">1401.90.00</t>
  </si>
  <si>
    <t xml:space="preserve">P14019000</t>
  </si>
  <si>
    <t xml:space="preserve">1404.90.90</t>
  </si>
  <si>
    <t xml:space="preserve">P14049090</t>
  </si>
  <si>
    <t xml:space="preserve">Todos os NCM que começam com 15</t>
  </si>
  <si>
    <t xml:space="preserve">P15</t>
  </si>
  <si>
    <t xml:space="preserve">1507.90</t>
  </si>
  <si>
    <t xml:space="preserve">Todos os NCM que começam com 1507.90</t>
  </si>
  <si>
    <t xml:space="preserve">Óleos de soja, de milho, canola e demais óleos vegetais, em conformidade com os requisitos da legislação específica relativos ao consumo como alimento, classificados na subposição 1507.90 e nas posições 15.08, 15.11, 15.12, 15.13, 15.14 e 15.15 da NCM/SH</t>
  </si>
  <si>
    <t xml:space="preserve">P150790</t>
  </si>
  <si>
    <t xml:space="preserve">1508</t>
  </si>
  <si>
    <t xml:space="preserve">Todos os NCM que começam com 1508</t>
  </si>
  <si>
    <t xml:space="preserve">P1508</t>
  </si>
  <si>
    <t xml:space="preserve">1511</t>
  </si>
  <si>
    <t xml:space="preserve">Todos os NCM que começam com 1511</t>
  </si>
  <si>
    <t xml:space="preserve">P1511</t>
  </si>
  <si>
    <t xml:space="preserve">1512</t>
  </si>
  <si>
    <t xml:space="preserve">Todos os NCM que começam com 1512</t>
  </si>
  <si>
    <t xml:space="preserve">P1512</t>
  </si>
  <si>
    <t xml:space="preserve">1513</t>
  </si>
  <si>
    <t xml:space="preserve">Todos os NCM que começam com 1513</t>
  </si>
  <si>
    <t xml:space="preserve">P1513</t>
  </si>
  <si>
    <t xml:space="preserve">1513.19.00</t>
  </si>
  <si>
    <t xml:space="preserve">VI</t>
  </si>
  <si>
    <t xml:space="preserve">81</t>
  </si>
  <si>
    <t xml:space="preserve">Triglicerídeos de cadeia média</t>
  </si>
  <si>
    <t xml:space="preserve">Nutrição enteral e parenteral — redução de 60%</t>
  </si>
  <si>
    <t xml:space="preserve">200033</t>
  </si>
  <si>
    <t xml:space="preserve">Art. 133, § 1º</t>
  </si>
  <si>
    <t xml:space="preserve">P15131900</t>
  </si>
  <si>
    <t xml:space="preserve">Nutrição enteral e parenteral — alíquota zero</t>
  </si>
  <si>
    <t xml:space="preserve">200011</t>
  </si>
  <si>
    <t xml:space="preserve">só na venda a órgão público ou a entidade de saúde imune com CEBAS (SUS)</t>
  </si>
  <si>
    <t xml:space="preserve">Art. 146, § 2º</t>
  </si>
  <si>
    <t xml:space="preserve">1513.21.20</t>
  </si>
  <si>
    <t xml:space="preserve">9</t>
  </si>
  <si>
    <t xml:space="preserve">Óleo de babaçu do código 1513.21.20 da NCM/SH, em conformidade com os requisitos da legislação específica relativos ao consumo como alimento</t>
  </si>
  <si>
    <t xml:space="preserve">P15132120</t>
  </si>
  <si>
    <t xml:space="preserve">1513.29.11</t>
  </si>
  <si>
    <t xml:space="preserve">P15132911</t>
  </si>
  <si>
    <t xml:space="preserve">1514</t>
  </si>
  <si>
    <t xml:space="preserve">Todos os NCM que começam com 1514</t>
  </si>
  <si>
    <t xml:space="preserve">P1514</t>
  </si>
  <si>
    <t xml:space="preserve">1515</t>
  </si>
  <si>
    <t xml:space="preserve">Todos os NCM que começam com 1515</t>
  </si>
  <si>
    <t xml:space="preserve">P1515</t>
  </si>
  <si>
    <t xml:space="preserve">1517.10.00</t>
  </si>
  <si>
    <t xml:space="preserve">Margarina do código 1517.10.00 da NCM/SH</t>
  </si>
  <si>
    <t xml:space="preserve">P15171000</t>
  </si>
  <si>
    <t xml:space="preserve">1701.14.00</t>
  </si>
  <si>
    <t xml:space="preserve">Açúcar classificado nos códigos 1701.14.00 e 1701.99.00 da NCM/SH</t>
  </si>
  <si>
    <t xml:space="preserve">P17011400</t>
  </si>
  <si>
    <t xml:space="preserve">1701.99.00</t>
  </si>
  <si>
    <t xml:space="preserve">P17019900</t>
  </si>
  <si>
    <t xml:space="preserve">1702.30.11</t>
  </si>
  <si>
    <t xml:space="preserve">58</t>
  </si>
  <si>
    <t xml:space="preserve">Glicose</t>
  </si>
  <si>
    <t xml:space="preserve">P17023011</t>
  </si>
  <si>
    <t xml:space="preserve">1702.50.00</t>
  </si>
  <si>
    <t xml:space="preserve">54</t>
  </si>
  <si>
    <t xml:space="preserve">Frutose</t>
  </si>
  <si>
    <t xml:space="preserve">P17025000</t>
  </si>
  <si>
    <t xml:space="preserve">1901.10.10</t>
  </si>
  <si>
    <t xml:space="preserve">Fórmulas infantis, em conformidade com os requisitos da legislação específica, classificadas nos códigos 1901.10.10, 1901.10.90 e 2106.90.90 da NCM/SH</t>
  </si>
  <si>
    <t xml:space="preserve">P19011010</t>
  </si>
  <si>
    <t xml:space="preserve">1901.10.90</t>
  </si>
  <si>
    <t xml:space="preserve">P19011090</t>
  </si>
  <si>
    <t xml:space="preserve">1901.20.10</t>
  </si>
  <si>
    <t xml:space="preserve">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</si>
  <si>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 xml:space="preserve">P19012010</t>
  </si>
  <si>
    <t xml:space="preserve">1901.20.90</t>
  </si>
  <si>
    <t xml:space="preserve">P19012090</t>
  </si>
  <si>
    <t xml:space="preserve">1901.90.90</t>
  </si>
  <si>
    <t xml:space="preserve">24</t>
  </si>
  <si>
    <t xml:space="preserve">Farinha com baixo teor de proteína para pessoas com aminoacidopatias, acidemias e defeitos do ciclo da uréia da NCM 1901.90.90</t>
  </si>
  <si>
    <t xml:space="preserve">P19019090</t>
  </si>
  <si>
    <t xml:space="preserve">1902.1</t>
  </si>
  <si>
    <t xml:space="preserve">Todos os NCM que começam com 1902.1</t>
  </si>
  <si>
    <t xml:space="preserve">Massas alimentícias da subposição 1902.1 da NCM/SH</t>
  </si>
  <si>
    <t xml:space="preserve">P19021</t>
  </si>
  <si>
    <t xml:space="preserve">1902.19.00</t>
  </si>
  <si>
    <t xml:space="preserve">25</t>
  </si>
  <si>
    <t xml:space="preserve">Massas com baixo teor de proteína para pessoas com aminoacidopatias, acidemias e defeitos do ciclo da uréia da NCM 1902.19.00</t>
  </si>
  <si>
    <t xml:space="preserve">P19021900</t>
  </si>
  <si>
    <t xml:space="preserve">1902.20.00</t>
  </si>
  <si>
    <t xml:space="preserve">Massas alimentícias dos códigos 1902.20.00 e 1902.30.00 da NCM/SH</t>
  </si>
  <si>
    <t xml:space="preserve">P19022000</t>
  </si>
  <si>
    <t xml:space="preserve">1902.30.00</t>
  </si>
  <si>
    <t xml:space="preserve">P19023000</t>
  </si>
  <si>
    <t xml:space="preserve">1903.00.00</t>
  </si>
  <si>
    <t xml:space="preserve">P19030000</t>
  </si>
  <si>
    <t xml:space="preserve">1905.90.10</t>
  </si>
  <si>
    <t xml:space="preserve">Pão de Forma do código 1905.90.10 da NCM/SH</t>
  </si>
  <si>
    <t xml:space="preserve">P19059010</t>
  </si>
  <si>
    <t xml:space="preserve">1905.90.90</t>
  </si>
  <si>
    <t xml:space="preserve">P19059090</t>
  </si>
  <si>
    <t xml:space="preserve">2002.10.00</t>
  </si>
  <si>
    <t xml:space="preserve">Água para injeção</t>
  </si>
  <si>
    <t xml:space="preserve">P20021000</t>
  </si>
  <si>
    <t xml:space="preserve">Produtos hortícolas, mesmo misturados entre si, apenas pré-cozidos ou cozidos em água ou vapor, sem adição de sal ou de quaisquer outros produtos e substâncias, classificados nas posições 20.04 e 20.05 e no código 2002.10.00 da NCM/SH</t>
  </si>
  <si>
    <t xml:space="preserve">2002.90.00</t>
  </si>
  <si>
    <t xml:space="preserve">Extrato de tomate classificado no código 2002.90.00 da NCM/SH</t>
  </si>
  <si>
    <t xml:space="preserve">P20029000</t>
  </si>
  <si>
    <t xml:space="preserve">2004</t>
  </si>
  <si>
    <t xml:space="preserve">Todos os NCM que começam com 2004</t>
  </si>
  <si>
    <t xml:space="preserve">P2004</t>
  </si>
  <si>
    <t xml:space="preserve">2005</t>
  </si>
  <si>
    <t xml:space="preserve">Todos os NCM que começam com 2005</t>
  </si>
  <si>
    <t xml:space="preserve">P2005</t>
  </si>
  <si>
    <t xml:space="preserve">2008</t>
  </si>
  <si>
    <t xml:space="preserve">Todos os NCM que começam com 2008</t>
  </si>
  <si>
    <t xml:space="preserve">Polpas de frutas ou de produtos hortícolas sem adição de açúcar ou de outros edulcorantes e sem conservantes classificadas na posição 20.08 da NCM/SH</t>
  </si>
  <si>
    <t xml:space="preserve">P2008</t>
  </si>
  <si>
    <t xml:space="preserve">2008.1</t>
  </si>
  <si>
    <t xml:space="preserve">Todos os NCM que começam com 2008.1</t>
  </si>
  <si>
    <t xml:space="preserve">Fruta de casca rija regional, amendoins e outras sementes, mesmo misturados entre si, apenas torrados ou cozidos, sem adição de sal ou de quaisquer outros produtos e substâncias, classificados na subposição 2008.1 da NCM/SH</t>
  </si>
  <si>
    <t xml:space="preserve">P20081</t>
  </si>
  <si>
    <t xml:space="preserve">2009</t>
  </si>
  <si>
    <t xml:space="preserve">Todos os NCM que começam com 2009</t>
  </si>
  <si>
    <t xml:space="preserve">Sucos naturais de fruta ou de produtos hortícolas sem adição de açúcar ou de outros edulcorantes e sem conservantes classificados na posição 20.09 da NCM/SH</t>
  </si>
  <si>
    <t xml:space="preserve">P2009</t>
  </si>
  <si>
    <t xml:space="preserve">2101.1</t>
  </si>
  <si>
    <t xml:space="preserve">Todos os NCM que começam com 2101.1</t>
  </si>
  <si>
    <t xml:space="preserve">P21011</t>
  </si>
  <si>
    <t xml:space="preserve">2102.20.00</t>
  </si>
  <si>
    <t xml:space="preserve">P21022000</t>
  </si>
  <si>
    <t xml:space="preserve">2106.90.30</t>
  </si>
  <si>
    <t xml:space="preserve">XI</t>
  </si>
  <si>
    <t xml:space="preserve">2.10</t>
  </si>
  <si>
    <t xml:space="preserve">Rações operacionais</t>
  </si>
  <si>
    <t xml:space="preserve">Soberania e segurança nacional — redução de 60%</t>
  </si>
  <si>
    <t xml:space="preserve">200043</t>
  </si>
  <si>
    <t xml:space="preserve">só na venda à administração pública</t>
  </si>
  <si>
    <t xml:space="preserve">Art. 142, I</t>
  </si>
  <si>
    <t xml:space="preserve">P21069030</t>
  </si>
  <si>
    <t xml:space="preserve">Segurança da informação e cibernética — redução de 60%</t>
  </si>
  <si>
    <t xml:space="preserve">200044</t>
  </si>
  <si>
    <t xml:space="preserve">só por sociedade com sócio brasileiro com pelo menos 20% do capital</t>
  </si>
  <si>
    <t xml:space="preserve">Art. 142, II</t>
  </si>
  <si>
    <t xml:space="preserve">2106.90.90</t>
  </si>
  <si>
    <t xml:space="preserve">26</t>
  </si>
  <si>
    <t xml:space="preserve">Fórmulas Dietoterápicas para Erros Inatos do Metabolismo da NCM 2106.9090</t>
  </si>
  <si>
    <t xml:space="preserve">P21069090</t>
  </si>
  <si>
    <t xml:space="preserve">39</t>
  </si>
  <si>
    <t xml:space="preserve">Fórmula para dieta isenta de fenilalanina</t>
  </si>
  <si>
    <t xml:space="preserve">40</t>
  </si>
  <si>
    <t xml:space="preserve">Fórmula para dieta isenta demetionina</t>
  </si>
  <si>
    <t xml:space="preserve">41</t>
  </si>
  <si>
    <t xml:space="preserve">Fórmula para dieta isenta de lisina e pobre de triptofano</t>
  </si>
  <si>
    <t xml:space="preserve">42</t>
  </si>
  <si>
    <t xml:space="preserve">Fórmula para dieta isenta de leucina, de isoleucina ou de valina</t>
  </si>
  <si>
    <t xml:space="preserve">43</t>
  </si>
  <si>
    <t xml:space="preserve">Fórmula para dieta isenta de fenilalanina e de metionina</t>
  </si>
  <si>
    <t xml:space="preserve">44</t>
  </si>
  <si>
    <t xml:space="preserve">Fórmula para dieta isenta de aminoácidos não essenciais</t>
  </si>
  <si>
    <t xml:space="preserve">45</t>
  </si>
  <si>
    <t xml:space="preserve">Fórmula para dieta isenta de metionina, de treonina, de valina e restrita de isoleucina</t>
  </si>
  <si>
    <t xml:space="preserve">46</t>
  </si>
  <si>
    <t xml:space="preserve">Fórmula para dieta cetogênica, na proporção de 4 g de gordura para cada 1 g de carboidratos e proteínas</t>
  </si>
  <si>
    <t xml:space="preserve">2202.99.00</t>
  </si>
  <si>
    <t xml:space="preserve">47</t>
  </si>
  <si>
    <t xml:space="preserve">Fórmula hiperlipídica, para suplementação de triglicerídios de cadeia média ou triheptanoína</t>
  </si>
  <si>
    <t xml:space="preserve">P22029900</t>
  </si>
  <si>
    <t xml:space="preserve">48</t>
  </si>
  <si>
    <t xml:space="preserve">Preparação líquida, de quatro partes de trioleato de glicerol de ácido para uma parte de trierucato de glicerol</t>
  </si>
  <si>
    <t xml:space="preserve">2301</t>
  </si>
  <si>
    <t xml:space="preserve">Todos os NCM que começam com 2301</t>
  </si>
  <si>
    <t xml:space="preserve">Farelos e tortas de produtos vegetais e demais resíduos e desperdícios das indústrias alimentares; todos destinados diretamente à fabricação de ração para animais ou diretamente à alimentação animal, exceto de animais domésticos</t>
  </si>
  <si>
    <t xml:space="preserve">P2301</t>
  </si>
  <si>
    <t xml:space="preserve">2302</t>
  </si>
  <si>
    <t xml:space="preserve">Todos os NCM que começam com 2302</t>
  </si>
  <si>
    <t xml:space="preserve">P2302</t>
  </si>
  <si>
    <t xml:space="preserve">2303</t>
  </si>
  <si>
    <t xml:space="preserve">Todos os NCM que começam com 2303</t>
  </si>
  <si>
    <t xml:space="preserve">P2303</t>
  </si>
  <si>
    <t xml:space="preserve">2303.20.00</t>
  </si>
  <si>
    <t xml:space="preserve">X</t>
  </si>
  <si>
    <t xml:space="preserve">Cessão temporária de direitos de autor de obras jornalísticas</t>
  </si>
  <si>
    <t xml:space="preserve">P23032000</t>
  </si>
  <si>
    <t xml:space="preserve">2303.30.00</t>
  </si>
  <si>
    <t xml:space="preserve">P23033000</t>
  </si>
  <si>
    <t xml:space="preserve">2304.00</t>
  </si>
  <si>
    <t xml:space="preserve">Todos os NCM que começam com 2304.00</t>
  </si>
  <si>
    <t xml:space="preserve">P230400</t>
  </si>
  <si>
    <t xml:space="preserve">2305.00</t>
  </si>
  <si>
    <t xml:space="preserve">Todos os NCM que começam com 2305.00</t>
  </si>
  <si>
    <t xml:space="preserve">P230500</t>
  </si>
  <si>
    <t xml:space="preserve">2305.00.00</t>
  </si>
  <si>
    <t xml:space="preserve">P23050000</t>
  </si>
  <si>
    <t xml:space="preserve">2306</t>
  </si>
  <si>
    <t xml:space="preserve">Todos os NCM que começam com 2306</t>
  </si>
  <si>
    <t xml:space="preserve">P2306</t>
  </si>
  <si>
    <t xml:space="preserve">2308.00.00</t>
  </si>
  <si>
    <t xml:space="preserve">P23080000</t>
  </si>
  <si>
    <t xml:space="preserve">2309.90</t>
  </si>
  <si>
    <t xml:space="preserve">Todos os NCM que começam com 2309.90</t>
  </si>
  <si>
    <t xml:space="preserve">Rações para animais, concentrados, suplementos, aditivos, premix ou núcleo, exceto para animais domésticos</t>
  </si>
  <si>
    <t xml:space="preserve">P230990</t>
  </si>
  <si>
    <t xml:space="preserve">Todos os NCM que começam com 25</t>
  </si>
  <si>
    <t xml:space="preserve">Corretivos de solo (inclusive condicionadores), remineralizadores e substratos para plantas; em conformidade com as definições e demais requisitos da legislação específica</t>
  </si>
  <si>
    <t xml:space="preserve">P25</t>
  </si>
  <si>
    <t xml:space="preserve">2501.00</t>
  </si>
  <si>
    <t xml:space="preserve">Todos os NCM que começam com 2501.00</t>
  </si>
  <si>
    <t xml:space="preserve">P250100</t>
  </si>
  <si>
    <t xml:space="preserve">2501.00.20</t>
  </si>
  <si>
    <t xml:space="preserve">22</t>
  </si>
  <si>
    <t xml:space="preserve">Sal em conformidade com os requisitos da legislação específica relativos ao teor de iodo enquadrado nos limites próprios para consumo humano classificado nos códigos 2501.00.20 e 2501.00.90 da NCM/SH</t>
  </si>
  <si>
    <t xml:space="preserve">P25010020</t>
  </si>
  <si>
    <t xml:space="preserve">2501.00.90</t>
  </si>
  <si>
    <t xml:space="preserve">P25010090</t>
  </si>
  <si>
    <t xml:space="preserve">30</t>
  </si>
  <si>
    <t xml:space="preserve">Cloreto de sódio</t>
  </si>
  <si>
    <t xml:space="preserve">2503.00.10</t>
  </si>
  <si>
    <t xml:space="preserve">Ácido nítrico, ácido sulfúrico, ácido fosfórico, fosfatos de cálcio naturais, enxofre, ácido clorídrico, ácido fosforoso, ácido acético, hidróxido de sódio e carbonato dissódico; todos destinados diretamente à fabricação de fertilizantes</t>
  </si>
  <si>
    <t xml:space="preserve">P25030010</t>
  </si>
  <si>
    <t xml:space="preserve">2503.00.90</t>
  </si>
  <si>
    <t xml:space="preserve">P25030090</t>
  </si>
  <si>
    <t xml:space="preserve">2510.10.10</t>
  </si>
  <si>
    <t xml:space="preserve">P25101010</t>
  </si>
  <si>
    <t xml:space="preserve">2510.10.90</t>
  </si>
  <si>
    <t xml:space="preserve">P25101090</t>
  </si>
  <si>
    <t xml:space="preserve">2510.20.10</t>
  </si>
  <si>
    <t xml:space="preserve">P25102010</t>
  </si>
  <si>
    <t xml:space="preserve">2510.20.90</t>
  </si>
  <si>
    <t xml:space="preserve">P25102090</t>
  </si>
  <si>
    <t xml:space="preserve">2521.00.00</t>
  </si>
  <si>
    <t xml:space="preserve">P25210000</t>
  </si>
  <si>
    <t xml:space="preserve">2703.00.00</t>
  </si>
  <si>
    <t xml:space="preserve">P27030000</t>
  </si>
  <si>
    <t xml:space="preserve">2802.00.00</t>
  </si>
  <si>
    <t xml:space="preserve">P28020000</t>
  </si>
  <si>
    <t xml:space="preserve">2806.10.20</t>
  </si>
  <si>
    <t xml:space="preserve">P28061020</t>
  </si>
  <si>
    <t xml:space="preserve">2807.00.10</t>
  </si>
  <si>
    <t xml:space="preserve">P28070010</t>
  </si>
  <si>
    <t xml:space="preserve">2808.00.10</t>
  </si>
  <si>
    <t xml:space="preserve">P28080010</t>
  </si>
  <si>
    <t xml:space="preserve">2809.20.11</t>
  </si>
  <si>
    <t xml:space="preserve">P28092011</t>
  </si>
  <si>
    <t xml:space="preserve">2809.20.19</t>
  </si>
  <si>
    <t xml:space="preserve">P28092019</t>
  </si>
  <si>
    <t xml:space="preserve">2811.19.20</t>
  </si>
  <si>
    <t xml:space="preserve">P28111920</t>
  </si>
  <si>
    <t xml:space="preserve">2811.19.90</t>
  </si>
  <si>
    <t xml:space="preserve">Ácido selenioso</t>
  </si>
  <si>
    <t xml:space="preserve">P28111990</t>
  </si>
  <si>
    <t xml:space="preserve">2815.11.00</t>
  </si>
  <si>
    <t xml:space="preserve">P28151100</t>
  </si>
  <si>
    <t xml:space="preserve">2815.12.00</t>
  </si>
  <si>
    <t xml:space="preserve">P28151200</t>
  </si>
  <si>
    <t xml:space="preserve">2827.20.10</t>
  </si>
  <si>
    <t xml:space="preserve">Cloreto de cálcio</t>
  </si>
  <si>
    <t xml:space="preserve">P28272010</t>
  </si>
  <si>
    <t xml:space="preserve">2827.20.90</t>
  </si>
  <si>
    <t xml:space="preserve">P28272090</t>
  </si>
  <si>
    <t xml:space="preserve">2827.31.10</t>
  </si>
  <si>
    <t xml:space="preserve">27</t>
  </si>
  <si>
    <t xml:space="preserve">Cloreto de magnésio</t>
  </si>
  <si>
    <t xml:space="preserve">P28273110</t>
  </si>
  <si>
    <t xml:space="preserve">2827.31.90</t>
  </si>
  <si>
    <t xml:space="preserve">P28273190</t>
  </si>
  <si>
    <t xml:space="preserve">2827.39.93</t>
  </si>
  <si>
    <t xml:space="preserve">Cloreto crômico</t>
  </si>
  <si>
    <t xml:space="preserve">P28273993</t>
  </si>
  <si>
    <t xml:space="preserve">2827.39.95</t>
  </si>
  <si>
    <t xml:space="preserve">28</t>
  </si>
  <si>
    <t xml:space="preserve">Cloreto de manganês</t>
  </si>
  <si>
    <t xml:space="preserve">P28273995</t>
  </si>
  <si>
    <t xml:space="preserve">2827.39.98</t>
  </si>
  <si>
    <t xml:space="preserve">31</t>
  </si>
  <si>
    <t xml:space="preserve">Cloreto de zinco</t>
  </si>
  <si>
    <t xml:space="preserve">P28273998</t>
  </si>
  <si>
    <t xml:space="preserve">2827.60.12</t>
  </si>
  <si>
    <t xml:space="preserve">61</t>
  </si>
  <si>
    <t xml:space="preserve">Iodeto de potássio</t>
  </si>
  <si>
    <t xml:space="preserve">P28276012</t>
  </si>
  <si>
    <t xml:space="preserve">2833.21.00</t>
  </si>
  <si>
    <t xml:space="preserve">75</t>
  </si>
  <si>
    <t xml:space="preserve">Sulfato de magnésio</t>
  </si>
  <si>
    <t xml:space="preserve">P28332100</t>
  </si>
  <si>
    <t xml:space="preserve">2833.29.70</t>
  </si>
  <si>
    <t xml:space="preserve">76</t>
  </si>
  <si>
    <t xml:space="preserve">Sulfato de zinco</t>
  </si>
  <si>
    <t xml:space="preserve">P28332970</t>
  </si>
  <si>
    <t xml:space="preserve">2835.22.00</t>
  </si>
  <si>
    <t xml:space="preserve">51</t>
  </si>
  <si>
    <t xml:space="preserve">Fosfato de sódio monobásico</t>
  </si>
  <si>
    <t xml:space="preserve">P28352200</t>
  </si>
  <si>
    <t xml:space="preserve">2835.24.00</t>
  </si>
  <si>
    <t xml:space="preserve">49</t>
  </si>
  <si>
    <t xml:space="preserve">Fosfato de potássio dibásico</t>
  </si>
  <si>
    <t xml:space="preserve">P28352400</t>
  </si>
  <si>
    <t xml:space="preserve">50</t>
  </si>
  <si>
    <t xml:space="preserve">Fosfato de potássio monobásico</t>
  </si>
  <si>
    <t xml:space="preserve">2836.20.10</t>
  </si>
  <si>
    <t xml:space="preserve">P28362010</t>
  </si>
  <si>
    <t xml:space="preserve">2836.20.90</t>
  </si>
  <si>
    <t xml:space="preserve">P28362090</t>
  </si>
  <si>
    <t xml:space="preserve">2836.30.00</t>
  </si>
  <si>
    <t xml:space="preserve">Bicarbonato de sódio</t>
  </si>
  <si>
    <t xml:space="preserve">P28363000</t>
  </si>
  <si>
    <t xml:space="preserve">2839.90.10</t>
  </si>
  <si>
    <t xml:space="preserve">P28399010</t>
  </si>
  <si>
    <t xml:space="preserve">2839.90.50</t>
  </si>
  <si>
    <t xml:space="preserve">P28399050</t>
  </si>
  <si>
    <t xml:space="preserve">2842.90.00</t>
  </si>
  <si>
    <t xml:space="preserve">72</t>
  </si>
  <si>
    <t xml:space="preserve">Selenito de sódio</t>
  </si>
  <si>
    <t xml:space="preserve">P28429000</t>
  </si>
  <si>
    <t xml:space="preserve">2844.43.90</t>
  </si>
  <si>
    <t xml:space="preserve">IV</t>
  </si>
  <si>
    <t xml:space="preserve">Fonte de irídio 192</t>
  </si>
  <si>
    <t xml:space="preserve">Dispositivos médicos — redução de 60%</t>
  </si>
  <si>
    <t xml:space="preserve">200030</t>
  </si>
  <si>
    <t xml:space="preserve">Art. 131</t>
  </si>
  <si>
    <t xml:space="preserve">P28444390</t>
  </si>
  <si>
    <t xml:space="preserve">Dispositivos médicos — alíquota zero</t>
  </si>
  <si>
    <t xml:space="preserve">200005</t>
  </si>
  <si>
    <t xml:space="preserve">só na venda a órgão público (administração direta, autarquia, fundação) ou a entidade de saúde imune com CEBAS (SUS)</t>
  </si>
  <si>
    <t xml:space="preserve">Art. 144, II</t>
  </si>
  <si>
    <t xml:space="preserve">2905.44.00</t>
  </si>
  <si>
    <t xml:space="preserve">74</t>
  </si>
  <si>
    <t xml:space="preserve">Sorbitol</t>
  </si>
  <si>
    <t xml:space="preserve">P29054400</t>
  </si>
  <si>
    <t xml:space="preserve">2915.21.00</t>
  </si>
  <si>
    <t xml:space="preserve">P29152100</t>
  </si>
  <si>
    <t xml:space="preserve">Ácido acético</t>
  </si>
  <si>
    <t xml:space="preserve">2915.29.10</t>
  </si>
  <si>
    <t xml:space="preserve">Acetato de sódio</t>
  </si>
  <si>
    <t xml:space="preserve">P29152910</t>
  </si>
  <si>
    <t xml:space="preserve">2915.29.90</t>
  </si>
  <si>
    <t xml:space="preserve">Acetato de potássio</t>
  </si>
  <si>
    <t xml:space="preserve">P29152990</t>
  </si>
  <si>
    <t xml:space="preserve">Acetato de zinco</t>
  </si>
  <si>
    <t xml:space="preserve">2918.14.00</t>
  </si>
  <si>
    <t xml:space="preserve">Ácido cítrico</t>
  </si>
  <si>
    <t xml:space="preserve">P29181400</t>
  </si>
  <si>
    <t xml:space="preserve">2918.16.10</t>
  </si>
  <si>
    <t xml:space="preserve">57</t>
  </si>
  <si>
    <t xml:space="preserve">Gliconato de cálcio</t>
  </si>
  <si>
    <t xml:space="preserve">P29181610</t>
  </si>
  <si>
    <t xml:space="preserve">2918.19.90</t>
  </si>
  <si>
    <t xml:space="preserve">Ácido málico</t>
  </si>
  <si>
    <t xml:space="preserve">P29181990</t>
  </si>
  <si>
    <t xml:space="preserve">2919.90.90</t>
  </si>
  <si>
    <t xml:space="preserve">55</t>
  </si>
  <si>
    <t xml:space="preserve">Glicerofosfato de sódio</t>
  </si>
  <si>
    <t xml:space="preserve">P29199090</t>
  </si>
  <si>
    <t xml:space="preserve">2922.4</t>
  </si>
  <si>
    <t xml:space="preserve">Todos os NCM que começam com 2922.4</t>
  </si>
  <si>
    <t xml:space="preserve">P29224</t>
  </si>
  <si>
    <t xml:space="preserve">2922.41.10</t>
  </si>
  <si>
    <t xml:space="preserve">66</t>
  </si>
  <si>
    <t xml:space="preserve">Lisina</t>
  </si>
  <si>
    <t xml:space="preserve">P29224110</t>
  </si>
  <si>
    <t xml:space="preserve">2922.41.90</t>
  </si>
  <si>
    <t xml:space="preserve">Acetato de lisina</t>
  </si>
  <si>
    <t xml:space="preserve">P29224190</t>
  </si>
  <si>
    <t xml:space="preserve">2922.42.10</t>
  </si>
  <si>
    <t xml:space="preserve">Ácido glutâmico</t>
  </si>
  <si>
    <t xml:space="preserve">P29224210</t>
  </si>
  <si>
    <t xml:space="preserve">2922.49.10</t>
  </si>
  <si>
    <t xml:space="preserve">56</t>
  </si>
  <si>
    <t xml:space="preserve">Glicina</t>
  </si>
  <si>
    <t xml:space="preserve">P29224910</t>
  </si>
  <si>
    <t xml:space="preserve">2922.49.90</t>
  </si>
  <si>
    <t xml:space="preserve">Alanilglutamina</t>
  </si>
  <si>
    <t xml:space="preserve">P29224990</t>
  </si>
  <si>
    <t xml:space="preserve">Alanina</t>
  </si>
  <si>
    <t xml:space="preserve">Asparagina</t>
  </si>
  <si>
    <t xml:space="preserve">37</t>
  </si>
  <si>
    <t xml:space="preserve">Fenilalanina</t>
  </si>
  <si>
    <t xml:space="preserve">62</t>
  </si>
  <si>
    <t xml:space="preserve">Isoleucina</t>
  </si>
  <si>
    <t xml:space="preserve">64</t>
  </si>
  <si>
    <t xml:space="preserve">Leucina</t>
  </si>
  <si>
    <t xml:space="preserve">65</t>
  </si>
  <si>
    <t xml:space="preserve">Levovalina</t>
  </si>
  <si>
    <t xml:space="preserve">70</t>
  </si>
  <si>
    <t xml:space="preserve">Prolina</t>
  </si>
  <si>
    <t xml:space="preserve">77</t>
  </si>
  <si>
    <t xml:space="preserve">Taurina</t>
  </si>
  <si>
    <t xml:space="preserve">Ácido aspártico</t>
  </si>
  <si>
    <t xml:space="preserve">2922.50.39</t>
  </si>
  <si>
    <t xml:space="preserve">Acetiltirosina</t>
  </si>
  <si>
    <t xml:space="preserve">P29225039</t>
  </si>
  <si>
    <t xml:space="preserve">78</t>
  </si>
  <si>
    <t xml:space="preserve">Tirosina</t>
  </si>
  <si>
    <t xml:space="preserve">2922.50.99</t>
  </si>
  <si>
    <t xml:space="preserve">73</t>
  </si>
  <si>
    <t xml:space="preserve">Serina</t>
  </si>
  <si>
    <t xml:space="preserve">P29225099</t>
  </si>
  <si>
    <t xml:space="preserve">80</t>
  </si>
  <si>
    <t xml:space="preserve">Treonina</t>
  </si>
  <si>
    <t xml:space="preserve">2923.20.00</t>
  </si>
  <si>
    <t xml:space="preserve">63</t>
  </si>
  <si>
    <t xml:space="preserve">Lecitina de ovo</t>
  </si>
  <si>
    <t xml:space="preserve">P29232000</t>
  </si>
  <si>
    <t xml:space="preserve">2925.29.19</t>
  </si>
  <si>
    <t xml:space="preserve">Arginina</t>
  </si>
  <si>
    <t xml:space="preserve">P29252919</t>
  </si>
  <si>
    <t xml:space="preserve">2930.40</t>
  </si>
  <si>
    <t xml:space="preserve">Todos os NCM que começam com 2930.40</t>
  </si>
  <si>
    <t xml:space="preserve">P293040</t>
  </si>
  <si>
    <t xml:space="preserve">2930.40.10</t>
  </si>
  <si>
    <t xml:space="preserve">67</t>
  </si>
  <si>
    <t xml:space="preserve">Metionina</t>
  </si>
  <si>
    <t xml:space="preserve">P29304010</t>
  </si>
  <si>
    <t xml:space="preserve">2930.40.90</t>
  </si>
  <si>
    <t xml:space="preserve">P29304090</t>
  </si>
  <si>
    <t xml:space="preserve">2930.90.39</t>
  </si>
  <si>
    <t xml:space="preserve">Cistina</t>
  </si>
  <si>
    <t xml:space="preserve">P29309039</t>
  </si>
  <si>
    <t xml:space="preserve">2933.29.92</t>
  </si>
  <si>
    <t xml:space="preserve">59</t>
  </si>
  <si>
    <t xml:space="preserve">Histidina</t>
  </si>
  <si>
    <t xml:space="preserve">P29332992</t>
  </si>
  <si>
    <t xml:space="preserve">2936.21.13</t>
  </si>
  <si>
    <t xml:space="preserve">69</t>
  </si>
  <si>
    <t xml:space="preserve">Palmitato de retinol</t>
  </si>
  <si>
    <t xml:space="preserve">P29362113</t>
  </si>
  <si>
    <t xml:space="preserve">2936.22.10</t>
  </si>
  <si>
    <t xml:space="preserve">33</t>
  </si>
  <si>
    <t xml:space="preserve">Cloridrato de tiamina</t>
  </si>
  <si>
    <t xml:space="preserve">P29362210</t>
  </si>
  <si>
    <t xml:space="preserve">2936.22.90</t>
  </si>
  <si>
    <t xml:space="preserve">34</t>
  </si>
  <si>
    <t xml:space="preserve">Cocarboxilase</t>
  </si>
  <si>
    <t xml:space="preserve">P29362290</t>
  </si>
  <si>
    <t xml:space="preserve">52</t>
  </si>
  <si>
    <t xml:space="preserve">Fosfato de tiamina</t>
  </si>
  <si>
    <t xml:space="preserve">2936.23.10</t>
  </si>
  <si>
    <t xml:space="preserve">71</t>
  </si>
  <si>
    <t xml:space="preserve">Riboflavina</t>
  </si>
  <si>
    <t xml:space="preserve">P29362310</t>
  </si>
  <si>
    <t xml:space="preserve">2936.23.20</t>
  </si>
  <si>
    <t xml:space="preserve">53</t>
  </si>
  <si>
    <t xml:space="preserve">Fosfato sódico de riboflavina</t>
  </si>
  <si>
    <t xml:space="preserve">P29362320</t>
  </si>
  <si>
    <t xml:space="preserve">2936.25.20</t>
  </si>
  <si>
    <t xml:space="preserve">32</t>
  </si>
  <si>
    <t xml:space="preserve">Cloridrato de piridoxina</t>
  </si>
  <si>
    <t xml:space="preserve">P29362520</t>
  </si>
  <si>
    <t xml:space="preserve">2936.26.10</t>
  </si>
  <si>
    <t xml:space="preserve">Cianocobalamina</t>
  </si>
  <si>
    <t xml:space="preserve">P29362610</t>
  </si>
  <si>
    <t xml:space="preserve">2936.27.10</t>
  </si>
  <si>
    <t xml:space="preserve">Ácido ascórbico</t>
  </si>
  <si>
    <t xml:space="preserve">P29362710</t>
  </si>
  <si>
    <t xml:space="preserve">2936.28.11</t>
  </si>
  <si>
    <t xml:space="preserve">79</t>
  </si>
  <si>
    <t xml:space="preserve">Tocoferol</t>
  </si>
  <si>
    <t xml:space="preserve">P29362811</t>
  </si>
  <si>
    <t xml:space="preserve">2936.28.12</t>
  </si>
  <si>
    <t xml:space="preserve">Acetato de dextroalfatocoferol</t>
  </si>
  <si>
    <t xml:space="preserve">P29362812</t>
  </si>
  <si>
    <t xml:space="preserve">2936.29.11</t>
  </si>
  <si>
    <t xml:space="preserve">Ácido fólico</t>
  </si>
  <si>
    <t xml:space="preserve">P29362911</t>
  </si>
  <si>
    <t xml:space="preserve">2936.29.21</t>
  </si>
  <si>
    <t xml:space="preserve">35</t>
  </si>
  <si>
    <t xml:space="preserve">Colecalciferol</t>
  </si>
  <si>
    <t xml:space="preserve">P29362921</t>
  </si>
  <si>
    <t xml:space="preserve">2936.29.29</t>
  </si>
  <si>
    <t xml:space="preserve">36</t>
  </si>
  <si>
    <t xml:space="preserve">Ergocalciferol</t>
  </si>
  <si>
    <t xml:space="preserve">P29362929</t>
  </si>
  <si>
    <t xml:space="preserve">2936.29.31</t>
  </si>
  <si>
    <t xml:space="preserve">Biotina</t>
  </si>
  <si>
    <t xml:space="preserve">P29362931</t>
  </si>
  <si>
    <t xml:space="preserve">2936.29.40</t>
  </si>
  <si>
    <t xml:space="preserve">38</t>
  </si>
  <si>
    <t xml:space="preserve">Fitomenadiona</t>
  </si>
  <si>
    <t xml:space="preserve">P29362940</t>
  </si>
  <si>
    <t xml:space="preserve">2936.29.52</t>
  </si>
  <si>
    <t xml:space="preserve">68</t>
  </si>
  <si>
    <t xml:space="preserve">Nicotinamida</t>
  </si>
  <si>
    <t xml:space="preserve">P29362952</t>
  </si>
  <si>
    <t xml:space="preserve">3002.12</t>
  </si>
  <si>
    <t xml:space="preserve">Todos os NCM que começam com 3002.12</t>
  </si>
  <si>
    <t xml:space="preserve">Vacinas, soros e medicamentos, de uso veterinário, exceto de animais domésticos</t>
  </si>
  <si>
    <t xml:space="preserve">P300212</t>
  </si>
  <si>
    <t xml:space="preserve">3002.12.21</t>
  </si>
  <si>
    <t xml:space="preserve">Imunoglobulina anti-Rh</t>
  </si>
  <si>
    <t xml:space="preserve">P30021221</t>
  </si>
  <si>
    <t xml:space="preserve">Outras frações do sangue, exceto as preparadas como medicamentos, as imunoglobulinas séricas, o concentrado de fator VIII e a soroalbumina sob a forma de gel para preparação de reagentes de diagnóstico</t>
  </si>
  <si>
    <t xml:space="preserve">3002.12.22</t>
  </si>
  <si>
    <t xml:space="preserve">Outras imunoglobulinas séricas</t>
  </si>
  <si>
    <t xml:space="preserve">P30021222</t>
  </si>
  <si>
    <t xml:space="preserve">3002.12.23</t>
  </si>
  <si>
    <t xml:space="preserve">Concentrado de fator VIII</t>
  </si>
  <si>
    <t xml:space="preserve">P30021223</t>
  </si>
  <si>
    <t xml:space="preserve">3002.12.29</t>
  </si>
  <si>
    <t xml:space="preserve">P30021229</t>
  </si>
  <si>
    <t xml:space="preserve">3002.12.36</t>
  </si>
  <si>
    <t xml:space="preserve">Albumina humana</t>
  </si>
  <si>
    <t xml:space="preserve">P30021236</t>
  </si>
  <si>
    <t xml:space="preserve">3002.15</t>
  </si>
  <si>
    <t xml:space="preserve">Todos os NCM que começam com 3002.15</t>
  </si>
  <si>
    <t xml:space="preserve">P300215</t>
  </si>
  <si>
    <t xml:space="preserve">3002.42</t>
  </si>
  <si>
    <t xml:space="preserve">Todos os NCM que começam com 3002.42</t>
  </si>
  <si>
    <t xml:space="preserve">P300242</t>
  </si>
  <si>
    <t xml:space="preserve">3002.49</t>
  </si>
  <si>
    <t xml:space="preserve">Todos os NCM que começam com 3002.49</t>
  </si>
  <si>
    <t xml:space="preserve">Inoculantes, meios de cultura e outros microorganismos para uso agrícola; em conformidade com as definições e demais requisitos da legislação específica</t>
  </si>
  <si>
    <t xml:space="preserve">P300249</t>
  </si>
  <si>
    <t xml:space="preserve">3002.90.00</t>
  </si>
  <si>
    <t xml:space="preserve">P30029000</t>
  </si>
  <si>
    <t xml:space="preserve">3004</t>
  </si>
  <si>
    <t xml:space="preserve">Todos os NCM que começam com 3004</t>
  </si>
  <si>
    <t xml:space="preserve">P3004</t>
  </si>
  <si>
    <t xml:space="preserve">3004.90.99</t>
  </si>
  <si>
    <t xml:space="preserve">Substitutos de enxerto ósseo</t>
  </si>
  <si>
    <t xml:space="preserve">P30049099</t>
  </si>
  <si>
    <t xml:space="preserve">Conjuntos de troca e concentrados polieletrolíticos para diálise</t>
  </si>
  <si>
    <t xml:space="preserve">3005.90.90</t>
  </si>
  <si>
    <t xml:space="preserve">Substituto temporário de pele (biológica/sintética) (por cm2)</t>
  </si>
  <si>
    <t xml:space="preserve">P30059090</t>
  </si>
  <si>
    <t xml:space="preserve">3006.10</t>
  </si>
  <si>
    <t xml:space="preserve">Todos os NCM que começam com 3006.10</t>
  </si>
  <si>
    <t xml:space="preserve">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</si>
  <si>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xml:space="preserve">P300610</t>
  </si>
  <si>
    <t xml:space="preserve">3006.10.90</t>
  </si>
  <si>
    <t xml:space="preserve">Tela inorgânica</t>
  </si>
  <si>
    <t xml:space="preserve">P30061090</t>
  </si>
  <si>
    <t xml:space="preserve">3006.30.21</t>
  </si>
  <si>
    <t xml:space="preserve">Reagentes de diagnóstico concebidos para serem administrados ao paciente, à base de somatoliberina</t>
  </si>
  <si>
    <t xml:space="preserve">P30063021</t>
  </si>
  <si>
    <t xml:space="preserve">3006.40.12</t>
  </si>
  <si>
    <t xml:space="preserve">Produtos para obturação dentária, exceto cimentos</t>
  </si>
  <si>
    <t xml:space="preserve">P30064012</t>
  </si>
  <si>
    <t xml:space="preserve">3006.40.20</t>
  </si>
  <si>
    <t xml:space="preserve">Cimentos para reconstituição óssea</t>
  </si>
  <si>
    <t xml:space="preserve">P30064020</t>
  </si>
  <si>
    <t xml:space="preserve">3006.70.00</t>
  </si>
  <si>
    <t xml:space="preserve">Preparações em gel, concebidas para uso em medicina humana ou veterinária como lubrificante para certas partes do corpo em intervenções cirúrgicas ou exames médicos ou como agente de ligação entre o corpo e os instrumentos médicos</t>
  </si>
  <si>
    <t xml:space="preserve">P30067000</t>
  </si>
  <si>
    <t xml:space="preserve">3006.91.10</t>
  </si>
  <si>
    <t xml:space="preserve">Bolsas para uso em colostomia, ileostomia e urostomia</t>
  </si>
  <si>
    <t xml:space="preserve">P30069110</t>
  </si>
  <si>
    <t xml:space="preserve">3006.91.90</t>
  </si>
  <si>
    <t xml:space="preserve">Equipamentos identificáveis para ostomia, exceto bolsas para uso em colostomia, ileostomia e urostomia</t>
  </si>
  <si>
    <t xml:space="preserve">P30069190</t>
  </si>
  <si>
    <t xml:space="preserve">Todos os NCM que começam com 31</t>
  </si>
  <si>
    <t xml:space="preserve">Fertilizantes (adubos), em conformidade com as definições e demais requisitos da legislação específica</t>
  </si>
  <si>
    <t xml:space="preserve">P31</t>
  </si>
  <si>
    <t xml:space="preserve">3101.00.00</t>
  </si>
  <si>
    <t xml:space="preserve">Biofertilizantes, em conformidade com as definições e demais requisitos da legislação específica</t>
  </si>
  <si>
    <t xml:space="preserve">P31010000</t>
  </si>
  <si>
    <t xml:space="preserve">3104.20.10</t>
  </si>
  <si>
    <t xml:space="preserve">29</t>
  </si>
  <si>
    <t xml:space="preserve">Cloreto de potássio</t>
  </si>
  <si>
    <t xml:space="preserve">P31042010</t>
  </si>
  <si>
    <t xml:space="preserve">3104.20.90</t>
  </si>
  <si>
    <t xml:space="preserve">P31042090</t>
  </si>
  <si>
    <t xml:space="preserve">3301</t>
  </si>
  <si>
    <t xml:space="preserve">Todos os NCM que começam com 3301</t>
  </si>
  <si>
    <t xml:space="preserve">P3301</t>
  </si>
  <si>
    <t xml:space="preserve">3306.10.00</t>
  </si>
  <si>
    <t xml:space="preserve">VIII</t>
  </si>
  <si>
    <t xml:space="preserve">Dentifrícios do código 3306.10.00 da NCM/SH</t>
  </si>
  <si>
    <t xml:space="preserve">Produtos de higiene pessoal e limpeza — redução de 60%</t>
  </si>
  <si>
    <t xml:space="preserve">200035</t>
  </si>
  <si>
    <t xml:space="preserve">Art. 136</t>
  </si>
  <si>
    <t xml:space="preserve">P33061000</t>
  </si>
  <si>
    <t xml:space="preserve">3401.11.90</t>
  </si>
  <si>
    <t xml:space="preserve">Sabões de toucador classificados no código 3401.11.90 da NCM/SH</t>
  </si>
  <si>
    <t xml:space="preserve">P34011190</t>
  </si>
  <si>
    <t xml:space="preserve">3401.19.00</t>
  </si>
  <si>
    <t xml:space="preserve">Sabões em barra classificados no código 3401.19.00 da NCM/SH</t>
  </si>
  <si>
    <t xml:space="preserve">P34011900</t>
  </si>
  <si>
    <t xml:space="preserve">3505.10.00</t>
  </si>
  <si>
    <t xml:space="preserve">60</t>
  </si>
  <si>
    <t xml:space="preserve">Icodextrina</t>
  </si>
  <si>
    <t xml:space="preserve">P35051000</t>
  </si>
  <si>
    <t xml:space="preserve">3507.90.4</t>
  </si>
  <si>
    <t xml:space="preserve">Todos os NCM que começam com 3507.90.4</t>
  </si>
  <si>
    <t xml:space="preserve">Enzimas preparadas para decomposição de matéria orgânica animal e vegetal</t>
  </si>
  <si>
    <t xml:space="preserve">P3507904</t>
  </si>
  <si>
    <t xml:space="preserve">3602.00.00</t>
  </si>
  <si>
    <t xml:space="preserve">2.8</t>
  </si>
  <si>
    <t xml:space="preserve">Explosivos de emprego militar</t>
  </si>
  <si>
    <t xml:space="preserve">P36020000</t>
  </si>
  <si>
    <t xml:space="preserve">3701.10.10</t>
  </si>
  <si>
    <t xml:space="preserve">Chapas e filmes para raios-X, sensibilizados em uma face</t>
  </si>
  <si>
    <t xml:space="preserve">P37011010</t>
  </si>
  <si>
    <t xml:space="preserve">3701.10.29</t>
  </si>
  <si>
    <t xml:space="preserve">Outras chapas e filmes para raios-X</t>
  </si>
  <si>
    <t xml:space="preserve">P37011029</t>
  </si>
  <si>
    <t xml:space="preserve">3702.10.10</t>
  </si>
  <si>
    <t xml:space="preserve">Filmes especiais para raios-X sensibilizados em uma face</t>
  </si>
  <si>
    <t xml:space="preserve">P37021010</t>
  </si>
  <si>
    <t xml:space="preserve">3702.10.20</t>
  </si>
  <si>
    <t xml:space="preserve">Filmes especiais para raios-X sensibilizados em ambas as faces</t>
  </si>
  <si>
    <t xml:space="preserve">P37021020</t>
  </si>
  <si>
    <t xml:space="preserve">3802.90.40</t>
  </si>
  <si>
    <t xml:space="preserve">P38029040</t>
  </si>
  <si>
    <t xml:space="preserve">3804.00</t>
  </si>
  <si>
    <t xml:space="preserve">Todos os NCM que começam com 3804.00</t>
  </si>
  <si>
    <t xml:space="preserve">P380400</t>
  </si>
  <si>
    <t xml:space="preserve">3807.00.00</t>
  </si>
  <si>
    <t xml:space="preserve">P38070000</t>
  </si>
  <si>
    <t xml:space="preserve">3808</t>
  </si>
  <si>
    <t xml:space="preserve">Todos os NCM que começam com 3808</t>
  </si>
  <si>
    <t xml:space="preserve">P3808</t>
  </si>
  <si>
    <t xml:space="preserve">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</si>
  <si>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 xml:space="preserve">3808.94.19</t>
  </si>
  <si>
    <t xml:space="preserve">Água sanitária classificada no código 3808.94.19 da NCM/SH</t>
  </si>
  <si>
    <t xml:space="preserve">P38089419</t>
  </si>
  <si>
    <t xml:space="preserve">3821.00.00</t>
  </si>
  <si>
    <t xml:space="preserve">Meios de cultura</t>
  </si>
  <si>
    <t xml:space="preserve">P38210000</t>
  </si>
  <si>
    <t xml:space="preserve">3822.1</t>
  </si>
  <si>
    <t xml:space="preserve">Todos os NCM que começam com 3822.1</t>
  </si>
  <si>
    <t xml:space="preserve">Reagentes de diagnóstico ou de laboratório em qualquer suporte e reagentes de diagnóstico ou de laboratório preparados, mesmo em um suporte, mesmo apresentados sob a forma de estojos, exceto os da posição 30.06; materiais de referência certificados</t>
  </si>
  <si>
    <t xml:space="preserve">P38221</t>
  </si>
  <si>
    <t xml:space="preserve">3824</t>
  </si>
  <si>
    <t xml:space="preserve">Todos os NCM que começam com 3824</t>
  </si>
  <si>
    <t xml:space="preserve">P3824</t>
  </si>
  <si>
    <t xml:space="preserve">3824.99.71</t>
  </si>
  <si>
    <t xml:space="preserve">P38249971</t>
  </si>
  <si>
    <t xml:space="preserve">3824.99.77</t>
  </si>
  <si>
    <t xml:space="preserve">P38249977</t>
  </si>
  <si>
    <t xml:space="preserve">3824.99.79</t>
  </si>
  <si>
    <t xml:space="preserve">P38249979</t>
  </si>
  <si>
    <t xml:space="preserve">3824.99.89</t>
  </si>
  <si>
    <t xml:space="preserve">93</t>
  </si>
  <si>
    <t xml:space="preserve">Substância para conservação de órgãos e tecidos</t>
  </si>
  <si>
    <t xml:space="preserve">P38249989</t>
  </si>
  <si>
    <t xml:space="preserve">3917.40</t>
  </si>
  <si>
    <t xml:space="preserve">Todos os NCM que começam com 3917.40</t>
  </si>
  <si>
    <t xml:space="preserve">Conector completo com tampa</t>
  </si>
  <si>
    <t xml:space="preserve">P391740</t>
  </si>
  <si>
    <t xml:space="preserve">Conector em Y</t>
  </si>
  <si>
    <t xml:space="preserve">3926.90.30</t>
  </si>
  <si>
    <t xml:space="preserve">Bolsa para drenagem</t>
  </si>
  <si>
    <t xml:space="preserve">P39269030</t>
  </si>
  <si>
    <t xml:space="preserve">Bolsas para uso em medicina (hemodiálise e usos semelhantes)</t>
  </si>
  <si>
    <t xml:space="preserve">3926.90.40</t>
  </si>
  <si>
    <t xml:space="preserve">Artigos exclusivamente de laboratório de análises clínicas</t>
  </si>
  <si>
    <t xml:space="preserve">P39269040</t>
  </si>
  <si>
    <t xml:space="preserve">Coletor para unidade de drenagem externa</t>
  </si>
  <si>
    <t xml:space="preserve">3926.90.50</t>
  </si>
  <si>
    <t xml:space="preserve">Acessórios de plástico do tipo utilizado em linhas de sangue para hemodiálise, tais como: obturadores, incluídos os reguláveis (clamps), clipes e similares</t>
  </si>
  <si>
    <t xml:space="preserve">P39269050</t>
  </si>
  <si>
    <t xml:space="preserve">4014.10.00</t>
  </si>
  <si>
    <t xml:space="preserve">91</t>
  </si>
  <si>
    <t xml:space="preserve">Preservativo</t>
  </si>
  <si>
    <t xml:space="preserve">P40141000</t>
  </si>
  <si>
    <t xml:space="preserve">4015.1</t>
  </si>
  <si>
    <t xml:space="preserve">Todos os NCM que começam com 4015.1</t>
  </si>
  <si>
    <t xml:space="preserve">Luvas cirúrgicas e luvas de procedimento</t>
  </si>
  <si>
    <t xml:space="preserve">P40151</t>
  </si>
  <si>
    <t xml:space="preserve">4401.39.00</t>
  </si>
  <si>
    <t xml:space="preserve">P44013900</t>
  </si>
  <si>
    <t xml:space="preserve">4401.4</t>
  </si>
  <si>
    <t xml:space="preserve">Todos os NCM que começam com 4401.4</t>
  </si>
  <si>
    <t xml:space="preserve">P44014</t>
  </si>
  <si>
    <t xml:space="preserve">4402.90.00</t>
  </si>
  <si>
    <t xml:space="preserve">P44029000</t>
  </si>
  <si>
    <t xml:space="preserve">4701.00.00</t>
  </si>
  <si>
    <t xml:space="preserve">P47010000</t>
  </si>
  <si>
    <t xml:space="preserve">4818.10.00</t>
  </si>
  <si>
    <t xml:space="preserve">Papel higiênico do código 4818.10.00 da NCM/SH</t>
  </si>
  <si>
    <t xml:space="preserve">P48181000</t>
  </si>
  <si>
    <t xml:space="preserve">4911.91.00</t>
  </si>
  <si>
    <t xml:space="preserve">Fotografias artísticas originais</t>
  </si>
  <si>
    <t xml:space="preserve">Produções artísticas, culturais, de eventos, jornalísticas e audiovisuais — redução de 60%</t>
  </si>
  <si>
    <t xml:space="preserve">200039</t>
  </si>
  <si>
    <t xml:space="preserve">só nas produções nacionais desses tipos</t>
  </si>
  <si>
    <t xml:space="preserve">Art. 139</t>
  </si>
  <si>
    <t xml:space="preserve">P49119100</t>
  </si>
  <si>
    <t xml:space="preserve">5305.00.90</t>
  </si>
  <si>
    <t xml:space="preserve">P53050090</t>
  </si>
  <si>
    <t xml:space="preserve">6602.00.00</t>
  </si>
  <si>
    <t xml:space="preserve">V</t>
  </si>
  <si>
    <t xml:space="preserve">2.1</t>
  </si>
  <si>
    <t xml:space="preserve">Bengala inteiriça, dobrável ou telescópica, com ponteira de náilon</t>
  </si>
  <si>
    <t xml:space="preserve">Dispositivos de acessibilidade para pessoas com deficiência — redução de 60%</t>
  </si>
  <si>
    <t xml:space="preserve">200031</t>
  </si>
  <si>
    <t xml:space="preserve">Art. 132</t>
  </si>
  <si>
    <t xml:space="preserve">P66020000</t>
  </si>
  <si>
    <t xml:space="preserve">Dispositivos de acessibilidade para pessoas com deficiência — alíquota zero</t>
  </si>
  <si>
    <t xml:space="preserve">200008</t>
  </si>
  <si>
    <t xml:space="preserve">Art. 145, II</t>
  </si>
  <si>
    <t xml:space="preserve">6806.20.00</t>
  </si>
  <si>
    <t xml:space="preserve">P68062000</t>
  </si>
  <si>
    <t xml:space="preserve">8302.41.00</t>
  </si>
  <si>
    <t xml:space="preserve">XIII</t>
  </si>
  <si>
    <t xml:space="preserve">Barra de apoio para pessoa com deficiência física</t>
  </si>
  <si>
    <t xml:space="preserve">200007</t>
  </si>
  <si>
    <t xml:space="preserve">Art. 145, I</t>
  </si>
  <si>
    <t xml:space="preserve">P83024100</t>
  </si>
  <si>
    <t xml:space="preserve">8419.81.10</t>
  </si>
  <si>
    <t xml:space="preserve">Autoclave</t>
  </si>
  <si>
    <t xml:space="preserve">P84198110</t>
  </si>
  <si>
    <t xml:space="preserve">8419.89.99</t>
  </si>
  <si>
    <t xml:space="preserve">Termocicladores utilizados em diagnóstico e na pesquisa científica</t>
  </si>
  <si>
    <t xml:space="preserve">P84198999</t>
  </si>
  <si>
    <t xml:space="preserve">8419.90.40</t>
  </si>
  <si>
    <t xml:space="preserve">Partes e peças de termocicladores</t>
  </si>
  <si>
    <t xml:space="preserve">P84199040</t>
  </si>
  <si>
    <t xml:space="preserve">8421.29.11</t>
  </si>
  <si>
    <t xml:space="preserve">Hemodialisador capilar</t>
  </si>
  <si>
    <t xml:space="preserve">P84212911</t>
  </si>
  <si>
    <t xml:space="preserve">8421.29.90</t>
  </si>
  <si>
    <t xml:space="preserve">Filtro de linha arterial e venoso</t>
  </si>
  <si>
    <t xml:space="preserve">P84212990</t>
  </si>
  <si>
    <t xml:space="preserve">Filtro de sangue arterial e venoso para recirculação</t>
  </si>
  <si>
    <t xml:space="preserve">Filtro para cardioplegia</t>
  </si>
  <si>
    <t xml:space="preserve">8425.31.10</t>
  </si>
  <si>
    <t xml:space="preserve">1.13</t>
  </si>
  <si>
    <t xml:space="preserve">Guincho para transportar cadeira de rodas</t>
  </si>
  <si>
    <t xml:space="preserve">P84253110</t>
  </si>
  <si>
    <t xml:space="preserve">8428.90.90</t>
  </si>
  <si>
    <t xml:space="preserve">1.11</t>
  </si>
  <si>
    <t xml:space="preserve">Plataforma de elevação para cadeira de rodas, manual, eletro-hidráulica ou eletromecânica</t>
  </si>
  <si>
    <t xml:space="preserve">P84289090</t>
  </si>
  <si>
    <t xml:space="preserve">8443.32.22</t>
  </si>
  <si>
    <t xml:space="preserve">2.9</t>
  </si>
  <si>
    <t xml:space="preserve">Impressora de caracteres embraillepara uso com microcomputadores, com sistema de folha solta ou dois lados da folha, com ou sem sistema de comando de voz ou sistema acústico</t>
  </si>
  <si>
    <t xml:space="preserve">P84433222</t>
  </si>
  <si>
    <t xml:space="preserve">8470.10.00</t>
  </si>
  <si>
    <t xml:space="preserve">2.4</t>
  </si>
  <si>
    <t xml:space="preserve">Calculadora digital com sistema de voz, com verbalização dos ajustes de minutos e horas, tanto no modo horário, como no modo alarme, e comunicação por voz dos dígitos de cálculo e resultados</t>
  </si>
  <si>
    <t xml:space="preserve">P84701000</t>
  </si>
  <si>
    <t xml:space="preserve">8470.29.00</t>
  </si>
  <si>
    <t xml:space="preserve">P84702900</t>
  </si>
  <si>
    <t xml:space="preserve">8471.49.00</t>
  </si>
  <si>
    <t xml:space="preserve">2.26</t>
  </si>
  <si>
    <t xml:space="preserve">Firewalls para a segurança da informação/cibernética</t>
  </si>
  <si>
    <t xml:space="preserve">P84714900</t>
  </si>
  <si>
    <t xml:space="preserve">8471.50.90</t>
  </si>
  <si>
    <t xml:space="preserve">2.25</t>
  </si>
  <si>
    <t xml:space="preserve">Equipamentos para criptografia para a segurança da informação/cibernética</t>
  </si>
  <si>
    <t xml:space="preserve">P84715090</t>
  </si>
  <si>
    <t xml:space="preserve">8471.60.53</t>
  </si>
  <si>
    <t xml:space="preserve">3.3</t>
  </si>
  <si>
    <t xml:space="preserve">Unidades de entrada de dados tipomousecontroláveis pelo movimento dos olhos para deficientes</t>
  </si>
  <si>
    <t xml:space="preserve">P84716053</t>
  </si>
  <si>
    <t xml:space="preserve">8471.60.90</t>
  </si>
  <si>
    <t xml:space="preserve">2.7</t>
  </si>
  <si>
    <t xml:space="preserve">Displaybraillee teclado emBraillepara uso em microcomputador, com sistema interativo para introdução e leitura de dados por meio de tabelas de caracteresBraille</t>
  </si>
  <si>
    <t xml:space="preserve">P84716090</t>
  </si>
  <si>
    <t xml:space="preserve">8471.80.00</t>
  </si>
  <si>
    <t xml:space="preserve">P84718000</t>
  </si>
  <si>
    <t xml:space="preserve">8471.90.14</t>
  </si>
  <si>
    <t xml:space="preserve">2.24</t>
  </si>
  <si>
    <t xml:space="preserve">Dispositivos de Autenticação (tokens, leitores biométricos) que garantam a segurança da informação/cibernética</t>
  </si>
  <si>
    <t xml:space="preserve">P84719014</t>
  </si>
  <si>
    <t xml:space="preserve">8472.90.99</t>
  </si>
  <si>
    <t xml:space="preserve">Máquina de escrever para escrita embraille,manual ou elétrica, com teclado de datilografia comum ou na formaçãoBraille</t>
  </si>
  <si>
    <t xml:space="preserve">P84729099</t>
  </si>
  <si>
    <t xml:space="preserve">8479.89.12</t>
  </si>
  <si>
    <t xml:space="preserve">Pipetadores laboratoriais para diagnóstico e pesquisa científica</t>
  </si>
  <si>
    <t xml:space="preserve">P84798912</t>
  </si>
  <si>
    <t xml:space="preserve">8479.89.99</t>
  </si>
  <si>
    <t xml:space="preserve">Reprocessador de filtros utilizados em hemodiálise</t>
  </si>
  <si>
    <t xml:space="preserve">P84798999</t>
  </si>
  <si>
    <t xml:space="preserve">8517.1</t>
  </si>
  <si>
    <t xml:space="preserve">Todos os NCM que começam com 8517.1</t>
  </si>
  <si>
    <t xml:space="preserve">3.1</t>
  </si>
  <si>
    <t xml:space="preserve">Aparelho telefônico com teclado alfanumérico e visor luminoso, com ou sem impressora embutida, que permite converter sinais transmitidos por sistema telefônico em caracteres e símbolos</t>
  </si>
  <si>
    <t xml:space="preserve">P85171</t>
  </si>
  <si>
    <t xml:space="preserve">8517.62.34</t>
  </si>
  <si>
    <t xml:space="preserve">2.27</t>
  </si>
  <si>
    <t xml:space="preserve">Switches e roteadores seguros para a segurança da informação/cibernética</t>
  </si>
  <si>
    <t xml:space="preserve">P85176234</t>
  </si>
  <si>
    <t xml:space="preserve">8517.62.4</t>
  </si>
  <si>
    <t xml:space="preserve">Todos os NCM que começam com 8517.62.4</t>
  </si>
  <si>
    <t xml:space="preserve">P8517624</t>
  </si>
  <si>
    <t xml:space="preserve">8517.62.59</t>
  </si>
  <si>
    <t xml:space="preserve">2.22</t>
  </si>
  <si>
    <t xml:space="preserve">Dispositivos destinados a prover a segurança da informação do tipo Prevenção de Intrusão (IPS)</t>
  </si>
  <si>
    <t xml:space="preserve">P85176259</t>
  </si>
  <si>
    <t xml:space="preserve">2.23</t>
  </si>
  <si>
    <t xml:space="preserve">Dispositivos destinados a prover a segurança da informação do tipo de Detecção de Intrusão (IDS)</t>
  </si>
  <si>
    <t xml:space="preserve">8517.62.7</t>
  </si>
  <si>
    <t xml:space="preserve">Todos os NCM que começam com 8517.62.7</t>
  </si>
  <si>
    <t xml:space="preserve">2.28</t>
  </si>
  <si>
    <t xml:space="preserve">Dispositivos de comunicação criptografada para a segurança da informação/cibernética</t>
  </si>
  <si>
    <t xml:space="preserve">P8517627</t>
  </si>
  <si>
    <t xml:space="preserve">8523.51</t>
  </si>
  <si>
    <t xml:space="preserve">Todos os NCM que começam com 8523.51</t>
  </si>
  <si>
    <t xml:space="preserve">2.29</t>
  </si>
  <si>
    <t xml:space="preserve">Unidades de armazenamento criptografadas para a segurança da informação/cibernética</t>
  </si>
  <si>
    <t xml:space="preserve">P852351</t>
  </si>
  <si>
    <t xml:space="preserve">2.30</t>
  </si>
  <si>
    <t xml:space="preserve">Servidores de armazenamento seguro para a segurança da informação/cibernética</t>
  </si>
  <si>
    <t xml:space="preserve">8523.52</t>
  </si>
  <si>
    <t xml:space="preserve">Todos os NCM que começam com 8523.52</t>
  </si>
  <si>
    <t xml:space="preserve">P852352</t>
  </si>
  <si>
    <t xml:space="preserve">8525.89.29</t>
  </si>
  <si>
    <t xml:space="preserve">Optrônicos</t>
  </si>
  <si>
    <t xml:space="preserve">P85258929</t>
  </si>
  <si>
    <t xml:space="preserve">8526.10.00</t>
  </si>
  <si>
    <t xml:space="preserve">2.6</t>
  </si>
  <si>
    <t xml:space="preserve">Radares para uso militar</t>
  </si>
  <si>
    <t xml:space="preserve">P85261000</t>
  </si>
  <si>
    <t xml:space="preserve">8543.70.99</t>
  </si>
  <si>
    <t xml:space="preserve">2.5</t>
  </si>
  <si>
    <t xml:space="preserve">Agenda eletrônica com teclado embraille,com ou sem sintetizador de voz</t>
  </si>
  <si>
    <t xml:space="preserve">P85437099</t>
  </si>
  <si>
    <t xml:space="preserve">8701</t>
  </si>
  <si>
    <t xml:space="preserve">Todos os NCM que começam com 8701</t>
  </si>
  <si>
    <t xml:space="preserve">Tratores de baixa ou de alta velocidades, para uso pelos órgãos de Segurança Pública e das Forças Armadas, sobre lagartas ou rodas, destinados às unidades de engenharia ou de artilharia, para obras ou para rebocar equipamentos pesados e também suas partes e peças</t>
  </si>
  <si>
    <t xml:space="preserve">P8701</t>
  </si>
  <si>
    <t xml:space="preserve">8708.29.99</t>
  </si>
  <si>
    <t xml:space="preserve">1.12</t>
  </si>
  <si>
    <t xml:space="preserve">Rampa para cadeira de rodas, suas partes e acessórios</t>
  </si>
  <si>
    <t xml:space="preserve">P87082999</t>
  </si>
  <si>
    <t xml:space="preserve">1.6</t>
  </si>
  <si>
    <t xml:space="preserve">Empunhadura, suas partes e acessórios</t>
  </si>
  <si>
    <t xml:space="preserve">1.8</t>
  </si>
  <si>
    <t xml:space="preserve">Deslocamento de comandos do painel, suas partes e acessórios</t>
  </si>
  <si>
    <t xml:space="preserve">1.9</t>
  </si>
  <si>
    <t xml:space="preserve">Plataforma giratória para deslocamento giratório do assento de veículo, suas partes e acessórios</t>
  </si>
  <si>
    <t xml:space="preserve">8708.99.10</t>
  </si>
  <si>
    <t xml:space="preserve">1.1</t>
  </si>
  <si>
    <t xml:space="preserve">Comando de embreagem manual, suas partes e acessórios</t>
  </si>
  <si>
    <t xml:space="preserve">P87089910</t>
  </si>
  <si>
    <t xml:space="preserve">1.2</t>
  </si>
  <si>
    <t xml:space="preserve">Comando de freio manual, suas partes e acessórios</t>
  </si>
  <si>
    <t xml:space="preserve">1.3</t>
  </si>
  <si>
    <t xml:space="preserve">Comando de acelerador manual, suas partes e acessórios</t>
  </si>
  <si>
    <t xml:space="preserve">1.4</t>
  </si>
  <si>
    <t xml:space="preserve">Inversão do pedal do acelerador, suas partes e acessórios</t>
  </si>
  <si>
    <t xml:space="preserve">1.5</t>
  </si>
  <si>
    <t xml:space="preserve">Prolongamento de pedais, suas partes e acessórios</t>
  </si>
  <si>
    <t xml:space="preserve">1.7</t>
  </si>
  <si>
    <t xml:space="preserve">Servo acionadores de volante, suas partes e acessórios</t>
  </si>
  <si>
    <t xml:space="preserve">8709</t>
  </si>
  <si>
    <t xml:space="preserve">Todos os NCM que começam com 8709</t>
  </si>
  <si>
    <t xml:space="preserve">Viatura operacional militar e também suas partes e peças</t>
  </si>
  <si>
    <t xml:space="preserve">P8709</t>
  </si>
  <si>
    <t xml:space="preserve">2.3</t>
  </si>
  <si>
    <t xml:space="preserve">Outros veículos de qualquer tipo, para uso pelos órgãos de Segurança Pública e das Forças Armadas, com especificação própria dos Órgãos Militares e de Segurança Pública e também suas partes e peças</t>
  </si>
  <si>
    <t xml:space="preserve">8710.00.00</t>
  </si>
  <si>
    <t xml:space="preserve">2.2</t>
  </si>
  <si>
    <t xml:space="preserve">Carro blindado e carro de combate, terrestre ou anfíbio, sobre lagartas ou rodas, com ou sem armamento e também suas partes e peças</t>
  </si>
  <si>
    <t xml:space="preserve">P87100000</t>
  </si>
  <si>
    <t xml:space="preserve">8713.10.00</t>
  </si>
  <si>
    <t xml:space="preserve">Cadeira de rodas e outros veículos para deficientes, sem mecanismo de propulsão</t>
  </si>
  <si>
    <t xml:space="preserve">P87131000</t>
  </si>
  <si>
    <t xml:space="preserve">8713.90.00</t>
  </si>
  <si>
    <t xml:space="preserve">Cadeiras de rodas com motor ou outro mecanismo de propulsão e outros veículos para pessoas com incapacidade, mesmo com motor ou outro mecanismo de propulsão</t>
  </si>
  <si>
    <t xml:space="preserve">P87139000</t>
  </si>
  <si>
    <t xml:space="preserve">8714.20.00</t>
  </si>
  <si>
    <t xml:space="preserve">Partes e acessórios destinados exclusivamente a aplicação em cadeiras de rodas ou em outros veículos para deficientes</t>
  </si>
  <si>
    <t xml:space="preserve">P87142000</t>
  </si>
  <si>
    <t xml:space="preserve">8802</t>
  </si>
  <si>
    <t xml:space="preserve">Todos os NCM que começam com 8802</t>
  </si>
  <si>
    <t xml:space="preserve">2.14</t>
  </si>
  <si>
    <t xml:space="preserve">Aeronaves, inclusive Veículo Aéreo Não Tripulado (VANT) para uso pela segurança nacional e também suas partes e peças</t>
  </si>
  <si>
    <t xml:space="preserve">P8802</t>
  </si>
  <si>
    <t xml:space="preserve">8802.60.00</t>
  </si>
  <si>
    <t xml:space="preserve">2.15</t>
  </si>
  <si>
    <t xml:space="preserve">Veículos espaciais para uso pela segurança nacional</t>
  </si>
  <si>
    <t xml:space="preserve">P88026000</t>
  </si>
  <si>
    <t xml:space="preserve">8804.00.00</t>
  </si>
  <si>
    <t xml:space="preserve">2.16</t>
  </si>
  <si>
    <t xml:space="preserve">Paraquedas para uso pela segurança nacional</t>
  </si>
  <si>
    <t xml:space="preserve">P88040000</t>
  </si>
  <si>
    <t xml:space="preserve">8805</t>
  </si>
  <si>
    <t xml:space="preserve">Todos os NCM que começam com 8805</t>
  </si>
  <si>
    <t xml:space="preserve">2.19</t>
  </si>
  <si>
    <t xml:space="preserve">Equipamentos de apoio no solo para uso pela segurança nacional</t>
  </si>
  <si>
    <t xml:space="preserve">P8805</t>
  </si>
  <si>
    <t xml:space="preserve">8805.10.00</t>
  </si>
  <si>
    <t xml:space="preserve">2.17</t>
  </si>
  <si>
    <t xml:space="preserve">Aparelhos e dispositivos para lançamento e aterrissagem de veículos aéreos e espaciais para uso pela segurança nacional</t>
  </si>
  <si>
    <t xml:space="preserve">P88051000</t>
  </si>
  <si>
    <t xml:space="preserve">8805.21.00</t>
  </si>
  <si>
    <t xml:space="preserve">2.18</t>
  </si>
  <si>
    <t xml:space="preserve">Simuladores de voo e similares para uso pela segurança nacional</t>
  </si>
  <si>
    <t xml:space="preserve">P88052100</t>
  </si>
  <si>
    <t xml:space="preserve">8806</t>
  </si>
  <si>
    <t xml:space="preserve">Todos os NCM que começam com 8806</t>
  </si>
  <si>
    <t xml:space="preserve">P8806</t>
  </si>
  <si>
    <t xml:space="preserve">8901.20.00</t>
  </si>
  <si>
    <t xml:space="preserve">2.21</t>
  </si>
  <si>
    <t xml:space="preserve">Embarcações construídas no País suas peças, partes e componentes utilizados no reparo, conserto e reconstrução de embarcações</t>
  </si>
  <si>
    <t xml:space="preserve">P89012000</t>
  </si>
  <si>
    <t xml:space="preserve">8906.10.00</t>
  </si>
  <si>
    <t xml:space="preserve">P89061000</t>
  </si>
  <si>
    <t xml:space="preserve">9014.20</t>
  </si>
  <si>
    <t xml:space="preserve">Todos os NCM que começam com 9014.20</t>
  </si>
  <si>
    <t xml:space="preserve">2.20</t>
  </si>
  <si>
    <t xml:space="preserve">Equipamentos de auxílio à comunicação, navegação e controle de tráfego aéreo para uso pela segurança nacional</t>
  </si>
  <si>
    <t xml:space="preserve">P901420</t>
  </si>
  <si>
    <t xml:space="preserve">9017.20.00</t>
  </si>
  <si>
    <t xml:space="preserve">Reglete para escrita embraille</t>
  </si>
  <si>
    <t xml:space="preserve">P90172000</t>
  </si>
  <si>
    <t xml:space="preserve">9018.11.00</t>
  </si>
  <si>
    <t xml:space="preserve">XII</t>
  </si>
  <si>
    <t xml:space="preserve">Eletrocardiógrafos</t>
  </si>
  <si>
    <t xml:space="preserve">200004</t>
  </si>
  <si>
    <t xml:space="preserve">Art. 144, I</t>
  </si>
  <si>
    <t xml:space="preserve">P90181100</t>
  </si>
  <si>
    <t xml:space="preserve">9018.12</t>
  </si>
  <si>
    <t xml:space="preserve">Todos os NCM que começam com 9018.12</t>
  </si>
  <si>
    <t xml:space="preserve">Aparelhos de ultrassom</t>
  </si>
  <si>
    <t xml:space="preserve">P901812</t>
  </si>
  <si>
    <t xml:space="preserve">9018.13.00</t>
  </si>
  <si>
    <t xml:space="preserve">Aparelhos de diagnóstico por visualização de ressonância magnética</t>
  </si>
  <si>
    <t xml:space="preserve">P90181300</t>
  </si>
  <si>
    <t xml:space="preserve">9018.19.80</t>
  </si>
  <si>
    <t xml:space="preserve">Eletroencefalógrafos</t>
  </si>
  <si>
    <t xml:space="preserve">P90181980</t>
  </si>
  <si>
    <t xml:space="preserve">Aparelhos de eletrodiagnóstico, exceto os produtos classificados nos códigos 9018.11.00, 9018.12.10, 9018.12.90, 9018.13.00, 9018.14.10, 9018.14.20, 9018.14.90, 9018.19.10 e 9018.19.20</t>
  </si>
  <si>
    <t xml:space="preserve">Monitor multiparâmetros</t>
  </si>
  <si>
    <t xml:space="preserve">9018.19.90</t>
  </si>
  <si>
    <t xml:space="preserve">P90181990</t>
  </si>
  <si>
    <t xml:space="preserve">9018.20</t>
  </si>
  <si>
    <t xml:space="preserve">Todos os NCM que começam com 9018.20</t>
  </si>
  <si>
    <t xml:space="preserve">Aparelhos de raios ultravioleta ou infravermelhos</t>
  </si>
  <si>
    <t xml:space="preserve">P901820</t>
  </si>
  <si>
    <t xml:space="preserve">9018.20.10</t>
  </si>
  <si>
    <t xml:space="preserve">Fotocoagulador alaser</t>
  </si>
  <si>
    <t xml:space="preserve">P90182010</t>
  </si>
  <si>
    <t xml:space="preserve">9018.31</t>
  </si>
  <si>
    <t xml:space="preserve">Todos os NCM que começam com 9018.31</t>
  </si>
  <si>
    <t xml:space="preserve">Seringas, mesmo com agulhas</t>
  </si>
  <si>
    <t xml:space="preserve">P901831</t>
  </si>
  <si>
    <t xml:space="preserve">9018.32</t>
  </si>
  <si>
    <t xml:space="preserve">Todos os NCM que começam com 9018.32</t>
  </si>
  <si>
    <t xml:space="preserve">Agulhas tubulares de metal e agulhas para suturas</t>
  </si>
  <si>
    <t xml:space="preserve">P901832</t>
  </si>
  <si>
    <t xml:space="preserve">9018.39.10</t>
  </si>
  <si>
    <t xml:space="preserve">Agulhas, exceto as de metal e as para suturas</t>
  </si>
  <si>
    <t xml:space="preserve">P90183910</t>
  </si>
  <si>
    <t xml:space="preserve">9018.39.2</t>
  </si>
  <si>
    <t xml:space="preserve">Todos os NCM que começam com 9018.39.2</t>
  </si>
  <si>
    <t xml:space="preserve">Sondas, cateteres e cânulas, individualmente ou em conjunto</t>
  </si>
  <si>
    <t xml:space="preserve">P9018392</t>
  </si>
  <si>
    <t xml:space="preserve">9018.39.29</t>
  </si>
  <si>
    <t xml:space="preserve">100</t>
  </si>
  <si>
    <t xml:space="preserve">Guia de troca para angioplastia</t>
  </si>
  <si>
    <t xml:space="preserve">P90183929</t>
  </si>
  <si>
    <t xml:space="preserve">101</t>
  </si>
  <si>
    <t xml:space="preserve">Introdutor para cateter com e sem válvula</t>
  </si>
  <si>
    <t xml:space="preserve">103</t>
  </si>
  <si>
    <t xml:space="preserve">Dreno para sucção</t>
  </si>
  <si>
    <t xml:space="preserve">104</t>
  </si>
  <si>
    <t xml:space="preserve">Sistema de drenagem mediastinal</t>
  </si>
  <si>
    <t xml:space="preserve">98</t>
  </si>
  <si>
    <t xml:space="preserve">Guia metálico para introdução de cateter duplo lumen</t>
  </si>
  <si>
    <t xml:space="preserve">99</t>
  </si>
  <si>
    <t xml:space="preserve">Dilatador para implante de cateter duplo lumen</t>
  </si>
  <si>
    <t xml:space="preserve">9018.39.30</t>
  </si>
  <si>
    <t xml:space="preserve">Lancetas para vacinação e cautérios</t>
  </si>
  <si>
    <t xml:space="preserve">P90183930</t>
  </si>
  <si>
    <t xml:space="preserve">9018.39.9</t>
  </si>
  <si>
    <t xml:space="preserve">Todos os NCM que começam com 9018.39.9</t>
  </si>
  <si>
    <t xml:space="preserve">Instrumentos semelhantes a seringas, a agulhas, a cateteres e a cânulas</t>
  </si>
  <si>
    <t xml:space="preserve">P9018399</t>
  </si>
  <si>
    <t xml:space="preserve">9018.39.91</t>
  </si>
  <si>
    <t xml:space="preserve">102</t>
  </si>
  <si>
    <t xml:space="preserve">Kitcânula</t>
  </si>
  <si>
    <t xml:space="preserve">P90183991</t>
  </si>
  <si>
    <t xml:space="preserve">9018.39.99</t>
  </si>
  <si>
    <t xml:space="preserve">P90183999</t>
  </si>
  <si>
    <t xml:space="preserve">Outros instrumentos e aparelhos para medicina, cirurgia e odontologia, excluídas seringas e agulhas, das posições 9018.31 e 9018.32</t>
  </si>
  <si>
    <t xml:space="preserve">9018.49.1</t>
  </si>
  <si>
    <t xml:space="preserve">Todos os NCM que começam com 9018.49.1</t>
  </si>
  <si>
    <t xml:space="preserve">Brocas para odontologia</t>
  </si>
  <si>
    <t xml:space="preserve">P9018491</t>
  </si>
  <si>
    <t xml:space="preserve">9018.49.20</t>
  </si>
  <si>
    <t xml:space="preserve">Limas</t>
  </si>
  <si>
    <t xml:space="preserve">P90184920</t>
  </si>
  <si>
    <t xml:space="preserve">9018.50.90</t>
  </si>
  <si>
    <t xml:space="preserve">Retinógrafo</t>
  </si>
  <si>
    <t xml:space="preserve">P90185090</t>
  </si>
  <si>
    <t xml:space="preserve">9018.90.10</t>
  </si>
  <si>
    <t xml:space="preserve">Bomba de infusão</t>
  </si>
  <si>
    <t xml:space="preserve">P90189010</t>
  </si>
  <si>
    <t xml:space="preserve">Conjunto para autotransfusão</t>
  </si>
  <si>
    <t xml:space="preserve">9018.90.21</t>
  </si>
  <si>
    <t xml:space="preserve">Bisturi elétrico</t>
  </si>
  <si>
    <t xml:space="preserve">P90189021</t>
  </si>
  <si>
    <t xml:space="preserve">9018.90.40</t>
  </si>
  <si>
    <t xml:space="preserve">Hemoconcentrador para circulação extracorpórea</t>
  </si>
  <si>
    <t xml:space="preserve">P90189040</t>
  </si>
  <si>
    <t xml:space="preserve">Rins artificiais</t>
  </si>
  <si>
    <t xml:space="preserve">9018.90.95</t>
  </si>
  <si>
    <t xml:space="preserve">Grampos e clipes, seus aplicadores e extratores</t>
  </si>
  <si>
    <t xml:space="preserve">P90189095</t>
  </si>
  <si>
    <t xml:space="preserve">9018.90.99</t>
  </si>
  <si>
    <t xml:space="preserve">Aparelho de crioterapia</t>
  </si>
  <si>
    <t xml:space="preserve">P90189099</t>
  </si>
  <si>
    <t xml:space="preserve">105</t>
  </si>
  <si>
    <t xml:space="preserve">Conjunto descartável de balão intra-aórtico</t>
  </si>
  <si>
    <t xml:space="preserve">Sistema para drenagem com conjunto intermediário para medição contínua da diurese</t>
  </si>
  <si>
    <t xml:space="preserve">Oxigenador de bolha com tubos para circulação extracorpórea</t>
  </si>
  <si>
    <t xml:space="preserve">Oxigenador de membrana com tubos para circulação extracorpórea</t>
  </si>
  <si>
    <t xml:space="preserve">Reservatório de cardiotomia</t>
  </si>
  <si>
    <t xml:space="preserve">Reservatório para cardioplegia com tubo sem filtro</t>
  </si>
  <si>
    <t xml:space="preserve">Aparelho de anestesia com monitor multiparâmetros</t>
  </si>
  <si>
    <t xml:space="preserve">92</t>
  </si>
  <si>
    <t xml:space="preserve">Dispositivo intrauterino (DIU)</t>
  </si>
  <si>
    <t xml:space="preserve">9019.20.40</t>
  </si>
  <si>
    <t xml:space="preserve">Respirador</t>
  </si>
  <si>
    <t xml:space="preserve">P90192040</t>
  </si>
  <si>
    <t xml:space="preserve">9021.10.10</t>
  </si>
  <si>
    <t xml:space="preserve">Artigos e aparelhos ortopédicos</t>
  </si>
  <si>
    <t xml:space="preserve">P90211010</t>
  </si>
  <si>
    <t xml:space="preserve">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</si>
  <si>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 xml:space="preserve">9021.10.20</t>
  </si>
  <si>
    <t xml:space="preserve">Artigos e aparelhos para fraturas</t>
  </si>
  <si>
    <t xml:space="preserve">P90211020</t>
  </si>
  <si>
    <t xml:space="preserve">9021.29.00</t>
  </si>
  <si>
    <t xml:space="preserve">P90212900</t>
  </si>
  <si>
    <t xml:space="preserve">9021.3</t>
  </si>
  <si>
    <t xml:space="preserve">Todos os NCM que começam com 9021.3</t>
  </si>
  <si>
    <t xml:space="preserve">9021.39.91</t>
  </si>
  <si>
    <t xml:space="preserve">Artigos e aparelhos de prótese, exceto os dentários e os produtos classificados nos códigos 9021.39.91 e 9021.39.99</t>
  </si>
  <si>
    <t xml:space="preserve">P90213</t>
  </si>
  <si>
    <t xml:space="preserve">9021.39.99</t>
  </si>
  <si>
    <t xml:space="preserve">9021.40.00</t>
  </si>
  <si>
    <t xml:space="preserve">Aparelhos para facilitar a audição dos surdos, exceto partes e acessórios</t>
  </si>
  <si>
    <t xml:space="preserve">P90214000</t>
  </si>
  <si>
    <t xml:space="preserve">9021.50.00</t>
  </si>
  <si>
    <t xml:space="preserve">Marcapasso cardíaco câmara dupla</t>
  </si>
  <si>
    <t xml:space="preserve">P90215000</t>
  </si>
  <si>
    <t xml:space="preserve">Marcapasso cardíaco multiprogramável com telemetria</t>
  </si>
  <si>
    <t xml:space="preserve">9021.90.11</t>
  </si>
  <si>
    <t xml:space="preserve">Cardiodesfibrilador implantável</t>
  </si>
  <si>
    <t xml:space="preserve">P90219011</t>
  </si>
  <si>
    <t xml:space="preserve">9021.90.12</t>
  </si>
  <si>
    <t xml:space="preserve">Stentvascular</t>
  </si>
  <si>
    <t xml:space="preserve">P90219012</t>
  </si>
  <si>
    <t xml:space="preserve">Espiral para embolização</t>
  </si>
  <si>
    <t xml:space="preserve">9021.90.19</t>
  </si>
  <si>
    <t xml:space="preserve">Implantes cocleares</t>
  </si>
  <si>
    <t xml:space="preserve">P90219019</t>
  </si>
  <si>
    <t xml:space="preserve">Conjunto para hidrocefalia de baixo perfil</t>
  </si>
  <si>
    <t xml:space="preserve">Conjunto para hidrocefaliastandard</t>
  </si>
  <si>
    <t xml:space="preserve">Espaçador de tendão</t>
  </si>
  <si>
    <t xml:space="preserve">Shuntlombo-peritonal</t>
  </si>
  <si>
    <t xml:space="preserve">Válvula para hidrocefalia</t>
  </si>
  <si>
    <t xml:space="preserve">Válvula para tratamento de ascite</t>
  </si>
  <si>
    <t xml:space="preserve">9021.90.80</t>
  </si>
  <si>
    <t xml:space="preserve">P90219080</t>
  </si>
  <si>
    <t xml:space="preserve">9021.90.89</t>
  </si>
  <si>
    <t xml:space="preserve">P90219089</t>
  </si>
  <si>
    <t xml:space="preserve">9021.90.91</t>
  </si>
  <si>
    <t xml:space="preserve">Eletrodo endocárdico definitivo</t>
  </si>
  <si>
    <t xml:space="preserve">P90219091</t>
  </si>
  <si>
    <t xml:space="preserve">Eletrodo epicárdico definitivo</t>
  </si>
  <si>
    <t xml:space="preserve">Eletrodo para marcapasso temporário endocárdico</t>
  </si>
  <si>
    <t xml:space="preserve">Eletrodo para marcapasso temporário epicárdico</t>
  </si>
  <si>
    <t xml:space="preserve">94</t>
  </si>
  <si>
    <t xml:space="preserve">Introdutor de punção para implante de eletrodo endocárdico</t>
  </si>
  <si>
    <t xml:space="preserve">9021.90.92</t>
  </si>
  <si>
    <t xml:space="preserve">Partes e acessórios de aparelhos para facilitar a audição dos surdos</t>
  </si>
  <si>
    <t xml:space="preserve">P90219092</t>
  </si>
  <si>
    <t xml:space="preserve">9021.90.99</t>
  </si>
  <si>
    <t xml:space="preserve">95</t>
  </si>
  <si>
    <t xml:space="preserve">Enxerto tubular de politetrafluoretileno - PTFE (por cm2)</t>
  </si>
  <si>
    <t xml:space="preserve">P90219099</t>
  </si>
  <si>
    <t xml:space="preserve">96</t>
  </si>
  <si>
    <t xml:space="preserve">Enxerto arterial e venoso tubular inorgânico</t>
  </si>
  <si>
    <t xml:space="preserve">97</t>
  </si>
  <si>
    <t xml:space="preserve">Botão para crânio</t>
  </si>
  <si>
    <t xml:space="preserve">9022.12.00</t>
  </si>
  <si>
    <t xml:space="preserve">Tomógrafo computadorizado</t>
  </si>
  <si>
    <t xml:space="preserve">P90221200</t>
  </si>
  <si>
    <t xml:space="preserve">9022.13</t>
  </si>
  <si>
    <t xml:space="preserve">Todos os NCM que começam com 9022.13</t>
  </si>
  <si>
    <t xml:space="preserve">Aparelhos de raio X, móveis, exceto os produtos classificados no código 9022.19.91</t>
  </si>
  <si>
    <t xml:space="preserve">P902213</t>
  </si>
  <si>
    <t xml:space="preserve">9022.14</t>
  </si>
  <si>
    <t xml:space="preserve">Todos os NCM que começam com 9022.14</t>
  </si>
  <si>
    <t xml:space="preserve">P902214</t>
  </si>
  <si>
    <t xml:space="preserve">9022.19</t>
  </si>
  <si>
    <t xml:space="preserve">Todos os NCM que começam com 9022.19</t>
  </si>
  <si>
    <t xml:space="preserve">9022.19.91</t>
  </si>
  <si>
    <t xml:space="preserve">P902219</t>
  </si>
  <si>
    <t xml:space="preserve">9022.21.10</t>
  </si>
  <si>
    <t xml:space="preserve">Aparelho de radiocobalto (bomba de cobalto)</t>
  </si>
  <si>
    <t xml:space="preserve">P90222110</t>
  </si>
  <si>
    <t xml:space="preserve">9022.21.20</t>
  </si>
  <si>
    <t xml:space="preserve">Aparelho de gamaterapia</t>
  </si>
  <si>
    <t xml:space="preserve">P90222120</t>
  </si>
  <si>
    <t xml:space="preserve">9022.21.90</t>
  </si>
  <si>
    <t xml:space="preserve">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</si>
  <si>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 xml:space="preserve">P90222190</t>
  </si>
  <si>
    <t xml:space="preserve">9025</t>
  </si>
  <si>
    <t xml:space="preserve">Todos os NCM que começam com 9025</t>
  </si>
  <si>
    <t xml:space="preserve">Densímetros, areômetros, pesa-líquidos e instrumentos flutuantes semelhantes, termômetros, pirômetros, barômetros, higrômetros e psicômetros, registradores ou não, mesmo combinados entre si</t>
  </si>
  <si>
    <t xml:space="preserve">P9025</t>
  </si>
  <si>
    <t xml:space="preserve">9025.19.90</t>
  </si>
  <si>
    <t xml:space="preserve">Termômetro digital com sistema de voz</t>
  </si>
  <si>
    <t xml:space="preserve">P90251990</t>
  </si>
  <si>
    <t xml:space="preserve">9027.20.12</t>
  </si>
  <si>
    <t xml:space="preserve">Cromatógrafo de fase líquida</t>
  </si>
  <si>
    <t xml:space="preserve">P90272012</t>
  </si>
  <si>
    <t xml:space="preserve">9027.20.21</t>
  </si>
  <si>
    <t xml:space="preserve">Sequenciadores automáticos de ADN mediante eletroforese capilar</t>
  </si>
  <si>
    <t xml:space="preserve">P90272021</t>
  </si>
  <si>
    <t xml:space="preserve">9027.20.29</t>
  </si>
  <si>
    <t xml:space="preserve">Aparelhos de eletroforese para diagnóstico e pesquisa científica</t>
  </si>
  <si>
    <t xml:space="preserve">P90272029</t>
  </si>
  <si>
    <t xml:space="preserve">9027.30</t>
  </si>
  <si>
    <t xml:space="preserve">Todos os NCM que começam com 9027.30</t>
  </si>
  <si>
    <t xml:space="preserve">82</t>
  </si>
  <si>
    <t xml:space="preserve">Analisadores por espectrofotometria para diagnóstico e pesquisa científica</t>
  </si>
  <si>
    <t xml:space="preserve">P902730</t>
  </si>
  <si>
    <t xml:space="preserve">9027.50.20</t>
  </si>
  <si>
    <t xml:space="preserve">83</t>
  </si>
  <si>
    <t xml:space="preserve">Analisadores por fotometria para diagnóstico e pesquisa científica</t>
  </si>
  <si>
    <t xml:space="preserve">P90275020</t>
  </si>
  <si>
    <t xml:space="preserve">9027.50.50</t>
  </si>
  <si>
    <t xml:space="preserve">84</t>
  </si>
  <si>
    <t xml:space="preserve">Citômetro de fluxo</t>
  </si>
  <si>
    <t xml:space="preserve">P90275050</t>
  </si>
  <si>
    <t xml:space="preserve">9027.50.90</t>
  </si>
  <si>
    <t xml:space="preserve">85</t>
  </si>
  <si>
    <t xml:space="preserve">Analisadores por radiações ópticas para diagnóstico e pesquisa científica</t>
  </si>
  <si>
    <t xml:space="preserve">P90275090</t>
  </si>
  <si>
    <t xml:space="preserve">9027.81.00</t>
  </si>
  <si>
    <t xml:space="preserve">87</t>
  </si>
  <si>
    <t xml:space="preserve">Espectrômetro de massa</t>
  </si>
  <si>
    <t xml:space="preserve">P90278100</t>
  </si>
  <si>
    <t xml:space="preserve">9027.89.99</t>
  </si>
  <si>
    <t xml:space="preserve">86</t>
  </si>
  <si>
    <t xml:space="preserve">Outros analisadores para diagnóstico e pesquisa científica</t>
  </si>
  <si>
    <t xml:space="preserve">P90278999</t>
  </si>
  <si>
    <t xml:space="preserve">88</t>
  </si>
  <si>
    <t xml:space="preserve">Outros analisadores para diagnóstico</t>
  </si>
  <si>
    <t xml:space="preserve">9027.90.10</t>
  </si>
  <si>
    <t xml:space="preserve">89</t>
  </si>
  <si>
    <t xml:space="preserve">Micrótomo</t>
  </si>
  <si>
    <t xml:space="preserve">P90279010</t>
  </si>
  <si>
    <t xml:space="preserve">9027.90.9</t>
  </si>
  <si>
    <t xml:space="preserve">Todos os NCM que começam com 9027.90.9</t>
  </si>
  <si>
    <t xml:space="preserve">90</t>
  </si>
  <si>
    <t xml:space="preserve">Partes e peças de equipamentos analisadores laboratoriais</t>
  </si>
  <si>
    <t xml:space="preserve">P9027909</t>
  </si>
  <si>
    <t xml:space="preserve">9031.80.99</t>
  </si>
  <si>
    <t xml:space="preserve">Simuladores de veículos militares</t>
  </si>
  <si>
    <t xml:space="preserve">P90318099</t>
  </si>
  <si>
    <t xml:space="preserve">9102.11.10</t>
  </si>
  <si>
    <t xml:space="preserve">Relógio embraille,com sintetizador de voz e mostrador ampliado</t>
  </si>
  <si>
    <t xml:space="preserve">P91021110</t>
  </si>
  <si>
    <t xml:space="preserve">9102.11.90</t>
  </si>
  <si>
    <t xml:space="preserve">P91021190</t>
  </si>
  <si>
    <t xml:space="preserve">9102.91.00</t>
  </si>
  <si>
    <t xml:space="preserve">P91029100</t>
  </si>
  <si>
    <t xml:space="preserve">9103.10.00</t>
  </si>
  <si>
    <t xml:space="preserve">3.2</t>
  </si>
  <si>
    <t xml:space="preserve">Relógio despertador vibratório e/ou luminoso</t>
  </si>
  <si>
    <t xml:space="preserve">P91031000</t>
  </si>
  <si>
    <t xml:space="preserve">9105.11.00</t>
  </si>
  <si>
    <t xml:space="preserve">P91051100</t>
  </si>
  <si>
    <t xml:space="preserve">9301.20.00</t>
  </si>
  <si>
    <t xml:space="preserve">Foguetes para uso militar</t>
  </si>
  <si>
    <t xml:space="preserve">P93012000</t>
  </si>
  <si>
    <t xml:space="preserve">9306</t>
  </si>
  <si>
    <t xml:space="preserve">Todos os NCM que começam com 9306</t>
  </si>
  <si>
    <t xml:space="preserve">2.11</t>
  </si>
  <si>
    <t xml:space="preserve">Minas marítimas</t>
  </si>
  <si>
    <t xml:space="preserve">P9306</t>
  </si>
  <si>
    <t xml:space="preserve">2.13</t>
  </si>
  <si>
    <t xml:space="preserve">Bombas, torpedos, minas, mísseis, foguetes e seus componentes</t>
  </si>
  <si>
    <t xml:space="preserve">9306.2</t>
  </si>
  <si>
    <t xml:space="preserve">Todos os NCM que começam com 9306.2</t>
  </si>
  <si>
    <t xml:space="preserve">2.12</t>
  </si>
  <si>
    <t xml:space="preserve">Cartuchos de munição naval e de artilharia e seus componentes (projétil, estojo, estopilha, espoleta, traçador, pólvora e alto-explosivo), de calibre igual ou superior a 40 mm de diâmetro interno de tubo da arma</t>
  </si>
  <si>
    <t xml:space="preserve">P93062</t>
  </si>
  <si>
    <t xml:space="preserve">9402.90</t>
  </si>
  <si>
    <t xml:space="preserve">Todos os NCM que começam com 9402.90</t>
  </si>
  <si>
    <t xml:space="preserve">Mesas de operação e para exames, camas hospitalares e de uso clínico</t>
  </si>
  <si>
    <t xml:space="preserve">P940290</t>
  </si>
  <si>
    <t xml:space="preserve">9603.21.00</t>
  </si>
  <si>
    <t xml:space="preserve">Escovas de dentes do código 9603.21.00 da NCM/SH</t>
  </si>
  <si>
    <t xml:space="preserve">P96032100</t>
  </si>
  <si>
    <t xml:space="preserve">9619.00.00</t>
  </si>
  <si>
    <t xml:space="preserve">Fraldas e artigos higiênicos semelhantes, de qualquer matéria classificadas no código 9619.00.00 da NCM/SH</t>
  </si>
  <si>
    <t xml:space="preserve">P96190000</t>
  </si>
  <si>
    <t xml:space="preserve">9701.91.00</t>
  </si>
  <si>
    <t xml:space="preserve">Quadros, pinturas e desenhos, artísticos originais</t>
  </si>
  <si>
    <t xml:space="preserve">P97019100</t>
  </si>
  <si>
    <t xml:space="preserve">9702.90.00</t>
  </si>
  <si>
    <t xml:space="preserve">Gravuras, estampas e litografias, artísticas originais</t>
  </si>
  <si>
    <t xml:space="preserve">P97029000</t>
  </si>
  <si>
    <t xml:space="preserve">9703.90.00</t>
  </si>
  <si>
    <t xml:space="preserve">Produções originais de arte estatutária ou de escultura</t>
  </si>
  <si>
    <t xml:space="preserve">P97039000</t>
  </si>
  <si>
    <t xml:space="preserve">Serviço</t>
  </si>
  <si>
    <t xml:space="preserve">1.0105.70.00</t>
  </si>
  <si>
    <t xml:space="preserve">Só esta NBS</t>
  </si>
  <si>
    <t xml:space="preserve">S101057000</t>
  </si>
  <si>
    <t xml:space="preserve">1.1103</t>
  </si>
  <si>
    <t xml:space="preserve">Todas as NBS que começam com 1.1103</t>
  </si>
  <si>
    <t xml:space="preserve">Cessão temporária de direitos conexos de artistas intérpretes ou executantes em obras audiovisuais</t>
  </si>
  <si>
    <t xml:space="preserve">S11103</t>
  </si>
  <si>
    <t xml:space="preserve">1.1103.10.00</t>
  </si>
  <si>
    <t xml:space="preserve">Cessão temporária de direitos conexos de produtores de obras audiovisuais</t>
  </si>
  <si>
    <t xml:space="preserve">S111031000</t>
  </si>
  <si>
    <t xml:space="preserve">1.1103.31.00</t>
  </si>
  <si>
    <t xml:space="preserve">Cessão temporária de direitos de obras audiovisuais destinadas à televisão</t>
  </si>
  <si>
    <t xml:space="preserve">S111033100</t>
  </si>
  <si>
    <t xml:space="preserve">1.1103.32.00</t>
  </si>
  <si>
    <t xml:space="preserve">Cessão temporária de direitos de obras musicais e fonogramas</t>
  </si>
  <si>
    <t xml:space="preserve">S111033200</t>
  </si>
  <si>
    <t xml:space="preserve">1.1103.34.00</t>
  </si>
  <si>
    <t xml:space="preserve">Cessão definitiva de direitos de obras literárias</t>
  </si>
  <si>
    <t xml:space="preserve">S111033400</t>
  </si>
  <si>
    <t xml:space="preserve">1.1103.35.00</t>
  </si>
  <si>
    <t xml:space="preserve">Cessão definitiva de direitos de obras cinematográficas</t>
  </si>
  <si>
    <t xml:space="preserve">S111033500</t>
  </si>
  <si>
    <t xml:space="preserve">1.1103.36</t>
  </si>
  <si>
    <t xml:space="preserve">Todas as NBS que começam com 1.1103.36</t>
  </si>
  <si>
    <t xml:space="preserve">Cessão definitiva de direitos de obras jornalísticas</t>
  </si>
  <si>
    <t xml:space="preserve">S1110336</t>
  </si>
  <si>
    <t xml:space="preserve">1.1103.4</t>
  </si>
  <si>
    <t xml:space="preserve">Todas as NBS que começam com 1.1103.4</t>
  </si>
  <si>
    <t xml:space="preserve">Cessão definitiva de direitos de obras musicais e fonogramas</t>
  </si>
  <si>
    <t xml:space="preserve">S111034</t>
  </si>
  <si>
    <t xml:space="preserve">1.1103.42.00</t>
  </si>
  <si>
    <t xml:space="preserve">S111034200</t>
  </si>
  <si>
    <t xml:space="preserve">1.1105.10.00</t>
  </si>
  <si>
    <t xml:space="preserve">Cessão temporária de direitos de obras literárias</t>
  </si>
  <si>
    <t xml:space="preserve">S111051000</t>
  </si>
  <si>
    <t xml:space="preserve">1.1106</t>
  </si>
  <si>
    <t xml:space="preserve">Todas as NBS que começam com 1.1106</t>
  </si>
  <si>
    <t xml:space="preserve">S11106</t>
  </si>
  <si>
    <t xml:space="preserve">1.1106.10.00</t>
  </si>
  <si>
    <t xml:space="preserve">Serviços de agências de notícias para jornais e periódicos</t>
  </si>
  <si>
    <t xml:space="preserve">S111061000</t>
  </si>
  <si>
    <t xml:space="preserve">1.1106.31.00</t>
  </si>
  <si>
    <t xml:space="preserve">Serviços de agências de notícias para mídia audiovisual</t>
  </si>
  <si>
    <t xml:space="preserve">S111063100</t>
  </si>
  <si>
    <t xml:space="preserve">1.1106.32.00</t>
  </si>
  <si>
    <t xml:space="preserve">Serviços de assistência e organização de convenções, feiras de negócios, exposições e outros eventos</t>
  </si>
  <si>
    <t xml:space="preserve">S111063200</t>
  </si>
  <si>
    <t xml:space="preserve">1.1106.34.00</t>
  </si>
  <si>
    <t xml:space="preserve">Serviços de gravação de som em estúdio destinados diretamente às produções nacionais artísticas, culturais e audiovisuais</t>
  </si>
  <si>
    <t xml:space="preserve">S111063400</t>
  </si>
  <si>
    <t xml:space="preserve">1.1106.35.00</t>
  </si>
  <si>
    <t xml:space="preserve">Serviços de gravação de som ao vivo destinados diretamente às produções nacionais artísticas, culturais e audiovisuais</t>
  </si>
  <si>
    <t xml:space="preserve">S111063500</t>
  </si>
  <si>
    <t xml:space="preserve">1.1106.36</t>
  </si>
  <si>
    <t xml:space="preserve">Todas as NBS que começam com 1.1106.36</t>
  </si>
  <si>
    <t xml:space="preserve">Serviços de produção de programas de televisão, videoteipes e filmes</t>
  </si>
  <si>
    <t xml:space="preserve">S1110636</t>
  </si>
  <si>
    <t xml:space="preserve">1.1106.4</t>
  </si>
  <si>
    <t xml:space="preserve">Todas as NBS que começam com 1.1106.4</t>
  </si>
  <si>
    <t xml:space="preserve">Serviços de produção de programas de rádio</t>
  </si>
  <si>
    <t xml:space="preserve">S111064</t>
  </si>
  <si>
    <t xml:space="preserve">1.1106.42.00</t>
  </si>
  <si>
    <t xml:space="preserve">S111064200</t>
  </si>
  <si>
    <t xml:space="preserve">1.1107.10.00</t>
  </si>
  <si>
    <t xml:space="preserve">Serviços de edição de obras audiovisuais destinados diretamente às produções nacionais artísticas, culturais e audiovisuais</t>
  </si>
  <si>
    <t xml:space="preserve">S111071000</t>
  </si>
  <si>
    <t xml:space="preserve">1.1107.31.00</t>
  </si>
  <si>
    <t xml:space="preserve">Serviços de duplicação e transferência de obras audiovisuais destinados diretamente às produções nacionais artísticas, culturais e audiovisuais</t>
  </si>
  <si>
    <t xml:space="preserve">S111073100</t>
  </si>
  <si>
    <t xml:space="preserve">1.1107.32.00</t>
  </si>
  <si>
    <t xml:space="preserve">Serviços de correção de cor e restauração digital de obras audiovisuais destinados diretamente às produções nacionais artísticas, culturais e audiovisuais</t>
  </si>
  <si>
    <t xml:space="preserve">S111073200</t>
  </si>
  <si>
    <t xml:space="preserve">1.1107.40.00</t>
  </si>
  <si>
    <t xml:space="preserve">Serviços de efeitos visuais em obras audiovisuais destinados diretamente às produções nacionais artísticas, culturais e audiovisuais</t>
  </si>
  <si>
    <t xml:space="preserve">S111074000</t>
  </si>
  <si>
    <t xml:space="preserve">1.1109.10.00</t>
  </si>
  <si>
    <t xml:space="preserve">Cessão temporária de direitos de autor de obras cinematográficas</t>
  </si>
  <si>
    <t xml:space="preserve">S111091000</t>
  </si>
  <si>
    <t xml:space="preserve">1.1403.10.00</t>
  </si>
  <si>
    <t xml:space="preserve">Licenciamento de direitos de autor de obras jornalísticas</t>
  </si>
  <si>
    <t xml:space="preserve">S114031000</t>
  </si>
  <si>
    <t xml:space="preserve">1.1403.29.00</t>
  </si>
  <si>
    <t xml:space="preserve">Licenciamento de direitos de obras audiovisuais destinadas à televisão</t>
  </si>
  <si>
    <t xml:space="preserve">S114032900</t>
  </si>
  <si>
    <t xml:space="preserve">1.1404.41.00</t>
  </si>
  <si>
    <t xml:space="preserve">Licenciamento de direitos de obras musicais e fonogramas</t>
  </si>
  <si>
    <t xml:space="preserve">S114044100</t>
  </si>
  <si>
    <t xml:space="preserve">1.1405.21.00</t>
  </si>
  <si>
    <t xml:space="preserve">Licenciamento de direitos de autor e de direitos conexos</t>
  </si>
  <si>
    <t xml:space="preserve">S114052100</t>
  </si>
  <si>
    <t xml:space="preserve">1.1405.22.00</t>
  </si>
  <si>
    <t xml:space="preserve">S114052200</t>
  </si>
  <si>
    <t xml:space="preserve">Licenciamento de direitos de autor de obras cinematográficas</t>
  </si>
  <si>
    <t xml:space="preserve">1.1405.90.00</t>
  </si>
  <si>
    <t xml:space="preserve">S114059000</t>
  </si>
  <si>
    <t xml:space="preserve">1.1410.90.00</t>
  </si>
  <si>
    <t xml:space="preserve">Licenciamento de direitos sobre cultivares</t>
  </si>
  <si>
    <t xml:space="preserve">S114109000</t>
  </si>
  <si>
    <t xml:space="preserve">Cessão definitiva de direitos sobre cultivares</t>
  </si>
  <si>
    <t xml:space="preserve">Licenciamento de direitos de obras literárias</t>
  </si>
  <si>
    <t xml:space="preserve">1.1501.20.00</t>
  </si>
  <si>
    <t xml:space="preserve">S115012000</t>
  </si>
  <si>
    <t xml:space="preserve">1.1502.90.00</t>
  </si>
  <si>
    <t xml:space="preserve">S115029000</t>
  </si>
  <si>
    <t xml:space="preserve">1.1510.00.00</t>
  </si>
  <si>
    <t xml:space="preserve">S115100000</t>
  </si>
  <si>
    <t xml:space="preserve">1.1704.10.00</t>
  </si>
  <si>
    <t xml:space="preserve">Serviços de animação destinados diretamente às produções nacionais artísticas, culturais e audiovisuais</t>
  </si>
  <si>
    <t xml:space="preserve">S117041000</t>
  </si>
  <si>
    <t xml:space="preserve">1.1704.20.00</t>
  </si>
  <si>
    <t xml:space="preserve">Serviços de legendas, títulos e dublagem em obras audiovisuais destinados diretamente às produções nacionais artísticas, culturais e audiovisuais</t>
  </si>
  <si>
    <t xml:space="preserve">S117042000</t>
  </si>
  <si>
    <t xml:space="preserve">1.1805.32.00</t>
  </si>
  <si>
    <t xml:space="preserve">1.14</t>
  </si>
  <si>
    <t xml:space="preserve">Serviços de manutenção e reparação de equipamentos militares para uso pela segurança nacional</t>
  </si>
  <si>
    <t xml:space="preserve">S118053200</t>
  </si>
  <si>
    <t xml:space="preserve">1.1806.6</t>
  </si>
  <si>
    <t xml:space="preserve">Todas as NBS que começam com 1.1806.6</t>
  </si>
  <si>
    <t xml:space="preserve">Serviços de projeto e edição de som em obras audiovisuais destinados diretamente às produções nacionais artísticas, culturais e audiovisuais</t>
  </si>
  <si>
    <t xml:space="preserve">S118066</t>
  </si>
  <si>
    <t xml:space="preserve">1.1901.10.00</t>
  </si>
  <si>
    <t xml:space="preserve">Licenciamento de direitos conexos de artistas intérpretes ou executantes em obras audiovisuais</t>
  </si>
  <si>
    <t xml:space="preserve">S119011000</t>
  </si>
  <si>
    <t xml:space="preserve">Licenciamento de direitos conexos de produtores de obras audiovisuais</t>
  </si>
  <si>
    <t xml:space="preserve">1.2001.35.00</t>
  </si>
  <si>
    <t xml:space="preserve">S120013500</t>
  </si>
  <si>
    <t xml:space="preserve">1.2001.83.00</t>
  </si>
  <si>
    <t xml:space="preserve">S120018300</t>
  </si>
  <si>
    <t xml:space="preserve">1.2201.1</t>
  </si>
  <si>
    <t xml:space="preserve">Todas as NBS que começam com 1.2201.1</t>
  </si>
  <si>
    <t xml:space="preserve">Vinhaça</t>
  </si>
  <si>
    <t xml:space="preserve">Serviços de educação — redução de 60%</t>
  </si>
  <si>
    <t xml:space="preserve">200028</t>
  </si>
  <si>
    <t xml:space="preserve">Art. 129</t>
  </si>
  <si>
    <t xml:space="preserve">S122011</t>
  </si>
  <si>
    <t xml:space="preserve">1.2201.20.00</t>
  </si>
  <si>
    <t xml:space="preserve">II</t>
  </si>
  <si>
    <t xml:space="preserve">Ensino Infantil, inclusive creche e pré-escola</t>
  </si>
  <si>
    <t xml:space="preserve">S122012000</t>
  </si>
  <si>
    <t xml:space="preserve">1.2201.30.00</t>
  </si>
  <si>
    <t xml:space="preserve">Ensino Fundamental</t>
  </si>
  <si>
    <t xml:space="preserve">S122013000</t>
  </si>
  <si>
    <t xml:space="preserve">1.2202.00.00</t>
  </si>
  <si>
    <t xml:space="preserve">Ensino Médio</t>
  </si>
  <si>
    <t xml:space="preserve">S122020000</t>
  </si>
  <si>
    <t xml:space="preserve">1.2203</t>
  </si>
  <si>
    <t xml:space="preserve">Todas as NBS que começam com 1.2203</t>
  </si>
  <si>
    <t xml:space="preserve">Ensino Técnico de Nível Médio</t>
  </si>
  <si>
    <t xml:space="preserve">S12203</t>
  </si>
  <si>
    <t xml:space="preserve">1.2204</t>
  </si>
  <si>
    <t xml:space="preserve">Todas as NBS que começam com 1.2204</t>
  </si>
  <si>
    <t xml:space="preserve">Ensino para jovens e adultos destinado àqueles que não tiveram acesso ou continuidade de estudos no ensino fundamental e médio na idade própria</t>
  </si>
  <si>
    <t xml:space="preserve">S12204</t>
  </si>
  <si>
    <t xml:space="preserve">1.2205.13.00</t>
  </si>
  <si>
    <t xml:space="preserve">Ensino Superior, compreendidos os cursos e programas de graduação, pós-graduação, de extensão e cursos sequenciais</t>
  </si>
  <si>
    <t xml:space="preserve">S122051300</t>
  </si>
  <si>
    <t xml:space="preserve">Ensino de sistemas linguísticos de natureza visomotora e de escrita tátil</t>
  </si>
  <si>
    <t xml:space="preserve">1.2301.11.00</t>
  </si>
  <si>
    <t xml:space="preserve">Ensino de línguas nativas de povos originários</t>
  </si>
  <si>
    <t xml:space="preserve">Serviços de saúde humana — redução de 60%</t>
  </si>
  <si>
    <t xml:space="preserve">200029</t>
  </si>
  <si>
    <t xml:space="preserve">Art. 130</t>
  </si>
  <si>
    <t xml:space="preserve">S123011100</t>
  </si>
  <si>
    <t xml:space="preserve">1.2301.12.00</t>
  </si>
  <si>
    <t xml:space="preserve">III</t>
  </si>
  <si>
    <t xml:space="preserve">Serviços cirúrgicos</t>
  </si>
  <si>
    <t xml:space="preserve">S123011200</t>
  </si>
  <si>
    <t xml:space="preserve">1.2301.13.00</t>
  </si>
  <si>
    <t xml:space="preserve">Serviços ginecológicos e obstétricos</t>
  </si>
  <si>
    <t xml:space="preserve">S123011300</t>
  </si>
  <si>
    <t xml:space="preserve">1.2301.14.00</t>
  </si>
  <si>
    <t xml:space="preserve">Serviços psiquiátricos</t>
  </si>
  <si>
    <t xml:space="preserve">S123011400</t>
  </si>
  <si>
    <t xml:space="preserve">1.2301.15.00</t>
  </si>
  <si>
    <t xml:space="preserve">Serviços prestados em Unidades de Terapia Intensiva</t>
  </si>
  <si>
    <t xml:space="preserve">S123011500</t>
  </si>
  <si>
    <t xml:space="preserve">1.2301.19.00</t>
  </si>
  <si>
    <t xml:space="preserve">Serviços de atendimento de urgência</t>
  </si>
  <si>
    <t xml:space="preserve">S123011900</t>
  </si>
  <si>
    <t xml:space="preserve">1.2301.21.00</t>
  </si>
  <si>
    <t xml:space="preserve">Serviços hospitalares não classificados em subposições anteriores</t>
  </si>
  <si>
    <t xml:space="preserve">S123012100</t>
  </si>
  <si>
    <t xml:space="preserve">1.2301.22.00</t>
  </si>
  <si>
    <t xml:space="preserve">Serviços de clínica médica</t>
  </si>
  <si>
    <t xml:space="preserve">S123012200</t>
  </si>
  <si>
    <t xml:space="preserve">1.2301.23.00</t>
  </si>
  <si>
    <t xml:space="preserve">Serviços médicos especializados</t>
  </si>
  <si>
    <t xml:space="preserve">S123012300</t>
  </si>
  <si>
    <t xml:space="preserve">1.2301.91.00</t>
  </si>
  <si>
    <t xml:space="preserve">Serviços odontológicos</t>
  </si>
  <si>
    <t xml:space="preserve">S123019100</t>
  </si>
  <si>
    <t xml:space="preserve">1.2301.92.00</t>
  </si>
  <si>
    <t xml:space="preserve">Serviços de enfermagem</t>
  </si>
  <si>
    <t xml:space="preserve">S123019200</t>
  </si>
  <si>
    <t xml:space="preserve">1.2301.93.00</t>
  </si>
  <si>
    <t xml:space="preserve">Serviços de fisioterapia</t>
  </si>
  <si>
    <t xml:space="preserve">S123019300</t>
  </si>
  <si>
    <t xml:space="preserve">1.2301.94.00</t>
  </si>
  <si>
    <t xml:space="preserve">Serviços laboratoriais</t>
  </si>
  <si>
    <t xml:space="preserve">S123019400</t>
  </si>
  <si>
    <t xml:space="preserve">1.2301.95.00</t>
  </si>
  <si>
    <t xml:space="preserve">Serviços de diagnóstico por imagem</t>
  </si>
  <si>
    <t xml:space="preserve">S123019500</t>
  </si>
  <si>
    <t xml:space="preserve">1.2301.96.00</t>
  </si>
  <si>
    <t xml:space="preserve">Serviços de bancos de material biológico humano</t>
  </si>
  <si>
    <t xml:space="preserve">S123019600</t>
  </si>
  <si>
    <t xml:space="preserve">1.2301.97.00</t>
  </si>
  <si>
    <t xml:space="preserve">Serviços de ambulância</t>
  </si>
  <si>
    <t xml:space="preserve">S123019700</t>
  </si>
  <si>
    <t xml:space="preserve">1.2301.98.00</t>
  </si>
  <si>
    <t xml:space="preserve">Serviços de assistência ao parto e pós-parto</t>
  </si>
  <si>
    <t xml:space="preserve">S123019800</t>
  </si>
  <si>
    <t xml:space="preserve">1.2301.99.00</t>
  </si>
  <si>
    <t xml:space="preserve">S123019900</t>
  </si>
  <si>
    <t xml:space="preserve">1.2302</t>
  </si>
  <si>
    <t xml:space="preserve">Todas as NBS que começam com 1.2302</t>
  </si>
  <si>
    <t xml:space="preserve">Serviços de pulverização e controle de pragas</t>
  </si>
  <si>
    <t xml:space="preserve">S12302</t>
  </si>
  <si>
    <t xml:space="preserve">1.2501.11.00</t>
  </si>
  <si>
    <t xml:space="preserve">Serviços de projeção de filmes</t>
  </si>
  <si>
    <t xml:space="preserve">S125011100</t>
  </si>
  <si>
    <t xml:space="preserve">1.2501.12.00</t>
  </si>
  <si>
    <t xml:space="preserve">Serviços de produção audiovisual, de apoio e relacionados não classificados em subposições anteriores</t>
  </si>
  <si>
    <t xml:space="preserve">S125011200</t>
  </si>
  <si>
    <t xml:space="preserve">1.2501.21.00</t>
  </si>
  <si>
    <t xml:space="preserve">Serviços de organização e promoção de atuações artísticas ao vivo</t>
  </si>
  <si>
    <t xml:space="preserve">S125012100</t>
  </si>
  <si>
    <t xml:space="preserve">1.2501.22.00</t>
  </si>
  <si>
    <t xml:space="preserve">Serviços de produção e apresentação de atuações artísticas ao vivo,inclusive os ingressos relativos a estes serviços</t>
  </si>
  <si>
    <t xml:space="preserve">S125012200</t>
  </si>
  <si>
    <t xml:space="preserve">1.2501.31.00</t>
  </si>
  <si>
    <t xml:space="preserve">Serviços de atuação artística</t>
  </si>
  <si>
    <t xml:space="preserve">S125013100</t>
  </si>
  <si>
    <t xml:space="preserve">1.2501.32.00</t>
  </si>
  <si>
    <t xml:space="preserve">Serviços de autores, compositores, escultores, pintores e outros artistas, exceto os de atuação artística</t>
  </si>
  <si>
    <t xml:space="preserve">S125013200</t>
  </si>
  <si>
    <t xml:space="preserve">1.2501.33.00</t>
  </si>
  <si>
    <t xml:space="preserve">Serviços de museus, inclusive serviços relativos a mostras e coleções de arte</t>
  </si>
  <si>
    <t xml:space="preserve">S125013300</t>
  </si>
  <si>
    <t xml:space="preserve">1.2501.34.00</t>
  </si>
  <si>
    <t xml:space="preserve">Serviços de reservas de ingressos para eventos de produções nacionais artísticas, culturais e audiovisuais</t>
  </si>
  <si>
    <t xml:space="preserve">S125013400</t>
  </si>
  <si>
    <t xml:space="preserve">1.2501.35.00</t>
  </si>
  <si>
    <t xml:space="preserve">Licenciamento de direitos conexos de artistas intérpretes ou executantes</t>
  </si>
  <si>
    <t xml:space="preserve">S125013500</t>
  </si>
  <si>
    <t xml:space="preserve">1.2501.36.00</t>
  </si>
  <si>
    <t xml:space="preserve">Cessão temporária de direitos de autor e de direitos conexos</t>
  </si>
  <si>
    <t xml:space="preserve">S125013600</t>
  </si>
  <si>
    <t xml:space="preserve">1.2501.37.00</t>
  </si>
  <si>
    <t xml:space="preserve">Cessão temporária de direitos conexos de artistas intérpretes ou executantes</t>
  </si>
  <si>
    <t xml:space="preserve">S125013700</t>
  </si>
  <si>
    <t xml:space="preserve">1.2501.50.00</t>
  </si>
  <si>
    <t xml:space="preserve">Serviços de sonorização, iluminação, figurino, videografia e cenografia para atuações artísticas ao vivo, destinados às produções de que trata o art. 139 desta Lei Complementar</t>
  </si>
  <si>
    <t xml:space="preserve">S125015000</t>
  </si>
  <si>
    <t xml:space="preserve">1.2501.90.00</t>
  </si>
  <si>
    <t xml:space="preserve">Serviços de locação, montagem e desmontagem de palcos, destinados às produções de que trata o art. 139 desta Lei Complementar</t>
  </si>
  <si>
    <t xml:space="preserve">S125019000</t>
  </si>
  <si>
    <t xml:space="preserve">1.2502.10.00</t>
  </si>
  <si>
    <t xml:space="preserve">Serviços de apresentação e promoção de atuações artísticas, inclusive gestão de espaços destinados a apresentações de exposições de artes cênicas, espetáculos e demais produções de que trata o art. 139 desta Lei Complementar</t>
  </si>
  <si>
    <t xml:space="preserve">S125021000</t>
  </si>
  <si>
    <t xml:space="preserve">1.2502.20.00</t>
  </si>
  <si>
    <t xml:space="preserve">Segurança em Tecnologia da Informação (TI)</t>
  </si>
  <si>
    <t xml:space="preserve">S125022000</t>
  </si>
  <si>
    <t xml:space="preserve">1.2502.30.00</t>
  </si>
  <si>
    <t xml:space="preserve">S125023000</t>
  </si>
  <si>
    <t xml:space="preserve">1.2502.90.00</t>
  </si>
  <si>
    <t xml:space="preserve">S125029000</t>
  </si>
  <si>
    <t xml:space="preserve">1.2503.10.00</t>
  </si>
  <si>
    <t xml:space="preserve">Serviços de projeto e desenvolvimento de aplicativos e programas em Tecnologia da Informação (TI) não classificados em subposições anteriores</t>
  </si>
  <si>
    <t xml:space="preserve">S125031000</t>
  </si>
  <si>
    <t xml:space="preserve">1.2503.20.00</t>
  </si>
  <si>
    <t xml:space="preserve">Serviços de Tecnologia da Informação (TI) não classificados em subposições anteriores</t>
  </si>
  <si>
    <t xml:space="preserve">S125032000</t>
  </si>
  <si>
    <t xml:space="preserve">1.2504.11.00</t>
  </si>
  <si>
    <t xml:space="preserve">Serviços de manutenção e reparação de veículos militares para uso pela segurança nacional</t>
  </si>
  <si>
    <t xml:space="preserve">S125041100</t>
  </si>
  <si>
    <t xml:space="preserve">1.2603.00.00</t>
  </si>
  <si>
    <t xml:space="preserve">Serviços de análise laboratorial de solos, sementes e outros materiais propagativos, fitossanitários, água de produção, bromatologia e sanidade animal</t>
  </si>
  <si>
    <t xml:space="preserve">S126030000</t>
  </si>
  <si>
    <t xml:space="preserve">CFOP mais usados — tipo de operação e orientação para IBS/CBS</t>
  </si>
  <si>
    <t xml:space="preserve">Primeiro dígito: 1 = entrada no estado, 2 = entrada de outro estado, 3 = entrada do exterior; 5 = saída no estado, 6 = saída para outro estado, 7 = saída para o exterior. O CFOP é da OPERAÇÃO, não do produto: o mesmo produto sai com CFOPs diferentes conforme a venda, a devolução, a remessa…</t>
  </si>
  <si>
    <t xml:space="preserve">Tabela de CFOP (Convênio s/nº de 15/12/1970, com a redação do Ajuste SINIEF 07/2001 e alterações). Descrições resumidas; conferir a tabela oficial. A coluna de IBS/CBS é orientação inicial de estudo (LC 214/2025), a confirmar caso a caso.</t>
  </si>
  <si>
    <t xml:space="preserve">CFOP</t>
  </si>
  <si>
    <t xml:space="preserve">Sentido</t>
  </si>
  <si>
    <t xml:space="preserve">Equivalentes</t>
  </si>
  <si>
    <t xml:space="preserve">Descrição</t>
  </si>
  <si>
    <t xml:space="preserve">Tipo de operação</t>
  </si>
  <si>
    <t xml:space="preserve">IBS/CBS — orientação inicial</t>
  </si>
  <si>
    <t xml:space="preserve">5101</t>
  </si>
  <si>
    <t xml:space="preserve">Saída (no estado)</t>
  </si>
  <si>
    <t xml:space="preserve">6101 / 7101</t>
  </si>
  <si>
    <t xml:space="preserve">Venda de produção do estabelecimento</t>
  </si>
  <si>
    <t xml:space="preserve">Venda</t>
  </si>
  <si>
    <t xml:space="preserve">Tributa (fornecimento oneroso). Classificação pelo produto e pelo comprador.</t>
  </si>
  <si>
    <t xml:space="preserve">5102</t>
  </si>
  <si>
    <t xml:space="preserve">6102 / 7102</t>
  </si>
  <si>
    <t xml:space="preserve">Venda de mercadoria adquirida ou recebida de terceiros</t>
  </si>
  <si>
    <t xml:space="preserve">Tributa. Classificação pelo produto e pelo comprador.</t>
  </si>
  <si>
    <t xml:space="preserve">5103</t>
  </si>
  <si>
    <t xml:space="preserve">6103</t>
  </si>
  <si>
    <t xml:space="preserve">Venda de produção do estabelecimento, efetuada fora do estabelecimento</t>
  </si>
  <si>
    <t xml:space="preserve">Tributa.</t>
  </si>
  <si>
    <t xml:space="preserve">5104</t>
  </si>
  <si>
    <t xml:space="preserve">6104</t>
  </si>
  <si>
    <t xml:space="preserve">Venda de mercadoria adquirida ou recebida de terceiros, efetuada fora do estabelecimento</t>
  </si>
  <si>
    <t xml:space="preserve">5105</t>
  </si>
  <si>
    <t xml:space="preserve">6105</t>
  </si>
  <si>
    <t xml:space="preserve">Venda de produção do estabelecimento que não deva por ele transitar</t>
  </si>
  <si>
    <t xml:space="preserve">5106</t>
  </si>
  <si>
    <t xml:space="preserve">6106</t>
  </si>
  <si>
    <t xml:space="preserve">Venda de mercadoria adquirida ou recebida de terceiros, que não deva por ele transitar</t>
  </si>
  <si>
    <t xml:space="preserve">6107</t>
  </si>
  <si>
    <t xml:space="preserve">Saída (outro estado)</t>
  </si>
  <si>
    <t xml:space="preserve">—</t>
  </si>
  <si>
    <t xml:space="preserve">Venda de produção do estabelecimento, destinada a não contribuinte (outro estado)</t>
  </si>
  <si>
    <t xml:space="preserve">Tributa. IBS do destino (estado/município do comprador).</t>
  </si>
  <si>
    <t xml:space="preserve">6108</t>
  </si>
  <si>
    <t xml:space="preserve">Venda de mercadoria adquirida ou recebida de terceiros, destinada a não contribuinte (outro estado)</t>
  </si>
  <si>
    <t xml:space="preserve">6109</t>
  </si>
  <si>
    <t xml:space="preserve">Venda de produção do estabelecimento, destinada à Zona Franca de Manaus ou Áreas de Livre Comércio</t>
  </si>
  <si>
    <t xml:space="preserve">Venda (ZFM/ALC)</t>
  </si>
  <si>
    <t xml:space="preserve">Regime da ZFM/ALC — tratamento próprio (conferir).</t>
  </si>
  <si>
    <t xml:space="preserve">6110</t>
  </si>
  <si>
    <t xml:space="preserve">Venda de mercadoria adquirida ou recebida de terceiros, destinada à Zona Franca de Manaus ou Áreas de Livre Comércio</t>
  </si>
  <si>
    <t xml:space="preserve">5116</t>
  </si>
  <si>
    <t xml:space="preserve">6116</t>
  </si>
  <si>
    <t xml:space="preserve">Venda de produção do estabelecimento originada de encomenda para entrega futura</t>
  </si>
  <si>
    <t xml:space="preserve">Venda (entrega futura)</t>
  </si>
  <si>
    <t xml:space="preserve">Tributa na entrega; conferir o tratamento do pagamento antecipado.</t>
  </si>
  <si>
    <t xml:space="preserve">5117</t>
  </si>
  <si>
    <t xml:space="preserve">6117</t>
  </si>
  <si>
    <t xml:space="preserve">Venda de mercadoria adquirida ou recebida de terceiros, originada de encomenda para entrega futura</t>
  </si>
  <si>
    <t xml:space="preserve">5922</t>
  </si>
  <si>
    <t xml:space="preserve">6922</t>
  </si>
  <si>
    <t xml:space="preserve">Lançamento a título de simples faturamento decorrente de venda para entrega futura</t>
  </si>
  <si>
    <t xml:space="preserve">Faturamento antecipado</t>
  </si>
  <si>
    <t xml:space="preserve">Conferir: pagamento antecipado tem regra própria (nota de débito tipo 06).</t>
  </si>
  <si>
    <t xml:space="preserve">5124</t>
  </si>
  <si>
    <t xml:space="preserve">6124</t>
  </si>
  <si>
    <t xml:space="preserve">Industrialização efetuada para outra empresa</t>
  </si>
  <si>
    <t xml:space="preserve">Serviço de industrialização</t>
  </si>
  <si>
    <t xml:space="preserve">Tributa o valor da industrialização (é prestação de serviço).</t>
  </si>
  <si>
    <t xml:space="preserve">5401</t>
  </si>
  <si>
    <t xml:space="preserve">6401</t>
  </si>
  <si>
    <t xml:space="preserve">Venda de produção do estabelecimento com produto sujeito à substituição tributária (contribuinte substituto)</t>
  </si>
  <si>
    <t xml:space="preserve">Venda (ICMS-ST)</t>
  </si>
  <si>
    <t xml:space="preserve">ST é do ICMS. Para IBS/CBS vale a regra do produto.</t>
  </si>
  <si>
    <t xml:space="preserve">5403</t>
  </si>
  <si>
    <t xml:space="preserve">6403</t>
  </si>
  <si>
    <t xml:space="preserve">Venda de mercadoria de terceiros sujeita à substituição tributária (contribuinte substituto)</t>
  </si>
  <si>
    <t xml:space="preserve">5405</t>
  </si>
  <si>
    <t xml:space="preserve">6404</t>
  </si>
  <si>
    <t xml:space="preserve">Venda de mercadoria de terceiros sujeita à substituição tributária (contribuinte substituído / imposto já retido)</t>
  </si>
  <si>
    <t xml:space="preserve">5501</t>
  </si>
  <si>
    <t xml:space="preserve">6501</t>
  </si>
  <si>
    <t xml:space="preserve">Remessa de produção do estabelecimento, com fim específico de exportação</t>
  </si>
  <si>
    <t xml:space="preserve">Exportação indireta</t>
  </si>
  <si>
    <t xml:space="preserve">Exportação: não incide, com manutenção do crédito (conferir requisitos).</t>
  </si>
  <si>
    <t xml:space="preserve">5502</t>
  </si>
  <si>
    <t xml:space="preserve">6502</t>
  </si>
  <si>
    <t xml:space="preserve">Remessa de mercadoria adquirida ou recebida de terceiros, com fim específico de exportação</t>
  </si>
  <si>
    <t xml:space="preserve">7101</t>
  </si>
  <si>
    <t xml:space="preserve">Saída (exterior)</t>
  </si>
  <si>
    <t xml:space="preserve">Venda de produção do estabelecimento (exterior)</t>
  </si>
  <si>
    <t xml:space="preserve">Exportação</t>
  </si>
  <si>
    <t xml:space="preserve">Imune / não incide (CST 410), crédito mantido.</t>
  </si>
  <si>
    <t xml:space="preserve">7102</t>
  </si>
  <si>
    <t xml:space="preserve">Venda de mercadoria adquirida ou recebida de terceiros (exterior)</t>
  </si>
  <si>
    <t xml:space="preserve">5151</t>
  </si>
  <si>
    <t xml:space="preserve">6151</t>
  </si>
  <si>
    <t xml:space="preserve">Transferência de produção do estabelecimento</t>
  </si>
  <si>
    <t xml:space="preserve">Transferência entre filiais</t>
  </si>
  <si>
    <t xml:space="preserve">Em regra sem IBS/CBS (apuração centralizada no CNPJ); conferir o cClassTrib a usar.</t>
  </si>
  <si>
    <t xml:space="preserve">5152</t>
  </si>
  <si>
    <t xml:space="preserve">6152</t>
  </si>
  <si>
    <t xml:space="preserve">Transferência de mercadoria adquirida ou recebida de terceiros</t>
  </si>
  <si>
    <t xml:space="preserve">5201</t>
  </si>
  <si>
    <t xml:space="preserve">6201</t>
  </si>
  <si>
    <t xml:space="preserve">Devolução de compra para industrialização ou produção rural</t>
  </si>
  <si>
    <t xml:space="preserve">Devolução de compra</t>
  </si>
  <si>
    <t xml:space="preserve">Mesma classificação e alíquotas da compra original; estorna o crédito.</t>
  </si>
  <si>
    <t xml:space="preserve">5202</t>
  </si>
  <si>
    <t xml:space="preserve">6202</t>
  </si>
  <si>
    <t xml:space="preserve">Devolução de compra para comercialização</t>
  </si>
  <si>
    <t xml:space="preserve">5411</t>
  </si>
  <si>
    <t xml:space="preserve">6411</t>
  </si>
  <si>
    <t xml:space="preserve">Devolução de compra para comercialização com mercadoria sujeita à substituição tributária</t>
  </si>
  <si>
    <t xml:space="preserve">Mesma classificação e alíquotas da compra original.</t>
  </si>
  <si>
    <t xml:space="preserve">5551</t>
  </si>
  <si>
    <t xml:space="preserve">6551</t>
  </si>
  <si>
    <t xml:space="preserve">Venda de bem do ativo imobilizado</t>
  </si>
  <si>
    <t xml:space="preserve">Venda de ativo</t>
  </si>
  <si>
    <t xml:space="preserve">Tributa (fornecimento oneroso).</t>
  </si>
  <si>
    <t xml:space="preserve">5552</t>
  </si>
  <si>
    <t xml:space="preserve">6552</t>
  </si>
  <si>
    <t xml:space="preserve">Transferência de bem do ativo imobilizado</t>
  </si>
  <si>
    <t xml:space="preserve">Em regra sem IBS/CBS (conferir).</t>
  </si>
  <si>
    <t xml:space="preserve">5553</t>
  </si>
  <si>
    <t xml:space="preserve">6553</t>
  </si>
  <si>
    <t xml:space="preserve">Devolução de compra de bem para o ativo imobilizado</t>
  </si>
  <si>
    <t xml:space="preserve">5556</t>
  </si>
  <si>
    <t xml:space="preserve">6556</t>
  </si>
  <si>
    <t xml:space="preserve">Devolução de compra de material de uso ou consumo</t>
  </si>
  <si>
    <t xml:space="preserve">5557</t>
  </si>
  <si>
    <t xml:space="preserve">6557</t>
  </si>
  <si>
    <t xml:space="preserve">Transferência de material de uso ou consumo</t>
  </si>
  <si>
    <t xml:space="preserve">5901</t>
  </si>
  <si>
    <t xml:space="preserve">6901</t>
  </si>
  <si>
    <t xml:space="preserve">Remessa para industrialização por encomenda</t>
  </si>
  <si>
    <t xml:space="preserve">Remessa (sem venda)</t>
  </si>
  <si>
    <t xml:space="preserve">Sem transferência de propriedade: em regra não incide (conferir cClassTrib).</t>
  </si>
  <si>
    <t xml:space="preserve">5902</t>
  </si>
  <si>
    <t xml:space="preserve">6902</t>
  </si>
  <si>
    <t xml:space="preserve">Retorno de mercadoria utilizada na industrialização por encomenda</t>
  </si>
  <si>
    <t xml:space="preserve">Retorno</t>
  </si>
  <si>
    <t xml:space="preserve">Não incide sobre o retorno; o serviço de industrialização vai no 5124.</t>
  </si>
  <si>
    <t xml:space="preserve">5904</t>
  </si>
  <si>
    <t xml:space="preserve">6904</t>
  </si>
  <si>
    <t xml:space="preserve">Remessa para venda fora do estabelecimento</t>
  </si>
  <si>
    <t xml:space="preserve">Não incide na remessa; tributa na venda (5103/5104).</t>
  </si>
  <si>
    <t xml:space="preserve">5905</t>
  </si>
  <si>
    <t xml:space="preserve">6905</t>
  </si>
  <si>
    <t xml:space="preserve">Remessa para depósito fechado ou armazém geral</t>
  </si>
  <si>
    <t xml:space="preserve">Sem transferência de propriedade: em regra não incide (conferir).</t>
  </si>
  <si>
    <t xml:space="preserve">5906</t>
  </si>
  <si>
    <t xml:space="preserve">6906</t>
  </si>
  <si>
    <t xml:space="preserve">Retorno de mercadoria depositada em depósito fechado ou armazém geral</t>
  </si>
  <si>
    <t xml:space="preserve">Em regra não incide (conferir).</t>
  </si>
  <si>
    <t xml:space="preserve">5908</t>
  </si>
  <si>
    <t xml:space="preserve">6908</t>
  </si>
  <si>
    <t xml:space="preserve">Remessa de bem por conta de contrato de comodato</t>
  </si>
  <si>
    <t xml:space="preserve">Comodato (empréstimo gratuito): conferir o tratamento.</t>
  </si>
  <si>
    <t xml:space="preserve">5909</t>
  </si>
  <si>
    <t xml:space="preserve">6909</t>
  </si>
  <si>
    <t xml:space="preserve">Retorno de bem recebido por conta de contrato de comodato</t>
  </si>
  <si>
    <t xml:space="preserve">5910</t>
  </si>
  <si>
    <t xml:space="preserve">6910</t>
  </si>
  <si>
    <t xml:space="preserve">Remessa em bonificação, doação ou brinde</t>
  </si>
  <si>
    <t xml:space="preserve">Bonificação / brinde</t>
  </si>
  <si>
    <t xml:space="preserve">Brindes e bonificações são tributados (LC 214, art. 5º), salvo bonificação na própria nota de venda sem condição (conferir).</t>
  </si>
  <si>
    <t xml:space="preserve">5911</t>
  </si>
  <si>
    <t xml:space="preserve">6911</t>
  </si>
  <si>
    <t xml:space="preserve">Remessa de amostra grátis</t>
  </si>
  <si>
    <t xml:space="preserve">Amostra grátis</t>
  </si>
  <si>
    <t xml:space="preserve">Fornecimento não oneroso: conferir o tratamento.</t>
  </si>
  <si>
    <t xml:space="preserve">5912</t>
  </si>
  <si>
    <t xml:space="preserve">6912</t>
  </si>
  <si>
    <t xml:space="preserve">Remessa de mercadoria ou bem para demonstração</t>
  </si>
  <si>
    <t xml:space="preserve">5913</t>
  </si>
  <si>
    <t xml:space="preserve">6913</t>
  </si>
  <si>
    <t xml:space="preserve">Retorno de mercadoria ou bem recebido para demonstração</t>
  </si>
  <si>
    <t xml:space="preserve">5915</t>
  </si>
  <si>
    <t xml:space="preserve">6915</t>
  </si>
  <si>
    <t xml:space="preserve">Remessa de mercadoria ou bem para conserto ou reparo</t>
  </si>
  <si>
    <t xml:space="preserve">Não incide na remessa; o conserto é serviço tributado de quem conserta.</t>
  </si>
  <si>
    <t xml:space="preserve">5916</t>
  </si>
  <si>
    <t xml:space="preserve">6916</t>
  </si>
  <si>
    <t xml:space="preserve">Retorno de mercadoria ou bem recebido para conserto ou reparo</t>
  </si>
  <si>
    <t xml:space="preserve">Não incide sobre o bem; o serviço de conserto é tributado.</t>
  </si>
  <si>
    <t xml:space="preserve">5917</t>
  </si>
  <si>
    <t xml:space="preserve">6917</t>
  </si>
  <si>
    <t xml:space="preserve">Remessa de mercadoria em consignação mercantil ou industrial</t>
  </si>
  <si>
    <t xml:space="preserve">Consignação</t>
  </si>
  <si>
    <t xml:space="preserve">Conferir: o fato gerador ocorre na venda efetiva.</t>
  </si>
  <si>
    <t xml:space="preserve">5920</t>
  </si>
  <si>
    <t xml:space="preserve">6920</t>
  </si>
  <si>
    <t xml:space="preserve">Remessa de vasilhame ou sacaria</t>
  </si>
  <si>
    <t xml:space="preserve">5921</t>
  </si>
  <si>
    <t xml:space="preserve">6921</t>
  </si>
  <si>
    <t xml:space="preserve">Devolução de vasilhame ou sacaria</t>
  </si>
  <si>
    <t xml:space="preserve">5927</t>
  </si>
  <si>
    <t xml:space="preserve">Lançamento a título de baixa de estoque decorrente de perda, roubo ou deterioração</t>
  </si>
  <si>
    <t xml:space="preserve">Perda de estoque</t>
  </si>
  <si>
    <t xml:space="preserve">Anula o crédito das mercadorias perdidas (nota de débito tipo 07 — conferir).</t>
  </si>
  <si>
    <t xml:space="preserve">5929</t>
  </si>
  <si>
    <t xml:space="preserve">6929</t>
  </si>
  <si>
    <t xml:space="preserve">Lançamento relativo a operação também registrada em equipamento emissor de cupom fiscal (ECF)</t>
  </si>
  <si>
    <t xml:space="preserve">Lançamento</t>
  </si>
  <si>
    <t xml:space="preserve">Evitar duplicidade: o IBS/CBS fica em um só documento.</t>
  </si>
  <si>
    <t xml:space="preserve">5933</t>
  </si>
  <si>
    <t xml:space="preserve">6933</t>
  </si>
  <si>
    <t xml:space="preserve">Prestação de serviço tributado pelo ISSQN</t>
  </si>
  <si>
    <t xml:space="preserve">Tributa (serviço). Classificação pela NBS, normalmente na NFS-e.</t>
  </si>
  <si>
    <t xml:space="preserve">5949</t>
  </si>
  <si>
    <t xml:space="preserve">6949 / 7949</t>
  </si>
  <si>
    <t xml:space="preserve">Outra saída de mercadoria ou prestação de serviço não especificado</t>
  </si>
  <si>
    <t xml:space="preserve">Outros</t>
  </si>
  <si>
    <t xml:space="preserve">Genérico: sempre revisar qual é a operação de verdade.</t>
  </si>
  <si>
    <t xml:space="preserve">1101</t>
  </si>
  <si>
    <t xml:space="preserve">Entrada (no estado)</t>
  </si>
  <si>
    <t xml:space="preserve">2101 / 3101</t>
  </si>
  <si>
    <t xml:space="preserve">Compra para industrialização ou produção rural</t>
  </si>
  <si>
    <t xml:space="preserve">Compra</t>
  </si>
  <si>
    <t xml:space="preserve">Gera crédito do IBS/CBS destacado (se a nota estiver correta e o tributo pago).</t>
  </si>
  <si>
    <t xml:space="preserve">2102 / 3102</t>
  </si>
  <si>
    <t xml:space="preserve">Compra para comercialização</t>
  </si>
  <si>
    <t xml:space="preserve">Gera crédito do IBS/CBS destacado.</t>
  </si>
  <si>
    <t xml:space="preserve">1403</t>
  </si>
  <si>
    <t xml:space="preserve">2403</t>
  </si>
  <si>
    <t xml:space="preserve">Compra para comercialização com mercadoria sujeita à substituição tributária</t>
  </si>
  <si>
    <t xml:space="preserve">Compra (ICMS-ST)</t>
  </si>
  <si>
    <t xml:space="preserve">Gera crédito do IBS/CBS destacado (ST é só do ICMS).</t>
  </si>
  <si>
    <t xml:space="preserve">1551</t>
  </si>
  <si>
    <t xml:space="preserve">2551 / 3551</t>
  </si>
  <si>
    <t xml:space="preserve">Compra de bem para o ativo imobilizado</t>
  </si>
  <si>
    <t xml:space="preserve">Compra de ativo</t>
  </si>
  <si>
    <t xml:space="preserve">1556</t>
  </si>
  <si>
    <t xml:space="preserve">2556 / 3556</t>
  </si>
  <si>
    <t xml:space="preserve">Compra de material para uso ou consumo</t>
  </si>
  <si>
    <t xml:space="preserve">Compra (uso e consumo)</t>
  </si>
  <si>
    <t xml:space="preserve">Gera crédito, exceto bens de uso e consumo pessoal.</t>
  </si>
  <si>
    <t xml:space="preserve">1407</t>
  </si>
  <si>
    <t xml:space="preserve">2407</t>
  </si>
  <si>
    <t xml:space="preserve">Compra de mercadoria para uso ou consumo sujeita à substituição tributária</t>
  </si>
  <si>
    <t xml:space="preserve">1201</t>
  </si>
  <si>
    <t xml:space="preserve">2201</t>
  </si>
  <si>
    <t xml:space="preserve">Devolução de venda de produção do estabelecimento</t>
  </si>
  <si>
    <t xml:space="preserve">Devolução de venda</t>
  </si>
  <si>
    <t xml:space="preserve">Mesma classificação e alíquotas da venda original; estorna o débito.</t>
  </si>
  <si>
    <t xml:space="preserve">1202</t>
  </si>
  <si>
    <t xml:space="preserve">2202</t>
  </si>
  <si>
    <t xml:space="preserve">Devolução de venda de mercadoria adquirida ou recebida de terceiros</t>
  </si>
  <si>
    <t xml:space="preserve">1411</t>
  </si>
  <si>
    <t xml:space="preserve">2411</t>
  </si>
  <si>
    <t xml:space="preserve">Devolução de venda de mercadoria sujeita à substituição tributária</t>
  </si>
  <si>
    <t xml:space="preserve">Mesma classificação e alíquotas da venda original.</t>
  </si>
  <si>
    <t xml:space="preserve">1151</t>
  </si>
  <si>
    <t xml:space="preserve">2151</t>
  </si>
  <si>
    <t xml:space="preserve">Transferência para industrialização ou produção rural</t>
  </si>
  <si>
    <t xml:space="preserve">1152</t>
  </si>
  <si>
    <t xml:space="preserve">2152</t>
  </si>
  <si>
    <t xml:space="preserve">Transferência para comercialização</t>
  </si>
  <si>
    <t xml:space="preserve">1910</t>
  </si>
  <si>
    <t xml:space="preserve">2910</t>
  </si>
  <si>
    <t xml:space="preserve">Entrada de bonificação, doação ou brinde</t>
  </si>
  <si>
    <t xml:space="preserve">Crédito do IBS/CBS destacado, se houver (conferir).</t>
  </si>
  <si>
    <t xml:space="preserve">1915</t>
  </si>
  <si>
    <t xml:space="preserve">2915</t>
  </si>
  <si>
    <t xml:space="preserve">Entrada de mercadoria ou bem recebido para conserto ou reparo</t>
  </si>
  <si>
    <t xml:space="preserve">Não incide sobre o bem recebido.</t>
  </si>
  <si>
    <t xml:space="preserve">1916</t>
  </si>
  <si>
    <t xml:space="preserve">2916</t>
  </si>
  <si>
    <t xml:space="preserve">Retorno de mercadoria ou bem remetido para conserto ou reparo</t>
  </si>
  <si>
    <t xml:space="preserve">Não incide sobre o bem; o serviço de conserto gera crédito.</t>
  </si>
  <si>
    <t xml:space="preserve">1253</t>
  </si>
  <si>
    <t xml:space="preserve">2253</t>
  </si>
  <si>
    <t xml:space="preserve">Compra de energia elétrica por estabelecimento comercial</t>
  </si>
  <si>
    <t xml:space="preserve">Compra (energia)</t>
  </si>
  <si>
    <t xml:space="preserve">1303</t>
  </si>
  <si>
    <t xml:space="preserve">Aquisição de serviço de comunicação por estabelecimento comercial</t>
  </si>
  <si>
    <t xml:space="preserve">Compra (comunicação)</t>
  </si>
  <si>
    <t xml:space="preserve">1353</t>
  </si>
  <si>
    <t xml:space="preserve">2353</t>
  </si>
  <si>
    <t xml:space="preserve">Aquisição de serviço de transporte por estabelecimento comercial</t>
  </si>
  <si>
    <t xml:space="preserve">Compra (frete)</t>
  </si>
  <si>
    <t xml:space="preserve">Gera crédito do IBS/CBS destacado no CT-e.</t>
  </si>
  <si>
    <t xml:space="preserve">1933</t>
  </si>
  <si>
    <t xml:space="preserve">2933</t>
  </si>
  <si>
    <t xml:space="preserve">Aquisição de serviço tributado pelo ISSQN</t>
  </si>
  <si>
    <t xml:space="preserve">Compra (serviço)</t>
  </si>
  <si>
    <t xml:space="preserve">Gera crédito do IBS/CBS destacado na NFS-e.</t>
  </si>
  <si>
    <t xml:space="preserve">1949</t>
  </si>
  <si>
    <t xml:space="preserve">2949 / 3949</t>
  </si>
  <si>
    <t xml:space="preserve">Outra entrada de mercadoria ou prestação de serviço não especificada</t>
  </si>
  <si>
    <t xml:space="preserve">Modelo de catálogo — um produto ou serviço por linha</t>
  </si>
  <si>
    <t xml:space="preserve">Preencha as colunas AMARELAS (A a F e N a S). As colunas CINZAS (G a M) são calculadas pela aba “Referência LC 214”: mostram a regra mais específica que o código encontrou. Quando há mais de uma regra (coluna G maior que 1) ou uma condição (coluna L), confira o item do anexo antes de decidir.</t>
  </si>
  <si>
    <t xml:space="preserve">A sugestão não considera as exceções dos anexos nem a descrição do produto: a decisão final (colunas O e P) é do escritório. Digite o NCM com 8 dígitos e a NBS com 9 (pode ser com ou sem pontos). As linhas 7 a 10 são exemplos — pode apagar.</t>
  </si>
  <si>
    <t xml:space="preserve">Código interno</t>
  </si>
  <si>
    <t xml:space="preserve">Descrição do produto ou serviço</t>
  </si>
  <si>
    <t xml:space="preserve">NCM (produto) ou NBS (serviço)</t>
  </si>
  <si>
    <t xml:space="preserve">GTIN (código de barras)</t>
  </si>
  <si>
    <t xml:space="preserve">Unidade</t>
  </si>
  <si>
    <t xml:space="preserve">Regras na LC 214</t>
  </si>
  <si>
    <t xml:space="preserve">Sugestão (cClassTrib)</t>
  </si>
  <si>
    <t xml:space="preserve">Tratamento sugerido</t>
  </si>
  <si>
    <t xml:space="preserve">Item do anexo</t>
  </si>
  <si>
    <t xml:space="preserve">Condição</t>
  </si>
  <si>
    <t xml:space="preserve">Atenção</t>
  </si>
  <si>
    <t xml:space="preserve">Vende para órgão público ou entidade SUS?</t>
  </si>
  <si>
    <t xml:space="preserve">cClassTrib escolhido</t>
  </si>
  <si>
    <t xml:space="preserve">Status</t>
  </si>
  <si>
    <t xml:space="preserve">Aprovado por</t>
  </si>
  <si>
    <t xml:space="preserve">Data</t>
  </si>
  <si>
    <t xml:space="preserve">Observação</t>
  </si>
  <si>
    <t xml:space="preserve">Linha da regra</t>
  </si>
  <si>
    <t xml:space="preserve">ARR-005</t>
  </si>
  <si>
    <t xml:space="preserve">Arroz branco tipo 1, pacote 5 kg</t>
  </si>
  <si>
    <t xml:space="preserve">1006.30.21</t>
  </si>
  <si>
    <t xml:space="preserve">7890000000017</t>
  </si>
  <si>
    <t xml:space="preserve">PCT</t>
  </si>
  <si>
    <t xml:space="preserve">Não</t>
  </si>
  <si>
    <t xml:space="preserve">Aprovado</t>
  </si>
  <si>
    <t xml:space="preserve">Escritório</t>
  </si>
  <si>
    <t xml:space="preserve">Exemplo — pode apagar</t>
  </si>
  <si>
    <t xml:space="preserve">SER-010</t>
  </si>
  <si>
    <t xml:space="preserve">Seringa descartável 10 ml com agulha</t>
  </si>
  <si>
    <t xml:space="preserve">9018.31.19</t>
  </si>
  <si>
    <t xml:space="preserve">UN</t>
  </si>
  <si>
    <t xml:space="preserve">Sim</t>
  </si>
  <si>
    <t xml:space="preserve">Revisar</t>
  </si>
  <si>
    <t xml:space="preserve">Exemplo: definir 200030 (geral) e 200005 (órgão público/SUS)</t>
  </si>
  <si>
    <t xml:space="preserve">NB-001</t>
  </si>
  <si>
    <t xml:space="preserve">Notebook 14 polegadas</t>
  </si>
  <si>
    <t xml:space="preserve">8471.30.12</t>
  </si>
  <si>
    <t xml:space="preserve">000001</t>
  </si>
  <si>
    <t xml:space="preserve">SV-EDU</t>
  </si>
  <si>
    <t xml:space="preserve">Mensalidade de ensino infantil</t>
  </si>
  <si>
    <t xml:space="preserve">MES</t>
  </si>
  <si>
    <t xml:space="preserve">Pendente</t>
  </si>
</sst>
</file>

<file path=xl/styles.xml><?xml version="1.0" encoding="utf-8"?>
<styleSheet xmlns="http://schemas.openxmlformats.org/spreadsheetml/2006/main">
  <numFmts count="5">
    <numFmt numFmtId="164" formatCode="General"/>
    <numFmt numFmtId="165" formatCode="@"/>
    <numFmt numFmtId="166" formatCode="0%"/>
    <numFmt numFmtId="167" formatCode="General"/>
    <numFmt numFmtId="168" formatCode="dd/mm/yyyy"/>
  </numFmts>
  <fonts count="15">
    <font>
      <sz val="11"/>
      <color theme="1"/>
      <name val="Calibri"/>
      <family val="2"/>
      <charset val="1"/>
    </font>
    <font>
      <sz val="10"/>
      <name val="Arial"/>
      <family val="0"/>
    </font>
    <font>
      <sz val="10"/>
      <name val="Arial"/>
      <family val="0"/>
    </font>
    <font>
      <sz val="10"/>
      <name val="Arial"/>
      <family val="0"/>
    </font>
    <font>
      <b val="true"/>
      <sz val="14"/>
      <color rgb="FF14202B"/>
      <name val="Arial"/>
      <family val="0"/>
      <charset val="1"/>
    </font>
    <font>
      <i val="true"/>
      <sz val="9"/>
      <color rgb="FF5B6670"/>
      <name val="Arial"/>
      <family val="0"/>
      <charset val="1"/>
    </font>
    <font>
      <b val="true"/>
      <sz val="10"/>
      <color rgb="FFFFFFFF"/>
      <name val="Arial"/>
      <family val="0"/>
      <charset val="1"/>
    </font>
    <font>
      <sz val="10"/>
      <color rgb="FF222222"/>
      <name val="Arial"/>
      <family val="0"/>
      <charset val="1"/>
    </font>
    <font>
      <sz val="10"/>
      <color rgb="FFB42318"/>
      <name val="Arial"/>
      <family val="0"/>
      <charset val="1"/>
    </font>
    <font>
      <sz val="10"/>
      <name val="Arial"/>
      <family val="2"/>
    </font>
    <font>
      <b val="true"/>
      <sz val="10"/>
      <name val="Arial"/>
      <family val="0"/>
      <charset val="1"/>
    </font>
    <font>
      <sz val="10"/>
      <name val="Arial"/>
      <family val="0"/>
      <charset val="1"/>
    </font>
    <font>
      <i val="true"/>
      <sz val="10"/>
      <color rgb="FF222222"/>
      <name val="Arial"/>
      <family val="0"/>
      <charset val="1"/>
    </font>
    <font>
      <i val="true"/>
      <sz val="10"/>
      <color rgb="FF8A5A00"/>
      <name val="Arial"/>
      <family val="0"/>
      <charset val="1"/>
    </font>
    <font>
      <sz val="10"/>
      <color rgb="FF8A5A00"/>
      <name val="Arial"/>
      <family val="0"/>
      <charset val="1"/>
    </font>
  </fonts>
  <fills count="6">
    <fill>
      <patternFill patternType="none"/>
    </fill>
    <fill>
      <patternFill patternType="gray125"/>
    </fill>
    <fill>
      <patternFill patternType="solid">
        <fgColor rgb="FF14202B"/>
        <bgColor rgb="FF222222"/>
      </patternFill>
    </fill>
    <fill>
      <patternFill patternType="solid">
        <fgColor rgb="FF8A5A00"/>
        <bgColor rgb="FF993366"/>
      </patternFill>
    </fill>
    <fill>
      <patternFill patternType="solid">
        <fgColor rgb="FFFFF4D6"/>
        <bgColor rgb="FFEEF1F4"/>
      </patternFill>
    </fill>
    <fill>
      <patternFill patternType="solid">
        <fgColor rgb="FFEEF1F4"/>
        <bgColor rgb="FFFFF4D6"/>
      </patternFill>
    </fill>
  </fills>
  <borders count="2">
    <border diagonalUp="false" diagonalDown="false">
      <left/>
      <right/>
      <top/>
      <bottom/>
      <diagonal/>
    </border>
    <border diagonalUp="false" diagonalDown="false">
      <left style="thin">
        <color rgb="FFD5DBE0"/>
      </left>
      <right style="thin">
        <color rgb="FFD5DBE0"/>
      </right>
      <top style="thin">
        <color rgb="FFD5DBE0"/>
      </top>
      <bottom style="thin">
        <color rgb="FFD5DB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5" fontId="12" fillId="4" borderId="1" xfId="0" applyFont="true" applyBorder="true" applyAlignment="true" applyProtection="false">
      <alignment horizontal="general"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false" indent="0" shrinkToFit="false"/>
      <protection locked="true" hidden="false"/>
    </xf>
    <xf numFmtId="167" fontId="12" fillId="5" borderId="1" xfId="0" applyFont="true" applyBorder="true" applyAlignment="true" applyProtection="false">
      <alignment horizontal="general" vertical="top" textRotation="0" wrapText="false" indent="0" shrinkToFit="false"/>
      <protection locked="true" hidden="false"/>
    </xf>
    <xf numFmtId="165" fontId="12" fillId="5" borderId="1" xfId="0" applyFont="true" applyBorder="true" applyAlignment="true" applyProtection="false">
      <alignment horizontal="general" vertical="top" textRotation="0" wrapText="fals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6" fontId="12" fillId="5" borderId="1" xfId="0" applyFont="true" applyBorder="true" applyAlignment="true" applyProtection="false">
      <alignment horizontal="general" vertical="top" textRotation="0" wrapText="fals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8" fontId="12" fillId="4"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5"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6" fontId="7" fillId="5" borderId="1" xfId="0" applyFont="true" applyBorder="true" applyAlignment="true" applyProtection="false">
      <alignment horizontal="general"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4202B"/>
          <bgColor rgb="FF000000"/>
        </patternFill>
      </fill>
    </dxf>
    <dxf>
      <fill>
        <patternFill patternType="solid">
          <bgColor rgb="FF000000"/>
        </patternFill>
      </fill>
    </dxf>
    <dxf>
      <fill>
        <patternFill patternType="solid">
          <fgColor rgb="FF222222"/>
          <bgColor rgb="FF000000"/>
        </patternFill>
      </fill>
    </dxf>
    <dxf>
      <fill>
        <patternFill patternType="solid">
          <fgColor rgb="FFFFFFFF"/>
          <bgColor rgb="FF000000"/>
        </patternFill>
      </fill>
    </dxf>
    <dxf>
      <fill>
        <patternFill patternType="solid">
          <fgColor rgb="FFB42318"/>
          <bgColor rgb="FF000000"/>
        </patternFill>
      </fill>
    </dxf>
    <dxf>
      <fill>
        <patternFill patternType="solid">
          <fgColor rgb="FF8A5A00"/>
          <bgColor rgb="FF000000"/>
        </patternFill>
      </fill>
    </dxf>
    <dxf>
      <fill>
        <patternFill patternType="solid">
          <fgColor rgb="FFFFF4D6"/>
          <bgColor rgb="FF000000"/>
        </patternFill>
      </fill>
    </dxf>
    <dxf>
      <fill>
        <patternFill patternType="solid">
          <fgColor rgb="FFEEF1F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C0C0C0"/>
      <rgbColor rgb="FF808080"/>
      <rgbColor rgb="FF9999FF"/>
      <rgbColor rgb="FF993366"/>
      <rgbColor rgb="FFFFF4D6"/>
      <rgbColor rgb="FFEEF1F4"/>
      <rgbColor rgb="FF660066"/>
      <rgbColor rgb="FFFF8080"/>
      <rgbColor rgb="FF0066CC"/>
      <rgbColor rgb="FFD5DB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670"/>
      <rgbColor rgb="FF969696"/>
      <rgbColor rgb="FF003366"/>
      <rgbColor rgb="FF339966"/>
      <rgbColor rgb="FF14202B"/>
      <rgbColor rgb="FF333300"/>
      <rgbColor rgb="FFB42318"/>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30"/>
    <col collapsed="false" customWidth="true" hidden="false" outlineLevel="0" max="4" min="4" style="0" width="18"/>
    <col collapsed="false" customWidth="true" hidden="false" outlineLevel="0" max="5" min="5" style="0" width="7"/>
    <col collapsed="false" customWidth="true" hidden="false" outlineLevel="0" max="6" min="6" style="0" width="6"/>
    <col collapsed="false" customWidth="true" hidden="false" outlineLevel="0" max="7" min="7" style="0" width="48"/>
    <col collapsed="false" customWidth="true" hidden="false" outlineLevel="0" max="8" min="8" style="0" width="30"/>
    <col collapsed="false" customWidth="true" hidden="false" outlineLevel="0" max="9" min="9" style="0" width="10"/>
    <col collapsed="false" customWidth="true" hidden="false" outlineLevel="0" max="10" min="10" style="0" width="6"/>
    <col collapsed="false" customWidth="true" hidden="false" outlineLevel="0" max="11" min="11" style="0" width="9"/>
    <col collapsed="false" customWidth="true" hidden="false" outlineLevel="0" max="12" min="12" style="0" width="34"/>
    <col collapsed="false" customWidth="true" hidden="false" outlineLevel="0" max="13" min="13" style="0" width="14"/>
    <col collapsed="false" customWidth="true" hidden="true" outlineLevel="0" max="14" min="14" style="0" width="12"/>
  </cols>
  <sheetData>
    <row r="1" customFormat="false" ht="17.35" hidden="false" customHeight="false" outlineLevel="0" collapsed="false">
      <c r="A1" s="1" t="s">
        <v>0</v>
      </c>
    </row>
    <row r="2" customFormat="false" ht="25.5" hidden="false" customHeight="true" outlineLevel="0" collapsed="false">
      <c r="A2" s="2" t="s">
        <v>1</v>
      </c>
      <c r="B2" s="2"/>
      <c r="C2" s="2"/>
      <c r="D2" s="2"/>
      <c r="E2" s="2"/>
      <c r="F2" s="2"/>
      <c r="G2" s="2"/>
      <c r="H2" s="2"/>
      <c r="I2" s="2"/>
      <c r="J2" s="2"/>
      <c r="K2" s="2"/>
      <c r="L2" s="2"/>
      <c r="M2" s="2"/>
      <c r="N2" s="2"/>
    </row>
    <row r="3" customFormat="false" ht="25.5" hidden="false" customHeight="true" outlineLevel="0" collapsed="false">
      <c r="A3" s="2" t="s">
        <v>2</v>
      </c>
      <c r="B3" s="2"/>
      <c r="C3" s="2"/>
      <c r="D3" s="2"/>
      <c r="E3" s="2"/>
      <c r="F3" s="2"/>
      <c r="G3" s="2"/>
      <c r="H3" s="2"/>
      <c r="I3" s="2"/>
      <c r="J3" s="2"/>
      <c r="K3" s="2"/>
      <c r="L3" s="2"/>
      <c r="M3" s="2"/>
      <c r="N3" s="2"/>
    </row>
    <row r="4" customFormat="false" ht="25.5" hidden="false" customHeight="true" outlineLevel="0" collapsed="false">
      <c r="A4" s="2" t="s">
        <v>3</v>
      </c>
      <c r="B4" s="2"/>
      <c r="C4" s="2"/>
      <c r="D4" s="2"/>
      <c r="E4" s="2"/>
      <c r="F4" s="2"/>
      <c r="G4" s="2"/>
      <c r="H4" s="2"/>
      <c r="I4" s="2"/>
      <c r="J4" s="2"/>
      <c r="K4" s="2"/>
      <c r="L4" s="2"/>
      <c r="M4" s="2"/>
      <c r="N4" s="2"/>
    </row>
    <row r="5" customFormat="false" ht="30" hidden="false" customHeight="true" outlineLevel="0" collapsed="false">
      <c r="A5" s="3" t="s">
        <v>4</v>
      </c>
      <c r="B5" s="3" t="s">
        <v>5</v>
      </c>
      <c r="C5" s="3" t="s">
        <v>6</v>
      </c>
      <c r="D5" s="3" t="s">
        <v>7</v>
      </c>
      <c r="E5" s="3" t="s">
        <v>8</v>
      </c>
      <c r="F5" s="3" t="s">
        <v>9</v>
      </c>
      <c r="G5" s="3" t="s">
        <v>10</v>
      </c>
      <c r="H5" s="3" t="s">
        <v>11</v>
      </c>
      <c r="I5" s="3" t="s">
        <v>12</v>
      </c>
      <c r="J5" s="3" t="s">
        <v>13</v>
      </c>
      <c r="K5" s="3" t="s">
        <v>14</v>
      </c>
      <c r="L5" s="3" t="s">
        <v>15</v>
      </c>
      <c r="M5" s="3" t="s">
        <v>16</v>
      </c>
      <c r="N5" s="3" t="s">
        <v>17</v>
      </c>
    </row>
    <row r="6" customFormat="false" ht="46.25" hidden="false" customHeight="false" outlineLevel="0" collapsed="false">
      <c r="A6" s="4" t="s">
        <v>18</v>
      </c>
      <c r="B6" s="5" t="s">
        <v>19</v>
      </c>
      <c r="C6" s="6" t="s">
        <v>20</v>
      </c>
      <c r="D6" s="6"/>
      <c r="E6" s="4" t="s">
        <v>21</v>
      </c>
      <c r="F6" s="4" t="s">
        <v>22</v>
      </c>
      <c r="G6" s="6" t="s">
        <v>23</v>
      </c>
      <c r="H6" s="6" t="s">
        <v>24</v>
      </c>
      <c r="I6" s="5" t="s">
        <v>25</v>
      </c>
      <c r="J6" s="5" t="s">
        <v>26</v>
      </c>
      <c r="K6" s="7" t="n">
        <v>0.6</v>
      </c>
      <c r="L6" s="6"/>
      <c r="M6" s="4" t="s">
        <v>27</v>
      </c>
      <c r="N6" s="5" t="s">
        <v>28</v>
      </c>
    </row>
    <row r="7" customFormat="false" ht="46.25" hidden="false" customHeight="false" outlineLevel="0" collapsed="false">
      <c r="A7" s="4" t="s">
        <v>18</v>
      </c>
      <c r="B7" s="5" t="s">
        <v>29</v>
      </c>
      <c r="C7" s="6" t="s">
        <v>30</v>
      </c>
      <c r="D7" s="6"/>
      <c r="E7" s="4" t="s">
        <v>21</v>
      </c>
      <c r="F7" s="4" t="s">
        <v>22</v>
      </c>
      <c r="G7" s="6" t="s">
        <v>23</v>
      </c>
      <c r="H7" s="6" t="s">
        <v>24</v>
      </c>
      <c r="I7" s="5" t="s">
        <v>25</v>
      </c>
      <c r="J7" s="5" t="s">
        <v>26</v>
      </c>
      <c r="K7" s="7" t="n">
        <v>0.6</v>
      </c>
      <c r="L7" s="6"/>
      <c r="M7" s="4" t="s">
        <v>27</v>
      </c>
      <c r="N7" s="5" t="s">
        <v>31</v>
      </c>
    </row>
    <row r="8" customFormat="false" ht="46.25" hidden="false" customHeight="false" outlineLevel="0" collapsed="false">
      <c r="A8" s="4" t="s">
        <v>18</v>
      </c>
      <c r="B8" s="5" t="s">
        <v>32</v>
      </c>
      <c r="C8" s="6" t="s">
        <v>33</v>
      </c>
      <c r="D8" s="6"/>
      <c r="E8" s="4" t="s">
        <v>21</v>
      </c>
      <c r="F8" s="4" t="s">
        <v>22</v>
      </c>
      <c r="G8" s="6" t="s">
        <v>23</v>
      </c>
      <c r="H8" s="6" t="s">
        <v>24</v>
      </c>
      <c r="I8" s="5" t="s">
        <v>25</v>
      </c>
      <c r="J8" s="5" t="s">
        <v>26</v>
      </c>
      <c r="K8" s="7" t="n">
        <v>0.6</v>
      </c>
      <c r="L8" s="6"/>
      <c r="M8" s="4" t="s">
        <v>27</v>
      </c>
      <c r="N8" s="5" t="s">
        <v>34</v>
      </c>
    </row>
    <row r="9" customFormat="false" ht="23.85" hidden="false" customHeight="false" outlineLevel="0" collapsed="false">
      <c r="A9" s="4" t="s">
        <v>18</v>
      </c>
      <c r="B9" s="5" t="s">
        <v>35</v>
      </c>
      <c r="C9" s="6" t="s">
        <v>36</v>
      </c>
      <c r="D9" s="6"/>
      <c r="E9" s="4" t="s">
        <v>21</v>
      </c>
      <c r="F9" s="4" t="s">
        <v>37</v>
      </c>
      <c r="G9" s="6" t="s">
        <v>38</v>
      </c>
      <c r="H9" s="6" t="s">
        <v>24</v>
      </c>
      <c r="I9" s="5" t="s">
        <v>25</v>
      </c>
      <c r="J9" s="5" t="s">
        <v>26</v>
      </c>
      <c r="K9" s="7" t="n">
        <v>0.6</v>
      </c>
      <c r="L9" s="6"/>
      <c r="M9" s="4" t="s">
        <v>27</v>
      </c>
      <c r="N9" s="5" t="s">
        <v>39</v>
      </c>
    </row>
    <row r="10" customFormat="false" ht="23.85" hidden="false" customHeight="false" outlineLevel="0" collapsed="false">
      <c r="A10" s="4" t="s">
        <v>18</v>
      </c>
      <c r="B10" s="5" t="s">
        <v>40</v>
      </c>
      <c r="C10" s="6" t="s">
        <v>41</v>
      </c>
      <c r="D10" s="6"/>
      <c r="E10" s="4" t="s">
        <v>21</v>
      </c>
      <c r="F10" s="4" t="s">
        <v>42</v>
      </c>
      <c r="G10" s="6" t="s">
        <v>43</v>
      </c>
      <c r="H10" s="6" t="s">
        <v>24</v>
      </c>
      <c r="I10" s="5" t="s">
        <v>25</v>
      </c>
      <c r="J10" s="5" t="s">
        <v>26</v>
      </c>
      <c r="K10" s="7" t="n">
        <v>0.6</v>
      </c>
      <c r="L10" s="6"/>
      <c r="M10" s="4" t="s">
        <v>27</v>
      </c>
      <c r="N10" s="5" t="s">
        <v>44</v>
      </c>
    </row>
    <row r="11" customFormat="false" ht="113.4" hidden="false" customHeight="false" outlineLevel="0" collapsed="false">
      <c r="A11" s="4" t="s">
        <v>18</v>
      </c>
      <c r="B11" s="5" t="s">
        <v>45</v>
      </c>
      <c r="C11" s="6" t="s">
        <v>46</v>
      </c>
      <c r="D11" s="6"/>
      <c r="E11" s="4" t="s">
        <v>47</v>
      </c>
      <c r="F11" s="4" t="s">
        <v>48</v>
      </c>
      <c r="G11" s="6" t="s">
        <v>49</v>
      </c>
      <c r="H11" s="6" t="s">
        <v>50</v>
      </c>
      <c r="I11" s="5" t="s">
        <v>51</v>
      </c>
      <c r="J11" s="5" t="s">
        <v>26</v>
      </c>
      <c r="K11" s="7" t="n">
        <v>1</v>
      </c>
      <c r="L11" s="6"/>
      <c r="M11" s="4" t="s">
        <v>52</v>
      </c>
      <c r="N11" s="5" t="s">
        <v>53</v>
      </c>
    </row>
    <row r="12" customFormat="false" ht="113.4" hidden="false" customHeight="false" outlineLevel="0" collapsed="false">
      <c r="A12" s="4" t="s">
        <v>18</v>
      </c>
      <c r="B12" s="5" t="s">
        <v>54</v>
      </c>
      <c r="C12" s="6" t="s">
        <v>55</v>
      </c>
      <c r="D12" s="6"/>
      <c r="E12" s="4" t="s">
        <v>47</v>
      </c>
      <c r="F12" s="4" t="s">
        <v>48</v>
      </c>
      <c r="G12" s="6" t="s">
        <v>49</v>
      </c>
      <c r="H12" s="6" t="s">
        <v>50</v>
      </c>
      <c r="I12" s="5" t="s">
        <v>51</v>
      </c>
      <c r="J12" s="5" t="s">
        <v>26</v>
      </c>
      <c r="K12" s="7" t="n">
        <v>1</v>
      </c>
      <c r="L12" s="6"/>
      <c r="M12" s="4" t="s">
        <v>52</v>
      </c>
      <c r="N12" s="5" t="s">
        <v>56</v>
      </c>
    </row>
    <row r="13" customFormat="false" ht="113.4" hidden="false" customHeight="false" outlineLevel="0" collapsed="false">
      <c r="A13" s="4" t="s">
        <v>18</v>
      </c>
      <c r="B13" s="5" t="s">
        <v>57</v>
      </c>
      <c r="C13" s="6" t="s">
        <v>58</v>
      </c>
      <c r="D13" s="6"/>
      <c r="E13" s="4" t="s">
        <v>47</v>
      </c>
      <c r="F13" s="4" t="s">
        <v>48</v>
      </c>
      <c r="G13" s="6" t="s">
        <v>49</v>
      </c>
      <c r="H13" s="6" t="s">
        <v>50</v>
      </c>
      <c r="I13" s="5" t="s">
        <v>51</v>
      </c>
      <c r="J13" s="5" t="s">
        <v>26</v>
      </c>
      <c r="K13" s="7" t="n">
        <v>1</v>
      </c>
      <c r="L13" s="6"/>
      <c r="M13" s="4" t="s">
        <v>52</v>
      </c>
      <c r="N13" s="5" t="s">
        <v>59</v>
      </c>
    </row>
    <row r="14" customFormat="false" ht="113.4" hidden="false" customHeight="false" outlineLevel="0" collapsed="false">
      <c r="A14" s="4" t="s">
        <v>18</v>
      </c>
      <c r="B14" s="5" t="s">
        <v>60</v>
      </c>
      <c r="C14" s="6" t="s">
        <v>61</v>
      </c>
      <c r="D14" s="6"/>
      <c r="E14" s="4" t="s">
        <v>47</v>
      </c>
      <c r="F14" s="4" t="s">
        <v>48</v>
      </c>
      <c r="G14" s="6" t="s">
        <v>49</v>
      </c>
      <c r="H14" s="6" t="s">
        <v>50</v>
      </c>
      <c r="I14" s="5" t="s">
        <v>51</v>
      </c>
      <c r="J14" s="5" t="s">
        <v>26</v>
      </c>
      <c r="K14" s="7" t="n">
        <v>1</v>
      </c>
      <c r="L14" s="6"/>
      <c r="M14" s="4" t="s">
        <v>52</v>
      </c>
      <c r="N14" s="5" t="s">
        <v>62</v>
      </c>
    </row>
    <row r="15" customFormat="false" ht="113.4" hidden="false" customHeight="false" outlineLevel="0" collapsed="false">
      <c r="A15" s="4" t="s">
        <v>18</v>
      </c>
      <c r="B15" s="5" t="s">
        <v>63</v>
      </c>
      <c r="C15" s="6" t="s">
        <v>41</v>
      </c>
      <c r="D15" s="6"/>
      <c r="E15" s="4" t="s">
        <v>47</v>
      </c>
      <c r="F15" s="4" t="s">
        <v>48</v>
      </c>
      <c r="G15" s="6" t="s">
        <v>49</v>
      </c>
      <c r="H15" s="6" t="s">
        <v>50</v>
      </c>
      <c r="I15" s="5" t="s">
        <v>51</v>
      </c>
      <c r="J15" s="5" t="s">
        <v>26</v>
      </c>
      <c r="K15" s="7" t="n">
        <v>1</v>
      </c>
      <c r="L15" s="6"/>
      <c r="M15" s="4" t="s">
        <v>52</v>
      </c>
      <c r="N15" s="5" t="s">
        <v>64</v>
      </c>
    </row>
    <row r="16" customFormat="false" ht="113.4" hidden="false" customHeight="false" outlineLevel="0" collapsed="false">
      <c r="A16" s="4" t="s">
        <v>18</v>
      </c>
      <c r="B16" s="5" t="s">
        <v>65</v>
      </c>
      <c r="C16" s="6" t="s">
        <v>66</v>
      </c>
      <c r="D16" s="6"/>
      <c r="E16" s="4" t="s">
        <v>47</v>
      </c>
      <c r="F16" s="4" t="s">
        <v>48</v>
      </c>
      <c r="G16" s="6" t="s">
        <v>49</v>
      </c>
      <c r="H16" s="6" t="s">
        <v>50</v>
      </c>
      <c r="I16" s="5" t="s">
        <v>51</v>
      </c>
      <c r="J16" s="5" t="s">
        <v>26</v>
      </c>
      <c r="K16" s="7" t="n">
        <v>1</v>
      </c>
      <c r="L16" s="6"/>
      <c r="M16" s="4" t="s">
        <v>52</v>
      </c>
      <c r="N16" s="5" t="s">
        <v>67</v>
      </c>
    </row>
    <row r="17" customFormat="false" ht="113.4" hidden="false" customHeight="false" outlineLevel="0" collapsed="false">
      <c r="A17" s="4" t="s">
        <v>18</v>
      </c>
      <c r="B17" s="5" t="s">
        <v>68</v>
      </c>
      <c r="C17" s="6" t="s">
        <v>41</v>
      </c>
      <c r="D17" s="6"/>
      <c r="E17" s="4" t="s">
        <v>47</v>
      </c>
      <c r="F17" s="4" t="s">
        <v>48</v>
      </c>
      <c r="G17" s="6" t="s">
        <v>49</v>
      </c>
      <c r="H17" s="6" t="s">
        <v>50</v>
      </c>
      <c r="I17" s="5" t="s">
        <v>51</v>
      </c>
      <c r="J17" s="5" t="s">
        <v>26</v>
      </c>
      <c r="K17" s="7" t="n">
        <v>1</v>
      </c>
      <c r="L17" s="6"/>
      <c r="M17" s="4" t="s">
        <v>52</v>
      </c>
      <c r="N17" s="5" t="s">
        <v>69</v>
      </c>
    </row>
    <row r="18" customFormat="false" ht="113.4" hidden="false" customHeight="false" outlineLevel="0" collapsed="false">
      <c r="A18" s="4" t="s">
        <v>18</v>
      </c>
      <c r="B18" s="5" t="s">
        <v>70</v>
      </c>
      <c r="C18" s="6" t="s">
        <v>71</v>
      </c>
      <c r="D18" s="6"/>
      <c r="E18" s="4" t="s">
        <v>47</v>
      </c>
      <c r="F18" s="4" t="s">
        <v>48</v>
      </c>
      <c r="G18" s="6" t="s">
        <v>49</v>
      </c>
      <c r="H18" s="6" t="s">
        <v>50</v>
      </c>
      <c r="I18" s="5" t="s">
        <v>51</v>
      </c>
      <c r="J18" s="5" t="s">
        <v>26</v>
      </c>
      <c r="K18" s="7" t="n">
        <v>1</v>
      </c>
      <c r="L18" s="6"/>
      <c r="M18" s="4" t="s">
        <v>52</v>
      </c>
      <c r="N18" s="5" t="s">
        <v>72</v>
      </c>
    </row>
    <row r="19" customFormat="false" ht="113.4" hidden="false" customHeight="false" outlineLevel="0" collapsed="false">
      <c r="A19" s="4" t="s">
        <v>18</v>
      </c>
      <c r="B19" s="5" t="s">
        <v>73</v>
      </c>
      <c r="C19" s="6" t="s">
        <v>41</v>
      </c>
      <c r="D19" s="6"/>
      <c r="E19" s="4" t="s">
        <v>47</v>
      </c>
      <c r="F19" s="4" t="s">
        <v>48</v>
      </c>
      <c r="G19" s="6" t="s">
        <v>49</v>
      </c>
      <c r="H19" s="6" t="s">
        <v>50</v>
      </c>
      <c r="I19" s="5" t="s">
        <v>51</v>
      </c>
      <c r="J19" s="5" t="s">
        <v>26</v>
      </c>
      <c r="K19" s="7" t="n">
        <v>1</v>
      </c>
      <c r="L19" s="6"/>
      <c r="M19" s="4" t="s">
        <v>52</v>
      </c>
      <c r="N19" s="5" t="s">
        <v>74</v>
      </c>
    </row>
    <row r="20" customFormat="false" ht="113.4" hidden="false" customHeight="false" outlineLevel="0" collapsed="false">
      <c r="A20" s="4" t="s">
        <v>18</v>
      </c>
      <c r="B20" s="5" t="s">
        <v>75</v>
      </c>
      <c r="C20" s="6" t="s">
        <v>41</v>
      </c>
      <c r="D20" s="6"/>
      <c r="E20" s="4" t="s">
        <v>47</v>
      </c>
      <c r="F20" s="4" t="s">
        <v>48</v>
      </c>
      <c r="G20" s="6" t="s">
        <v>49</v>
      </c>
      <c r="H20" s="6" t="s">
        <v>50</v>
      </c>
      <c r="I20" s="5" t="s">
        <v>51</v>
      </c>
      <c r="J20" s="5" t="s">
        <v>26</v>
      </c>
      <c r="K20" s="7" t="n">
        <v>1</v>
      </c>
      <c r="L20" s="6"/>
      <c r="M20" s="4" t="s">
        <v>52</v>
      </c>
      <c r="N20" s="5" t="s">
        <v>76</v>
      </c>
    </row>
    <row r="21" customFormat="false" ht="113.4" hidden="false" customHeight="false" outlineLevel="0" collapsed="false">
      <c r="A21" s="4" t="s">
        <v>18</v>
      </c>
      <c r="B21" s="5" t="s">
        <v>77</v>
      </c>
      <c r="C21" s="6" t="s">
        <v>78</v>
      </c>
      <c r="D21" s="6" t="s">
        <v>79</v>
      </c>
      <c r="E21" s="4" t="s">
        <v>47</v>
      </c>
      <c r="F21" s="4" t="s">
        <v>48</v>
      </c>
      <c r="G21" s="6" t="s">
        <v>49</v>
      </c>
      <c r="H21" s="6" t="s">
        <v>50</v>
      </c>
      <c r="I21" s="5" t="s">
        <v>51</v>
      </c>
      <c r="J21" s="5" t="s">
        <v>26</v>
      </c>
      <c r="K21" s="7" t="n">
        <v>1</v>
      </c>
      <c r="L21" s="6"/>
      <c r="M21" s="4" t="s">
        <v>52</v>
      </c>
      <c r="N21" s="5" t="s">
        <v>80</v>
      </c>
    </row>
    <row r="22" customFormat="false" ht="113.4" hidden="false" customHeight="false" outlineLevel="0" collapsed="false">
      <c r="A22" s="4" t="s">
        <v>18</v>
      </c>
      <c r="B22" s="5" t="s">
        <v>77</v>
      </c>
      <c r="C22" s="6" t="s">
        <v>78</v>
      </c>
      <c r="D22" s="6" t="s">
        <v>81</v>
      </c>
      <c r="E22" s="4" t="s">
        <v>47</v>
      </c>
      <c r="F22" s="4" t="s">
        <v>48</v>
      </c>
      <c r="G22" s="6" t="s">
        <v>49</v>
      </c>
      <c r="H22" s="6" t="s">
        <v>50</v>
      </c>
      <c r="I22" s="5" t="s">
        <v>51</v>
      </c>
      <c r="J22" s="5" t="s">
        <v>26</v>
      </c>
      <c r="K22" s="7" t="n">
        <v>1</v>
      </c>
      <c r="L22" s="6"/>
      <c r="M22" s="4" t="s">
        <v>52</v>
      </c>
      <c r="N22" s="5" t="s">
        <v>80</v>
      </c>
    </row>
    <row r="23" customFormat="false" ht="113.4" hidden="false" customHeight="false" outlineLevel="0" collapsed="false">
      <c r="A23" s="4" t="s">
        <v>18</v>
      </c>
      <c r="B23" s="5" t="s">
        <v>82</v>
      </c>
      <c r="C23" s="6" t="s">
        <v>83</v>
      </c>
      <c r="D23" s="6"/>
      <c r="E23" s="4" t="s">
        <v>47</v>
      </c>
      <c r="F23" s="4" t="s">
        <v>48</v>
      </c>
      <c r="G23" s="6" t="s">
        <v>49</v>
      </c>
      <c r="H23" s="6" t="s">
        <v>50</v>
      </c>
      <c r="I23" s="5" t="s">
        <v>51</v>
      </c>
      <c r="J23" s="5" t="s">
        <v>26</v>
      </c>
      <c r="K23" s="7" t="n">
        <v>1</v>
      </c>
      <c r="L23" s="6"/>
      <c r="M23" s="4" t="s">
        <v>52</v>
      </c>
      <c r="N23" s="5" t="s">
        <v>84</v>
      </c>
    </row>
    <row r="24" customFormat="false" ht="113.4" hidden="false" customHeight="false" outlineLevel="0" collapsed="false">
      <c r="A24" s="4" t="s">
        <v>18</v>
      </c>
      <c r="B24" s="5" t="s">
        <v>85</v>
      </c>
      <c r="C24" s="6" t="s">
        <v>41</v>
      </c>
      <c r="D24" s="6"/>
      <c r="E24" s="4" t="s">
        <v>47</v>
      </c>
      <c r="F24" s="4" t="s">
        <v>48</v>
      </c>
      <c r="G24" s="6" t="s">
        <v>49</v>
      </c>
      <c r="H24" s="6" t="s">
        <v>50</v>
      </c>
      <c r="I24" s="5" t="s">
        <v>51</v>
      </c>
      <c r="J24" s="5" t="s">
        <v>26</v>
      </c>
      <c r="K24" s="7" t="n">
        <v>1</v>
      </c>
      <c r="L24" s="6"/>
      <c r="M24" s="4" t="s">
        <v>52</v>
      </c>
      <c r="N24" s="5" t="s">
        <v>86</v>
      </c>
    </row>
    <row r="25" customFormat="false" ht="91" hidden="false" customHeight="false" outlineLevel="0" collapsed="false">
      <c r="A25" s="4" t="s">
        <v>18</v>
      </c>
      <c r="B25" s="5" t="s">
        <v>87</v>
      </c>
      <c r="C25" s="6" t="s">
        <v>88</v>
      </c>
      <c r="D25" s="6"/>
      <c r="E25" s="4" t="s">
        <v>21</v>
      </c>
      <c r="F25" s="4" t="s">
        <v>89</v>
      </c>
      <c r="G25" s="6" t="s">
        <v>90</v>
      </c>
      <c r="H25" s="6" t="s">
        <v>24</v>
      </c>
      <c r="I25" s="5" t="s">
        <v>25</v>
      </c>
      <c r="J25" s="5" t="s">
        <v>26</v>
      </c>
      <c r="K25" s="7" t="n">
        <v>0.6</v>
      </c>
      <c r="L25" s="6"/>
      <c r="M25" s="4" t="s">
        <v>27</v>
      </c>
      <c r="N25" s="5" t="s">
        <v>91</v>
      </c>
    </row>
    <row r="26" customFormat="false" ht="113.4" hidden="false" customHeight="false" outlineLevel="0" collapsed="false">
      <c r="A26" s="4" t="s">
        <v>18</v>
      </c>
      <c r="B26" s="5" t="s">
        <v>92</v>
      </c>
      <c r="C26" s="6" t="s">
        <v>93</v>
      </c>
      <c r="D26" s="6"/>
      <c r="E26" s="4" t="s">
        <v>47</v>
      </c>
      <c r="F26" s="4" t="s">
        <v>48</v>
      </c>
      <c r="G26" s="6" t="s">
        <v>49</v>
      </c>
      <c r="H26" s="6" t="s">
        <v>50</v>
      </c>
      <c r="I26" s="5" t="s">
        <v>51</v>
      </c>
      <c r="J26" s="5" t="s">
        <v>26</v>
      </c>
      <c r="K26" s="7" t="n">
        <v>1</v>
      </c>
      <c r="L26" s="6"/>
      <c r="M26" s="4" t="s">
        <v>52</v>
      </c>
      <c r="N26" s="5" t="s">
        <v>94</v>
      </c>
    </row>
    <row r="27" customFormat="false" ht="23.85" hidden="false" customHeight="false" outlineLevel="0" collapsed="false">
      <c r="A27" s="4" t="s">
        <v>18</v>
      </c>
      <c r="B27" s="5" t="s">
        <v>95</v>
      </c>
      <c r="C27" s="6" t="s">
        <v>41</v>
      </c>
      <c r="D27" s="6"/>
      <c r="E27" s="4" t="s">
        <v>47</v>
      </c>
      <c r="F27" s="4"/>
      <c r="G27" s="6"/>
      <c r="H27" s="6" t="s">
        <v>50</v>
      </c>
      <c r="I27" s="5" t="s">
        <v>51</v>
      </c>
      <c r="J27" s="5" t="s">
        <v>26</v>
      </c>
      <c r="K27" s="7" t="n">
        <v>1</v>
      </c>
      <c r="L27" s="6"/>
      <c r="M27" s="4" t="s">
        <v>52</v>
      </c>
      <c r="N27" s="5" t="s">
        <v>96</v>
      </c>
    </row>
    <row r="28" customFormat="false" ht="113.4" hidden="false" customHeight="false" outlineLevel="0" collapsed="false">
      <c r="A28" s="4" t="s">
        <v>18</v>
      </c>
      <c r="B28" s="5" t="s">
        <v>97</v>
      </c>
      <c r="C28" s="6" t="s">
        <v>98</v>
      </c>
      <c r="D28" s="6"/>
      <c r="E28" s="4" t="s">
        <v>47</v>
      </c>
      <c r="F28" s="4" t="s">
        <v>48</v>
      </c>
      <c r="G28" s="6" t="s">
        <v>49</v>
      </c>
      <c r="H28" s="6" t="s">
        <v>50</v>
      </c>
      <c r="I28" s="5" t="s">
        <v>51</v>
      </c>
      <c r="J28" s="5" t="s">
        <v>26</v>
      </c>
      <c r="K28" s="7" t="n">
        <v>1</v>
      </c>
      <c r="L28" s="6"/>
      <c r="M28" s="4" t="s">
        <v>52</v>
      </c>
      <c r="N28" s="5" t="s">
        <v>99</v>
      </c>
    </row>
    <row r="29" customFormat="false" ht="113.4" hidden="false" customHeight="false" outlineLevel="0" collapsed="false">
      <c r="A29" s="4" t="s">
        <v>18</v>
      </c>
      <c r="B29" s="5" t="s">
        <v>100</v>
      </c>
      <c r="C29" s="6" t="s">
        <v>41</v>
      </c>
      <c r="D29" s="6"/>
      <c r="E29" s="4" t="s">
        <v>47</v>
      </c>
      <c r="F29" s="4" t="s">
        <v>48</v>
      </c>
      <c r="G29" s="6" t="s">
        <v>49</v>
      </c>
      <c r="H29" s="6" t="s">
        <v>50</v>
      </c>
      <c r="I29" s="5" t="s">
        <v>51</v>
      </c>
      <c r="J29" s="5" t="s">
        <v>26</v>
      </c>
      <c r="K29" s="7" t="n">
        <v>1</v>
      </c>
      <c r="L29" s="6"/>
      <c r="M29" s="4" t="s">
        <v>52</v>
      </c>
      <c r="N29" s="5" t="s">
        <v>101</v>
      </c>
    </row>
    <row r="30" customFormat="false" ht="113.4" hidden="false" customHeight="false" outlineLevel="0" collapsed="false">
      <c r="A30" s="4" t="s">
        <v>18</v>
      </c>
      <c r="B30" s="5" t="s">
        <v>102</v>
      </c>
      <c r="C30" s="6" t="s">
        <v>41</v>
      </c>
      <c r="D30" s="6"/>
      <c r="E30" s="4" t="s">
        <v>47</v>
      </c>
      <c r="F30" s="4" t="s">
        <v>48</v>
      </c>
      <c r="G30" s="6" t="s">
        <v>49</v>
      </c>
      <c r="H30" s="6" t="s">
        <v>50</v>
      </c>
      <c r="I30" s="5" t="s">
        <v>51</v>
      </c>
      <c r="J30" s="5" t="s">
        <v>26</v>
      </c>
      <c r="K30" s="7" t="n">
        <v>1</v>
      </c>
      <c r="L30" s="6"/>
      <c r="M30" s="4" t="s">
        <v>52</v>
      </c>
      <c r="N30" s="5" t="s">
        <v>103</v>
      </c>
    </row>
    <row r="31" customFormat="false" ht="124.6" hidden="false" customHeight="false" outlineLevel="0" collapsed="false">
      <c r="A31" s="4" t="s">
        <v>18</v>
      </c>
      <c r="B31" s="5" t="s">
        <v>104</v>
      </c>
      <c r="C31" s="6" t="s">
        <v>105</v>
      </c>
      <c r="D31" s="6" t="s">
        <v>106</v>
      </c>
      <c r="E31" s="4" t="s">
        <v>47</v>
      </c>
      <c r="F31" s="4" t="s">
        <v>107</v>
      </c>
      <c r="G31" s="6" t="s">
        <v>108</v>
      </c>
      <c r="H31" s="6" t="s">
        <v>50</v>
      </c>
      <c r="I31" s="5" t="s">
        <v>51</v>
      </c>
      <c r="J31" s="5" t="s">
        <v>26</v>
      </c>
      <c r="K31" s="7" t="n">
        <v>1</v>
      </c>
      <c r="L31" s="6"/>
      <c r="M31" s="4" t="s">
        <v>52</v>
      </c>
      <c r="N31" s="5" t="s">
        <v>109</v>
      </c>
    </row>
    <row r="32" customFormat="false" ht="124.6" hidden="false" customHeight="false" outlineLevel="0" collapsed="false">
      <c r="A32" s="4" t="s">
        <v>18</v>
      </c>
      <c r="B32" s="5" t="s">
        <v>104</v>
      </c>
      <c r="C32" s="6" t="s">
        <v>105</v>
      </c>
      <c r="D32" s="6" t="s">
        <v>110</v>
      </c>
      <c r="E32" s="4" t="s">
        <v>47</v>
      </c>
      <c r="F32" s="4" t="s">
        <v>107</v>
      </c>
      <c r="G32" s="6" t="s">
        <v>108</v>
      </c>
      <c r="H32" s="6" t="s">
        <v>50</v>
      </c>
      <c r="I32" s="5" t="s">
        <v>51</v>
      </c>
      <c r="J32" s="5" t="s">
        <v>26</v>
      </c>
      <c r="K32" s="7" t="n">
        <v>1</v>
      </c>
      <c r="L32" s="6"/>
      <c r="M32" s="4" t="s">
        <v>52</v>
      </c>
      <c r="N32" s="5" t="s">
        <v>109</v>
      </c>
    </row>
    <row r="33" customFormat="false" ht="124.6" hidden="false" customHeight="false" outlineLevel="0" collapsed="false">
      <c r="A33" s="4" t="s">
        <v>18</v>
      </c>
      <c r="B33" s="5" t="s">
        <v>104</v>
      </c>
      <c r="C33" s="6" t="s">
        <v>105</v>
      </c>
      <c r="D33" s="6" t="s">
        <v>111</v>
      </c>
      <c r="E33" s="4" t="s">
        <v>47</v>
      </c>
      <c r="F33" s="4" t="s">
        <v>107</v>
      </c>
      <c r="G33" s="6" t="s">
        <v>108</v>
      </c>
      <c r="H33" s="6" t="s">
        <v>50</v>
      </c>
      <c r="I33" s="5" t="s">
        <v>51</v>
      </c>
      <c r="J33" s="5" t="s">
        <v>26</v>
      </c>
      <c r="K33" s="7" t="n">
        <v>1</v>
      </c>
      <c r="L33" s="6"/>
      <c r="M33" s="4" t="s">
        <v>52</v>
      </c>
      <c r="N33" s="5" t="s">
        <v>109</v>
      </c>
    </row>
    <row r="34" customFormat="false" ht="124.6" hidden="false" customHeight="false" outlineLevel="0" collapsed="false">
      <c r="A34" s="4" t="s">
        <v>18</v>
      </c>
      <c r="B34" s="5" t="s">
        <v>104</v>
      </c>
      <c r="C34" s="6" t="s">
        <v>105</v>
      </c>
      <c r="D34" s="6" t="s">
        <v>112</v>
      </c>
      <c r="E34" s="4" t="s">
        <v>47</v>
      </c>
      <c r="F34" s="4" t="s">
        <v>107</v>
      </c>
      <c r="G34" s="6" t="s">
        <v>108</v>
      </c>
      <c r="H34" s="6" t="s">
        <v>50</v>
      </c>
      <c r="I34" s="5" t="s">
        <v>51</v>
      </c>
      <c r="J34" s="5" t="s">
        <v>26</v>
      </c>
      <c r="K34" s="7" t="n">
        <v>1</v>
      </c>
      <c r="L34" s="6"/>
      <c r="M34" s="4" t="s">
        <v>52</v>
      </c>
      <c r="N34" s="5" t="s">
        <v>109</v>
      </c>
    </row>
    <row r="35" customFormat="false" ht="124.6" hidden="false" customHeight="false" outlineLevel="0" collapsed="false">
      <c r="A35" s="4" t="s">
        <v>18</v>
      </c>
      <c r="B35" s="5" t="s">
        <v>104</v>
      </c>
      <c r="C35" s="6" t="s">
        <v>105</v>
      </c>
      <c r="D35" s="6" t="s">
        <v>113</v>
      </c>
      <c r="E35" s="4" t="s">
        <v>47</v>
      </c>
      <c r="F35" s="4" t="s">
        <v>107</v>
      </c>
      <c r="G35" s="6" t="s">
        <v>108</v>
      </c>
      <c r="H35" s="6" t="s">
        <v>50</v>
      </c>
      <c r="I35" s="5" t="s">
        <v>51</v>
      </c>
      <c r="J35" s="5" t="s">
        <v>26</v>
      </c>
      <c r="K35" s="7" t="n">
        <v>1</v>
      </c>
      <c r="L35" s="6"/>
      <c r="M35" s="4" t="s">
        <v>52</v>
      </c>
      <c r="N35" s="5" t="s">
        <v>109</v>
      </c>
    </row>
    <row r="36" customFormat="false" ht="124.6" hidden="false" customHeight="false" outlineLevel="0" collapsed="false">
      <c r="A36" s="4" t="s">
        <v>18</v>
      </c>
      <c r="B36" s="5" t="s">
        <v>104</v>
      </c>
      <c r="C36" s="6" t="s">
        <v>105</v>
      </c>
      <c r="D36" s="6" t="s">
        <v>114</v>
      </c>
      <c r="E36" s="4" t="s">
        <v>47</v>
      </c>
      <c r="F36" s="4" t="s">
        <v>107</v>
      </c>
      <c r="G36" s="6" t="s">
        <v>108</v>
      </c>
      <c r="H36" s="6" t="s">
        <v>50</v>
      </c>
      <c r="I36" s="5" t="s">
        <v>51</v>
      </c>
      <c r="J36" s="5" t="s">
        <v>26</v>
      </c>
      <c r="K36" s="7" t="n">
        <v>1</v>
      </c>
      <c r="L36" s="6"/>
      <c r="M36" s="4" t="s">
        <v>52</v>
      </c>
      <c r="N36" s="5" t="s">
        <v>109</v>
      </c>
    </row>
    <row r="37" customFormat="false" ht="124.6" hidden="false" customHeight="false" outlineLevel="0" collapsed="false">
      <c r="A37" s="4" t="s">
        <v>18</v>
      </c>
      <c r="B37" s="5" t="s">
        <v>115</v>
      </c>
      <c r="C37" s="6" t="s">
        <v>116</v>
      </c>
      <c r="D37" s="6" t="s">
        <v>117</v>
      </c>
      <c r="E37" s="4" t="s">
        <v>47</v>
      </c>
      <c r="F37" s="4" t="s">
        <v>107</v>
      </c>
      <c r="G37" s="6" t="s">
        <v>108</v>
      </c>
      <c r="H37" s="6" t="s">
        <v>50</v>
      </c>
      <c r="I37" s="5" t="s">
        <v>51</v>
      </c>
      <c r="J37" s="5" t="s">
        <v>26</v>
      </c>
      <c r="K37" s="7" t="n">
        <v>1</v>
      </c>
      <c r="L37" s="6"/>
      <c r="M37" s="4" t="s">
        <v>52</v>
      </c>
      <c r="N37" s="5" t="s">
        <v>118</v>
      </c>
    </row>
    <row r="38" customFormat="false" ht="124.6" hidden="false" customHeight="false" outlineLevel="0" collapsed="false">
      <c r="A38" s="4" t="s">
        <v>18</v>
      </c>
      <c r="B38" s="5" t="s">
        <v>115</v>
      </c>
      <c r="C38" s="6" t="s">
        <v>116</v>
      </c>
      <c r="D38" s="6" t="s">
        <v>119</v>
      </c>
      <c r="E38" s="4" t="s">
        <v>47</v>
      </c>
      <c r="F38" s="4" t="s">
        <v>107</v>
      </c>
      <c r="G38" s="6" t="s">
        <v>108</v>
      </c>
      <c r="H38" s="6" t="s">
        <v>50</v>
      </c>
      <c r="I38" s="5" t="s">
        <v>51</v>
      </c>
      <c r="J38" s="5" t="s">
        <v>26</v>
      </c>
      <c r="K38" s="7" t="n">
        <v>1</v>
      </c>
      <c r="L38" s="6"/>
      <c r="M38" s="4" t="s">
        <v>52</v>
      </c>
      <c r="N38" s="5" t="s">
        <v>118</v>
      </c>
    </row>
    <row r="39" customFormat="false" ht="124.6" hidden="false" customHeight="false" outlineLevel="0" collapsed="false">
      <c r="A39" s="4" t="s">
        <v>18</v>
      </c>
      <c r="B39" s="5" t="s">
        <v>115</v>
      </c>
      <c r="C39" s="6" t="s">
        <v>116</v>
      </c>
      <c r="D39" s="6" t="s">
        <v>120</v>
      </c>
      <c r="E39" s="4" t="s">
        <v>47</v>
      </c>
      <c r="F39" s="4" t="s">
        <v>107</v>
      </c>
      <c r="G39" s="6" t="s">
        <v>108</v>
      </c>
      <c r="H39" s="6" t="s">
        <v>50</v>
      </c>
      <c r="I39" s="5" t="s">
        <v>51</v>
      </c>
      <c r="J39" s="5" t="s">
        <v>26</v>
      </c>
      <c r="K39" s="7" t="n">
        <v>1</v>
      </c>
      <c r="L39" s="6"/>
      <c r="M39" s="4" t="s">
        <v>52</v>
      </c>
      <c r="N39" s="5" t="s">
        <v>118</v>
      </c>
    </row>
    <row r="40" customFormat="false" ht="124.6" hidden="false" customHeight="false" outlineLevel="0" collapsed="false">
      <c r="A40" s="4" t="s">
        <v>18</v>
      </c>
      <c r="B40" s="5" t="s">
        <v>115</v>
      </c>
      <c r="C40" s="6" t="s">
        <v>116</v>
      </c>
      <c r="D40" s="6" t="s">
        <v>121</v>
      </c>
      <c r="E40" s="4" t="s">
        <v>47</v>
      </c>
      <c r="F40" s="4" t="s">
        <v>107</v>
      </c>
      <c r="G40" s="6" t="s">
        <v>108</v>
      </c>
      <c r="H40" s="6" t="s">
        <v>50</v>
      </c>
      <c r="I40" s="5" t="s">
        <v>51</v>
      </c>
      <c r="J40" s="5" t="s">
        <v>26</v>
      </c>
      <c r="K40" s="7" t="n">
        <v>1</v>
      </c>
      <c r="L40" s="6"/>
      <c r="M40" s="4" t="s">
        <v>52</v>
      </c>
      <c r="N40" s="5" t="s">
        <v>118</v>
      </c>
    </row>
    <row r="41" customFormat="false" ht="124.6" hidden="false" customHeight="false" outlineLevel="0" collapsed="false">
      <c r="A41" s="4" t="s">
        <v>18</v>
      </c>
      <c r="B41" s="5" t="s">
        <v>115</v>
      </c>
      <c r="C41" s="6" t="s">
        <v>116</v>
      </c>
      <c r="D41" s="6" t="s">
        <v>122</v>
      </c>
      <c r="E41" s="4" t="s">
        <v>47</v>
      </c>
      <c r="F41" s="4" t="s">
        <v>107</v>
      </c>
      <c r="G41" s="6" t="s">
        <v>108</v>
      </c>
      <c r="H41" s="6" t="s">
        <v>50</v>
      </c>
      <c r="I41" s="5" t="s">
        <v>51</v>
      </c>
      <c r="J41" s="5" t="s">
        <v>26</v>
      </c>
      <c r="K41" s="7" t="n">
        <v>1</v>
      </c>
      <c r="L41" s="6"/>
      <c r="M41" s="4" t="s">
        <v>52</v>
      </c>
      <c r="N41" s="5" t="s">
        <v>118</v>
      </c>
    </row>
    <row r="42" customFormat="false" ht="124.6" hidden="false" customHeight="false" outlineLevel="0" collapsed="false">
      <c r="A42" s="4" t="s">
        <v>18</v>
      </c>
      <c r="B42" s="5" t="s">
        <v>115</v>
      </c>
      <c r="C42" s="6" t="s">
        <v>116</v>
      </c>
      <c r="D42" s="6" t="s">
        <v>123</v>
      </c>
      <c r="E42" s="4" t="s">
        <v>47</v>
      </c>
      <c r="F42" s="4" t="s">
        <v>107</v>
      </c>
      <c r="G42" s="6" t="s">
        <v>108</v>
      </c>
      <c r="H42" s="6" t="s">
        <v>50</v>
      </c>
      <c r="I42" s="5" t="s">
        <v>51</v>
      </c>
      <c r="J42" s="5" t="s">
        <v>26</v>
      </c>
      <c r="K42" s="7" t="n">
        <v>1</v>
      </c>
      <c r="L42" s="6"/>
      <c r="M42" s="4" t="s">
        <v>52</v>
      </c>
      <c r="N42" s="5" t="s">
        <v>118</v>
      </c>
    </row>
    <row r="43" customFormat="false" ht="124.6" hidden="false" customHeight="false" outlineLevel="0" collapsed="false">
      <c r="A43" s="4" t="s">
        <v>18</v>
      </c>
      <c r="B43" s="5" t="s">
        <v>124</v>
      </c>
      <c r="C43" s="6" t="s">
        <v>125</v>
      </c>
      <c r="D43" s="6" t="s">
        <v>126</v>
      </c>
      <c r="E43" s="4" t="s">
        <v>47</v>
      </c>
      <c r="F43" s="4" t="s">
        <v>107</v>
      </c>
      <c r="G43" s="6" t="s">
        <v>108</v>
      </c>
      <c r="H43" s="6" t="s">
        <v>50</v>
      </c>
      <c r="I43" s="5" t="s">
        <v>51</v>
      </c>
      <c r="J43" s="5" t="s">
        <v>26</v>
      </c>
      <c r="K43" s="7" t="n">
        <v>1</v>
      </c>
      <c r="L43" s="6"/>
      <c r="M43" s="4" t="s">
        <v>52</v>
      </c>
      <c r="N43" s="5" t="s">
        <v>127</v>
      </c>
    </row>
    <row r="44" customFormat="false" ht="124.6" hidden="false" customHeight="false" outlineLevel="0" collapsed="false">
      <c r="A44" s="4" t="s">
        <v>18</v>
      </c>
      <c r="B44" s="5" t="s">
        <v>124</v>
      </c>
      <c r="C44" s="6" t="s">
        <v>125</v>
      </c>
      <c r="D44" s="6" t="s">
        <v>128</v>
      </c>
      <c r="E44" s="4" t="s">
        <v>47</v>
      </c>
      <c r="F44" s="4" t="s">
        <v>107</v>
      </c>
      <c r="G44" s="6" t="s">
        <v>108</v>
      </c>
      <c r="H44" s="6" t="s">
        <v>50</v>
      </c>
      <c r="I44" s="5" t="s">
        <v>51</v>
      </c>
      <c r="J44" s="5" t="s">
        <v>26</v>
      </c>
      <c r="K44" s="7" t="n">
        <v>1</v>
      </c>
      <c r="L44" s="6"/>
      <c r="M44" s="4" t="s">
        <v>52</v>
      </c>
      <c r="N44" s="5" t="s">
        <v>127</v>
      </c>
    </row>
    <row r="45" customFormat="false" ht="124.6" hidden="false" customHeight="false" outlineLevel="0" collapsed="false">
      <c r="A45" s="4" t="s">
        <v>18</v>
      </c>
      <c r="B45" s="5" t="s">
        <v>124</v>
      </c>
      <c r="C45" s="6" t="s">
        <v>125</v>
      </c>
      <c r="D45" s="6" t="s">
        <v>129</v>
      </c>
      <c r="E45" s="4" t="s">
        <v>47</v>
      </c>
      <c r="F45" s="4" t="s">
        <v>107</v>
      </c>
      <c r="G45" s="6" t="s">
        <v>108</v>
      </c>
      <c r="H45" s="6" t="s">
        <v>50</v>
      </c>
      <c r="I45" s="5" t="s">
        <v>51</v>
      </c>
      <c r="J45" s="5" t="s">
        <v>26</v>
      </c>
      <c r="K45" s="7" t="n">
        <v>1</v>
      </c>
      <c r="L45" s="6"/>
      <c r="M45" s="4" t="s">
        <v>52</v>
      </c>
      <c r="N45" s="5" t="s">
        <v>127</v>
      </c>
    </row>
    <row r="46" customFormat="false" ht="124.6" hidden="false" customHeight="false" outlineLevel="0" collapsed="false">
      <c r="A46" s="4" t="s">
        <v>18</v>
      </c>
      <c r="B46" s="5" t="s">
        <v>124</v>
      </c>
      <c r="C46" s="6" t="s">
        <v>125</v>
      </c>
      <c r="D46" s="6" t="s">
        <v>130</v>
      </c>
      <c r="E46" s="4" t="s">
        <v>47</v>
      </c>
      <c r="F46" s="4" t="s">
        <v>107</v>
      </c>
      <c r="G46" s="6" t="s">
        <v>108</v>
      </c>
      <c r="H46" s="6" t="s">
        <v>50</v>
      </c>
      <c r="I46" s="5" t="s">
        <v>51</v>
      </c>
      <c r="J46" s="5" t="s">
        <v>26</v>
      </c>
      <c r="K46" s="7" t="n">
        <v>1</v>
      </c>
      <c r="L46" s="6"/>
      <c r="M46" s="4" t="s">
        <v>52</v>
      </c>
      <c r="N46" s="5" t="s">
        <v>127</v>
      </c>
    </row>
    <row r="47" customFormat="false" ht="124.6" hidden="false" customHeight="false" outlineLevel="0" collapsed="false">
      <c r="A47" s="4" t="s">
        <v>18</v>
      </c>
      <c r="B47" s="5" t="s">
        <v>124</v>
      </c>
      <c r="C47" s="6" t="s">
        <v>125</v>
      </c>
      <c r="D47" s="6" t="s">
        <v>131</v>
      </c>
      <c r="E47" s="4" t="s">
        <v>47</v>
      </c>
      <c r="F47" s="4" t="s">
        <v>107</v>
      </c>
      <c r="G47" s="6" t="s">
        <v>108</v>
      </c>
      <c r="H47" s="6" t="s">
        <v>50</v>
      </c>
      <c r="I47" s="5" t="s">
        <v>51</v>
      </c>
      <c r="J47" s="5" t="s">
        <v>26</v>
      </c>
      <c r="K47" s="7" t="n">
        <v>1</v>
      </c>
      <c r="L47" s="6"/>
      <c r="M47" s="4" t="s">
        <v>52</v>
      </c>
      <c r="N47" s="5" t="s">
        <v>127</v>
      </c>
    </row>
    <row r="48" customFormat="false" ht="68.65" hidden="false" customHeight="false" outlineLevel="0" collapsed="false">
      <c r="A48" s="4" t="s">
        <v>18</v>
      </c>
      <c r="B48" s="5" t="s">
        <v>132</v>
      </c>
      <c r="C48" s="6" t="s">
        <v>133</v>
      </c>
      <c r="D48" s="6" t="s">
        <v>134</v>
      </c>
      <c r="E48" s="4" t="s">
        <v>135</v>
      </c>
      <c r="F48" s="4" t="s">
        <v>136</v>
      </c>
      <c r="G48" s="6" t="s">
        <v>137</v>
      </c>
      <c r="H48" s="6" t="s">
        <v>138</v>
      </c>
      <c r="I48" s="5" t="s">
        <v>139</v>
      </c>
      <c r="J48" s="5" t="s">
        <v>26</v>
      </c>
      <c r="K48" s="7" t="n">
        <v>0.6</v>
      </c>
      <c r="L48" s="6"/>
      <c r="M48" s="4" t="s">
        <v>140</v>
      </c>
      <c r="N48" s="5" t="s">
        <v>141</v>
      </c>
    </row>
    <row r="49" customFormat="false" ht="68.65" hidden="false" customHeight="false" outlineLevel="0" collapsed="false">
      <c r="A49" s="4" t="s">
        <v>18</v>
      </c>
      <c r="B49" s="5" t="s">
        <v>132</v>
      </c>
      <c r="C49" s="6" t="s">
        <v>133</v>
      </c>
      <c r="D49" s="6" t="s">
        <v>142</v>
      </c>
      <c r="E49" s="4" t="s">
        <v>135</v>
      </c>
      <c r="F49" s="4" t="s">
        <v>136</v>
      </c>
      <c r="G49" s="6" t="s">
        <v>137</v>
      </c>
      <c r="H49" s="6" t="s">
        <v>138</v>
      </c>
      <c r="I49" s="5" t="s">
        <v>139</v>
      </c>
      <c r="J49" s="5" t="s">
        <v>26</v>
      </c>
      <c r="K49" s="7" t="n">
        <v>0.6</v>
      </c>
      <c r="L49" s="6"/>
      <c r="M49" s="4" t="s">
        <v>140</v>
      </c>
      <c r="N49" s="5" t="s">
        <v>141</v>
      </c>
    </row>
    <row r="50" customFormat="false" ht="68.65" hidden="false" customHeight="false" outlineLevel="0" collapsed="false">
      <c r="A50" s="4" t="s">
        <v>18</v>
      </c>
      <c r="B50" s="5" t="s">
        <v>143</v>
      </c>
      <c r="C50" s="6" t="s">
        <v>144</v>
      </c>
      <c r="D50" s="6" t="s">
        <v>145</v>
      </c>
      <c r="E50" s="4" t="s">
        <v>135</v>
      </c>
      <c r="F50" s="4" t="s">
        <v>136</v>
      </c>
      <c r="G50" s="6" t="s">
        <v>137</v>
      </c>
      <c r="H50" s="6" t="s">
        <v>138</v>
      </c>
      <c r="I50" s="5" t="s">
        <v>139</v>
      </c>
      <c r="J50" s="5" t="s">
        <v>26</v>
      </c>
      <c r="K50" s="7" t="n">
        <v>0.6</v>
      </c>
      <c r="L50" s="6"/>
      <c r="M50" s="4" t="s">
        <v>140</v>
      </c>
      <c r="N50" s="5" t="s">
        <v>146</v>
      </c>
    </row>
    <row r="51" customFormat="false" ht="68.65" hidden="false" customHeight="false" outlineLevel="0" collapsed="false">
      <c r="A51" s="4" t="s">
        <v>18</v>
      </c>
      <c r="B51" s="5" t="s">
        <v>143</v>
      </c>
      <c r="C51" s="6" t="s">
        <v>144</v>
      </c>
      <c r="D51" s="6" t="s">
        <v>147</v>
      </c>
      <c r="E51" s="4" t="s">
        <v>135</v>
      </c>
      <c r="F51" s="4" t="s">
        <v>136</v>
      </c>
      <c r="G51" s="6" t="s">
        <v>137</v>
      </c>
      <c r="H51" s="6" t="s">
        <v>138</v>
      </c>
      <c r="I51" s="5" t="s">
        <v>139</v>
      </c>
      <c r="J51" s="5" t="s">
        <v>26</v>
      </c>
      <c r="K51" s="7" t="n">
        <v>0.6</v>
      </c>
      <c r="L51" s="6"/>
      <c r="M51" s="4" t="s">
        <v>140</v>
      </c>
      <c r="N51" s="5" t="s">
        <v>146</v>
      </c>
    </row>
    <row r="52" customFormat="false" ht="68.65" hidden="false" customHeight="false" outlineLevel="0" collapsed="false">
      <c r="A52" s="4" t="s">
        <v>18</v>
      </c>
      <c r="B52" s="5" t="s">
        <v>143</v>
      </c>
      <c r="C52" s="6" t="s">
        <v>144</v>
      </c>
      <c r="D52" s="6" t="s">
        <v>148</v>
      </c>
      <c r="E52" s="4" t="s">
        <v>135</v>
      </c>
      <c r="F52" s="4" t="s">
        <v>136</v>
      </c>
      <c r="G52" s="6" t="s">
        <v>137</v>
      </c>
      <c r="H52" s="6" t="s">
        <v>138</v>
      </c>
      <c r="I52" s="5" t="s">
        <v>139</v>
      </c>
      <c r="J52" s="5" t="s">
        <v>26</v>
      </c>
      <c r="K52" s="7" t="n">
        <v>0.6</v>
      </c>
      <c r="L52" s="6"/>
      <c r="M52" s="4" t="s">
        <v>140</v>
      </c>
      <c r="N52" s="5" t="s">
        <v>146</v>
      </c>
    </row>
    <row r="53" customFormat="false" ht="68.65" hidden="false" customHeight="false" outlineLevel="0" collapsed="false">
      <c r="A53" s="4" t="s">
        <v>18</v>
      </c>
      <c r="B53" s="5" t="s">
        <v>149</v>
      </c>
      <c r="C53" s="6" t="s">
        <v>41</v>
      </c>
      <c r="D53" s="6"/>
      <c r="E53" s="4" t="s">
        <v>135</v>
      </c>
      <c r="F53" s="4" t="s">
        <v>136</v>
      </c>
      <c r="G53" s="6" t="s">
        <v>137</v>
      </c>
      <c r="H53" s="6" t="s">
        <v>138</v>
      </c>
      <c r="I53" s="5" t="s">
        <v>139</v>
      </c>
      <c r="J53" s="5" t="s">
        <v>26</v>
      </c>
      <c r="K53" s="7" t="n">
        <v>0.6</v>
      </c>
      <c r="L53" s="6"/>
      <c r="M53" s="4" t="s">
        <v>140</v>
      </c>
      <c r="N53" s="5" t="s">
        <v>150</v>
      </c>
    </row>
    <row r="54" customFormat="false" ht="68.65" hidden="false" customHeight="false" outlineLevel="0" collapsed="false">
      <c r="A54" s="4" t="s">
        <v>18</v>
      </c>
      <c r="B54" s="5" t="s">
        <v>151</v>
      </c>
      <c r="C54" s="6" t="s">
        <v>41</v>
      </c>
      <c r="D54" s="6"/>
      <c r="E54" s="4" t="s">
        <v>135</v>
      </c>
      <c r="F54" s="4" t="s">
        <v>136</v>
      </c>
      <c r="G54" s="6" t="s">
        <v>137</v>
      </c>
      <c r="H54" s="6" t="s">
        <v>138</v>
      </c>
      <c r="I54" s="5" t="s">
        <v>139</v>
      </c>
      <c r="J54" s="5" t="s">
        <v>26</v>
      </c>
      <c r="K54" s="7" t="n">
        <v>0.6</v>
      </c>
      <c r="L54" s="6"/>
      <c r="M54" s="4" t="s">
        <v>140</v>
      </c>
      <c r="N54" s="5" t="s">
        <v>152</v>
      </c>
    </row>
    <row r="55" customFormat="false" ht="68.65" hidden="false" customHeight="false" outlineLevel="0" collapsed="false">
      <c r="A55" s="4" t="s">
        <v>18</v>
      </c>
      <c r="B55" s="5" t="s">
        <v>153</v>
      </c>
      <c r="C55" s="6" t="s">
        <v>41</v>
      </c>
      <c r="D55" s="6"/>
      <c r="E55" s="4" t="s">
        <v>135</v>
      </c>
      <c r="F55" s="4" t="s">
        <v>136</v>
      </c>
      <c r="G55" s="6" t="s">
        <v>137</v>
      </c>
      <c r="H55" s="6" t="s">
        <v>138</v>
      </c>
      <c r="I55" s="5" t="s">
        <v>139</v>
      </c>
      <c r="J55" s="5" t="s">
        <v>26</v>
      </c>
      <c r="K55" s="7" t="n">
        <v>0.6</v>
      </c>
      <c r="L55" s="6"/>
      <c r="M55" s="4" t="s">
        <v>140</v>
      </c>
      <c r="N55" s="5" t="s">
        <v>154</v>
      </c>
    </row>
    <row r="56" customFormat="false" ht="68.65" hidden="false" customHeight="false" outlineLevel="0" collapsed="false">
      <c r="A56" s="4" t="s">
        <v>18</v>
      </c>
      <c r="B56" s="5" t="s">
        <v>155</v>
      </c>
      <c r="C56" s="6" t="s">
        <v>156</v>
      </c>
      <c r="D56" s="6"/>
      <c r="E56" s="4" t="s">
        <v>135</v>
      </c>
      <c r="F56" s="4" t="s">
        <v>136</v>
      </c>
      <c r="G56" s="6" t="s">
        <v>137</v>
      </c>
      <c r="H56" s="6" t="s">
        <v>138</v>
      </c>
      <c r="I56" s="5" t="s">
        <v>139</v>
      </c>
      <c r="J56" s="5" t="s">
        <v>26</v>
      </c>
      <c r="K56" s="7" t="n">
        <v>0.6</v>
      </c>
      <c r="L56" s="6"/>
      <c r="M56" s="4" t="s">
        <v>140</v>
      </c>
      <c r="N56" s="5" t="s">
        <v>157</v>
      </c>
    </row>
    <row r="57" customFormat="false" ht="23.85" hidden="false" customHeight="false" outlineLevel="0" collapsed="false">
      <c r="A57" s="4" t="s">
        <v>18</v>
      </c>
      <c r="B57" s="5" t="s">
        <v>158</v>
      </c>
      <c r="C57" s="6" t="s">
        <v>41</v>
      </c>
      <c r="D57" s="6"/>
      <c r="E57" s="4" t="s">
        <v>135</v>
      </c>
      <c r="F57" s="4"/>
      <c r="G57" s="6"/>
      <c r="H57" s="6" t="s">
        <v>138</v>
      </c>
      <c r="I57" s="5" t="s">
        <v>139</v>
      </c>
      <c r="J57" s="5" t="s">
        <v>26</v>
      </c>
      <c r="K57" s="7" t="n">
        <v>0.6</v>
      </c>
      <c r="L57" s="6"/>
      <c r="M57" s="4" t="s">
        <v>140</v>
      </c>
      <c r="N57" s="5" t="s">
        <v>159</v>
      </c>
    </row>
    <row r="58" customFormat="false" ht="68.65" hidden="false" customHeight="false" outlineLevel="0" collapsed="false">
      <c r="A58" s="4" t="s">
        <v>18</v>
      </c>
      <c r="B58" s="5" t="s">
        <v>160</v>
      </c>
      <c r="C58" s="6" t="s">
        <v>41</v>
      </c>
      <c r="D58" s="6"/>
      <c r="E58" s="4" t="s">
        <v>135</v>
      </c>
      <c r="F58" s="4" t="s">
        <v>136</v>
      </c>
      <c r="G58" s="6" t="s">
        <v>137</v>
      </c>
      <c r="H58" s="6" t="s">
        <v>138</v>
      </c>
      <c r="I58" s="5" t="s">
        <v>139</v>
      </c>
      <c r="J58" s="5" t="s">
        <v>26</v>
      </c>
      <c r="K58" s="7" t="n">
        <v>0.6</v>
      </c>
      <c r="L58" s="6"/>
      <c r="M58" s="4" t="s">
        <v>140</v>
      </c>
      <c r="N58" s="5" t="s">
        <v>161</v>
      </c>
    </row>
    <row r="59" customFormat="false" ht="68.65" hidden="false" customHeight="false" outlineLevel="0" collapsed="false">
      <c r="A59" s="4" t="s">
        <v>18</v>
      </c>
      <c r="B59" s="5" t="s">
        <v>162</v>
      </c>
      <c r="C59" s="6" t="s">
        <v>41</v>
      </c>
      <c r="D59" s="6"/>
      <c r="E59" s="4" t="s">
        <v>135</v>
      </c>
      <c r="F59" s="4" t="s">
        <v>136</v>
      </c>
      <c r="G59" s="6" t="s">
        <v>137</v>
      </c>
      <c r="H59" s="6" t="s">
        <v>138</v>
      </c>
      <c r="I59" s="5" t="s">
        <v>139</v>
      </c>
      <c r="J59" s="5" t="s">
        <v>26</v>
      </c>
      <c r="K59" s="7" t="n">
        <v>0.6</v>
      </c>
      <c r="L59" s="6"/>
      <c r="M59" s="4" t="s">
        <v>140</v>
      </c>
      <c r="N59" s="5" t="s">
        <v>163</v>
      </c>
    </row>
    <row r="60" customFormat="false" ht="68.65" hidden="false" customHeight="false" outlineLevel="0" collapsed="false">
      <c r="A60" s="4" t="s">
        <v>18</v>
      </c>
      <c r="B60" s="5" t="s">
        <v>164</v>
      </c>
      <c r="C60" s="6" t="s">
        <v>41</v>
      </c>
      <c r="D60" s="6"/>
      <c r="E60" s="4" t="s">
        <v>135</v>
      </c>
      <c r="F60" s="4" t="s">
        <v>136</v>
      </c>
      <c r="G60" s="6" t="s">
        <v>137</v>
      </c>
      <c r="H60" s="6" t="s">
        <v>138</v>
      </c>
      <c r="I60" s="5" t="s">
        <v>139</v>
      </c>
      <c r="J60" s="5" t="s">
        <v>26</v>
      </c>
      <c r="K60" s="7" t="n">
        <v>0.6</v>
      </c>
      <c r="L60" s="6"/>
      <c r="M60" s="4" t="s">
        <v>140</v>
      </c>
      <c r="N60" s="5" t="s">
        <v>165</v>
      </c>
    </row>
    <row r="61" customFormat="false" ht="68.65" hidden="false" customHeight="false" outlineLevel="0" collapsed="false">
      <c r="A61" s="4" t="s">
        <v>18</v>
      </c>
      <c r="B61" s="5" t="s">
        <v>166</v>
      </c>
      <c r="C61" s="6" t="s">
        <v>41</v>
      </c>
      <c r="D61" s="6"/>
      <c r="E61" s="4" t="s">
        <v>135</v>
      </c>
      <c r="F61" s="4" t="s">
        <v>136</v>
      </c>
      <c r="G61" s="6" t="s">
        <v>137</v>
      </c>
      <c r="H61" s="6" t="s">
        <v>138</v>
      </c>
      <c r="I61" s="5" t="s">
        <v>139</v>
      </c>
      <c r="J61" s="5" t="s">
        <v>26</v>
      </c>
      <c r="K61" s="7" t="n">
        <v>0.6</v>
      </c>
      <c r="L61" s="6"/>
      <c r="M61" s="4" t="s">
        <v>140</v>
      </c>
      <c r="N61" s="5" t="s">
        <v>167</v>
      </c>
    </row>
    <row r="62" customFormat="false" ht="91" hidden="false" customHeight="false" outlineLevel="0" collapsed="false">
      <c r="A62" s="4" t="s">
        <v>18</v>
      </c>
      <c r="B62" s="5" t="s">
        <v>168</v>
      </c>
      <c r="C62" s="6" t="s">
        <v>169</v>
      </c>
      <c r="D62" s="6"/>
      <c r="E62" s="4" t="s">
        <v>21</v>
      </c>
      <c r="F62" s="4" t="s">
        <v>89</v>
      </c>
      <c r="G62" s="6" t="s">
        <v>90</v>
      </c>
      <c r="H62" s="6" t="s">
        <v>24</v>
      </c>
      <c r="I62" s="5" t="s">
        <v>25</v>
      </c>
      <c r="J62" s="5" t="s">
        <v>26</v>
      </c>
      <c r="K62" s="7" t="n">
        <v>0.6</v>
      </c>
      <c r="L62" s="6"/>
      <c r="M62" s="4" t="s">
        <v>27</v>
      </c>
      <c r="N62" s="5" t="s">
        <v>170</v>
      </c>
    </row>
    <row r="63" customFormat="false" ht="57.45" hidden="false" customHeight="false" outlineLevel="0" collapsed="false">
      <c r="A63" s="4" t="s">
        <v>18</v>
      </c>
      <c r="B63" s="5" t="s">
        <v>171</v>
      </c>
      <c r="C63" s="6" t="s">
        <v>41</v>
      </c>
      <c r="D63" s="6"/>
      <c r="E63" s="4" t="s">
        <v>47</v>
      </c>
      <c r="F63" s="4" t="s">
        <v>172</v>
      </c>
      <c r="G63" s="6" t="s">
        <v>173</v>
      </c>
      <c r="H63" s="6" t="s">
        <v>50</v>
      </c>
      <c r="I63" s="5" t="s">
        <v>51</v>
      </c>
      <c r="J63" s="5" t="s">
        <v>26</v>
      </c>
      <c r="K63" s="7" t="n">
        <v>1</v>
      </c>
      <c r="L63" s="6"/>
      <c r="M63" s="4" t="s">
        <v>52</v>
      </c>
      <c r="N63" s="5" t="s">
        <v>174</v>
      </c>
    </row>
    <row r="64" customFormat="false" ht="57.45" hidden="false" customHeight="false" outlineLevel="0" collapsed="false">
      <c r="A64" s="4" t="s">
        <v>18</v>
      </c>
      <c r="B64" s="5" t="s">
        <v>175</v>
      </c>
      <c r="C64" s="6" t="s">
        <v>41</v>
      </c>
      <c r="D64" s="6"/>
      <c r="E64" s="4" t="s">
        <v>47</v>
      </c>
      <c r="F64" s="4" t="s">
        <v>172</v>
      </c>
      <c r="G64" s="6" t="s">
        <v>173</v>
      </c>
      <c r="H64" s="6" t="s">
        <v>50</v>
      </c>
      <c r="I64" s="5" t="s">
        <v>51</v>
      </c>
      <c r="J64" s="5" t="s">
        <v>26</v>
      </c>
      <c r="K64" s="7" t="n">
        <v>1</v>
      </c>
      <c r="L64" s="6"/>
      <c r="M64" s="4" t="s">
        <v>52</v>
      </c>
      <c r="N64" s="5" t="s">
        <v>176</v>
      </c>
    </row>
    <row r="65" customFormat="false" ht="57.45" hidden="false" customHeight="false" outlineLevel="0" collapsed="false">
      <c r="A65" s="4" t="s">
        <v>18</v>
      </c>
      <c r="B65" s="5" t="s">
        <v>177</v>
      </c>
      <c r="C65" s="6" t="s">
        <v>41</v>
      </c>
      <c r="D65" s="6"/>
      <c r="E65" s="4" t="s">
        <v>47</v>
      </c>
      <c r="F65" s="4" t="s">
        <v>172</v>
      </c>
      <c r="G65" s="6" t="s">
        <v>173</v>
      </c>
      <c r="H65" s="6" t="s">
        <v>50</v>
      </c>
      <c r="I65" s="5" t="s">
        <v>51</v>
      </c>
      <c r="J65" s="5" t="s">
        <v>26</v>
      </c>
      <c r="K65" s="7" t="n">
        <v>1</v>
      </c>
      <c r="L65" s="6"/>
      <c r="M65" s="4" t="s">
        <v>52</v>
      </c>
      <c r="N65" s="5" t="s">
        <v>178</v>
      </c>
    </row>
    <row r="66" customFormat="false" ht="57.45" hidden="false" customHeight="false" outlineLevel="0" collapsed="false">
      <c r="A66" s="4" t="s">
        <v>18</v>
      </c>
      <c r="B66" s="5" t="s">
        <v>179</v>
      </c>
      <c r="C66" s="6" t="s">
        <v>41</v>
      </c>
      <c r="D66" s="6"/>
      <c r="E66" s="4" t="s">
        <v>47</v>
      </c>
      <c r="F66" s="4" t="s">
        <v>172</v>
      </c>
      <c r="G66" s="6" t="s">
        <v>173</v>
      </c>
      <c r="H66" s="6" t="s">
        <v>50</v>
      </c>
      <c r="I66" s="5" t="s">
        <v>51</v>
      </c>
      <c r="J66" s="5" t="s">
        <v>26</v>
      </c>
      <c r="K66" s="7" t="n">
        <v>1</v>
      </c>
      <c r="L66" s="6"/>
      <c r="M66" s="4" t="s">
        <v>52</v>
      </c>
      <c r="N66" s="5" t="s">
        <v>180</v>
      </c>
    </row>
    <row r="67" customFormat="false" ht="57.45" hidden="false" customHeight="false" outlineLevel="0" collapsed="false">
      <c r="A67" s="4" t="s">
        <v>18</v>
      </c>
      <c r="B67" s="5" t="s">
        <v>181</v>
      </c>
      <c r="C67" s="6" t="s">
        <v>41</v>
      </c>
      <c r="D67" s="6"/>
      <c r="E67" s="4" t="s">
        <v>47</v>
      </c>
      <c r="F67" s="4" t="s">
        <v>172</v>
      </c>
      <c r="G67" s="6" t="s">
        <v>173</v>
      </c>
      <c r="H67" s="6" t="s">
        <v>50</v>
      </c>
      <c r="I67" s="5" t="s">
        <v>51</v>
      </c>
      <c r="J67" s="5" t="s">
        <v>26</v>
      </c>
      <c r="K67" s="7" t="n">
        <v>1</v>
      </c>
      <c r="L67" s="6"/>
      <c r="M67" s="4" t="s">
        <v>52</v>
      </c>
      <c r="N67" s="5" t="s">
        <v>182</v>
      </c>
    </row>
    <row r="68" customFormat="false" ht="57.45" hidden="false" customHeight="false" outlineLevel="0" collapsed="false">
      <c r="A68" s="4" t="s">
        <v>18</v>
      </c>
      <c r="B68" s="5" t="s">
        <v>183</v>
      </c>
      <c r="C68" s="6" t="s">
        <v>41</v>
      </c>
      <c r="D68" s="6"/>
      <c r="E68" s="4" t="s">
        <v>47</v>
      </c>
      <c r="F68" s="4" t="s">
        <v>172</v>
      </c>
      <c r="G68" s="6" t="s">
        <v>173</v>
      </c>
      <c r="H68" s="6" t="s">
        <v>50</v>
      </c>
      <c r="I68" s="5" t="s">
        <v>51</v>
      </c>
      <c r="J68" s="5" t="s">
        <v>26</v>
      </c>
      <c r="K68" s="7" t="n">
        <v>1</v>
      </c>
      <c r="L68" s="6"/>
      <c r="M68" s="4" t="s">
        <v>52</v>
      </c>
      <c r="N68" s="5" t="s">
        <v>184</v>
      </c>
    </row>
    <row r="69" customFormat="false" ht="46.25" hidden="false" customHeight="false" outlineLevel="0" collapsed="false">
      <c r="A69" s="4" t="s">
        <v>18</v>
      </c>
      <c r="B69" s="5" t="s">
        <v>185</v>
      </c>
      <c r="C69" s="6" t="s">
        <v>41</v>
      </c>
      <c r="D69" s="6"/>
      <c r="E69" s="4" t="s">
        <v>47</v>
      </c>
      <c r="F69" s="4" t="s">
        <v>186</v>
      </c>
      <c r="G69" s="6" t="s">
        <v>187</v>
      </c>
      <c r="H69" s="6" t="s">
        <v>50</v>
      </c>
      <c r="I69" s="5" t="s">
        <v>51</v>
      </c>
      <c r="J69" s="5" t="s">
        <v>26</v>
      </c>
      <c r="K69" s="7" t="n">
        <v>1</v>
      </c>
      <c r="L69" s="6"/>
      <c r="M69" s="4" t="s">
        <v>52</v>
      </c>
      <c r="N69" s="5" t="s">
        <v>188</v>
      </c>
    </row>
    <row r="70" customFormat="false" ht="46.25" hidden="false" customHeight="false" outlineLevel="0" collapsed="false">
      <c r="A70" s="4" t="s">
        <v>18</v>
      </c>
      <c r="B70" s="5" t="s">
        <v>189</v>
      </c>
      <c r="C70" s="6" t="s">
        <v>41</v>
      </c>
      <c r="D70" s="6"/>
      <c r="E70" s="4" t="s">
        <v>47</v>
      </c>
      <c r="F70" s="4" t="s">
        <v>186</v>
      </c>
      <c r="G70" s="6" t="s">
        <v>187</v>
      </c>
      <c r="H70" s="6" t="s">
        <v>50</v>
      </c>
      <c r="I70" s="5" t="s">
        <v>51</v>
      </c>
      <c r="J70" s="5" t="s">
        <v>26</v>
      </c>
      <c r="K70" s="7" t="n">
        <v>1</v>
      </c>
      <c r="L70" s="6"/>
      <c r="M70" s="4" t="s">
        <v>52</v>
      </c>
      <c r="N70" s="5" t="s">
        <v>190</v>
      </c>
    </row>
    <row r="71" customFormat="false" ht="46.25" hidden="false" customHeight="false" outlineLevel="0" collapsed="false">
      <c r="A71" s="4" t="s">
        <v>18</v>
      </c>
      <c r="B71" s="5" t="s">
        <v>191</v>
      </c>
      <c r="C71" s="6" t="s">
        <v>41</v>
      </c>
      <c r="D71" s="6"/>
      <c r="E71" s="4" t="s">
        <v>47</v>
      </c>
      <c r="F71" s="4" t="s">
        <v>186</v>
      </c>
      <c r="G71" s="6" t="s">
        <v>187</v>
      </c>
      <c r="H71" s="6" t="s">
        <v>50</v>
      </c>
      <c r="I71" s="5" t="s">
        <v>51</v>
      </c>
      <c r="J71" s="5" t="s">
        <v>26</v>
      </c>
      <c r="K71" s="7" t="n">
        <v>1</v>
      </c>
      <c r="L71" s="6"/>
      <c r="M71" s="4" t="s">
        <v>52</v>
      </c>
      <c r="N71" s="5" t="s">
        <v>192</v>
      </c>
    </row>
    <row r="72" customFormat="false" ht="46.25" hidden="false" customHeight="false" outlineLevel="0" collapsed="false">
      <c r="A72" s="4" t="s">
        <v>18</v>
      </c>
      <c r="B72" s="5" t="s">
        <v>193</v>
      </c>
      <c r="C72" s="6" t="s">
        <v>41</v>
      </c>
      <c r="D72" s="6"/>
      <c r="E72" s="4" t="s">
        <v>47</v>
      </c>
      <c r="F72" s="4" t="s">
        <v>186</v>
      </c>
      <c r="G72" s="6" t="s">
        <v>187</v>
      </c>
      <c r="H72" s="6" t="s">
        <v>50</v>
      </c>
      <c r="I72" s="5" t="s">
        <v>51</v>
      </c>
      <c r="J72" s="5" t="s">
        <v>26</v>
      </c>
      <c r="K72" s="7" t="n">
        <v>1</v>
      </c>
      <c r="L72" s="6"/>
      <c r="M72" s="4" t="s">
        <v>52</v>
      </c>
      <c r="N72" s="5" t="s">
        <v>194</v>
      </c>
    </row>
    <row r="73" customFormat="false" ht="46.25" hidden="false" customHeight="false" outlineLevel="0" collapsed="false">
      <c r="A73" s="4" t="s">
        <v>18</v>
      </c>
      <c r="B73" s="5" t="s">
        <v>195</v>
      </c>
      <c r="C73" s="6" t="s">
        <v>41</v>
      </c>
      <c r="D73" s="6"/>
      <c r="E73" s="4" t="s">
        <v>47</v>
      </c>
      <c r="F73" s="4" t="s">
        <v>186</v>
      </c>
      <c r="G73" s="6" t="s">
        <v>187</v>
      </c>
      <c r="H73" s="6" t="s">
        <v>50</v>
      </c>
      <c r="I73" s="5" t="s">
        <v>51</v>
      </c>
      <c r="J73" s="5" t="s">
        <v>26</v>
      </c>
      <c r="K73" s="7" t="n">
        <v>1</v>
      </c>
      <c r="L73" s="6"/>
      <c r="M73" s="4" t="s">
        <v>52</v>
      </c>
      <c r="N73" s="5" t="s">
        <v>196</v>
      </c>
    </row>
    <row r="74" customFormat="false" ht="46.25" hidden="false" customHeight="false" outlineLevel="0" collapsed="false">
      <c r="A74" s="4" t="s">
        <v>18</v>
      </c>
      <c r="B74" s="5" t="s">
        <v>197</v>
      </c>
      <c r="C74" s="6" t="s">
        <v>41</v>
      </c>
      <c r="D74" s="6"/>
      <c r="E74" s="4" t="s">
        <v>47</v>
      </c>
      <c r="F74" s="4" t="s">
        <v>186</v>
      </c>
      <c r="G74" s="6" t="s">
        <v>187</v>
      </c>
      <c r="H74" s="6" t="s">
        <v>50</v>
      </c>
      <c r="I74" s="5" t="s">
        <v>51</v>
      </c>
      <c r="J74" s="5" t="s">
        <v>26</v>
      </c>
      <c r="K74" s="7" t="n">
        <v>1</v>
      </c>
      <c r="L74" s="6"/>
      <c r="M74" s="4" t="s">
        <v>52</v>
      </c>
      <c r="N74" s="5" t="s">
        <v>198</v>
      </c>
    </row>
    <row r="75" customFormat="false" ht="46.25" hidden="false" customHeight="false" outlineLevel="0" collapsed="false">
      <c r="A75" s="4" t="s">
        <v>18</v>
      </c>
      <c r="B75" s="5" t="s">
        <v>199</v>
      </c>
      <c r="C75" s="6" t="s">
        <v>41</v>
      </c>
      <c r="D75" s="6"/>
      <c r="E75" s="4" t="s">
        <v>135</v>
      </c>
      <c r="F75" s="4" t="s">
        <v>172</v>
      </c>
      <c r="G75" s="6" t="s">
        <v>200</v>
      </c>
      <c r="H75" s="6" t="s">
        <v>138</v>
      </c>
      <c r="I75" s="5" t="s">
        <v>139</v>
      </c>
      <c r="J75" s="5" t="s">
        <v>26</v>
      </c>
      <c r="K75" s="7" t="n">
        <v>0.6</v>
      </c>
      <c r="L75" s="6"/>
      <c r="M75" s="4" t="s">
        <v>140</v>
      </c>
      <c r="N75" s="5" t="s">
        <v>201</v>
      </c>
    </row>
    <row r="76" customFormat="false" ht="46.25" hidden="false" customHeight="false" outlineLevel="0" collapsed="false">
      <c r="A76" s="4" t="s">
        <v>18</v>
      </c>
      <c r="B76" s="5" t="s">
        <v>202</v>
      </c>
      <c r="C76" s="6" t="s">
        <v>41</v>
      </c>
      <c r="D76" s="6"/>
      <c r="E76" s="4" t="s">
        <v>135</v>
      </c>
      <c r="F76" s="4" t="s">
        <v>172</v>
      </c>
      <c r="G76" s="6" t="s">
        <v>200</v>
      </c>
      <c r="H76" s="6" t="s">
        <v>138</v>
      </c>
      <c r="I76" s="5" t="s">
        <v>139</v>
      </c>
      <c r="J76" s="5" t="s">
        <v>26</v>
      </c>
      <c r="K76" s="7" t="n">
        <v>0.6</v>
      </c>
      <c r="L76" s="6"/>
      <c r="M76" s="4" t="s">
        <v>140</v>
      </c>
      <c r="N76" s="5" t="s">
        <v>203</v>
      </c>
    </row>
    <row r="77" customFormat="false" ht="23.85" hidden="false" customHeight="false" outlineLevel="0" collapsed="false">
      <c r="A77" s="4" t="s">
        <v>18</v>
      </c>
      <c r="B77" s="5" t="s">
        <v>204</v>
      </c>
      <c r="C77" s="6" t="s">
        <v>41</v>
      </c>
      <c r="D77" s="6"/>
      <c r="E77" s="4" t="s">
        <v>47</v>
      </c>
      <c r="F77" s="4" t="s">
        <v>205</v>
      </c>
      <c r="G77" s="6" t="s">
        <v>206</v>
      </c>
      <c r="H77" s="6" t="s">
        <v>50</v>
      </c>
      <c r="I77" s="5" t="s">
        <v>51</v>
      </c>
      <c r="J77" s="5" t="s">
        <v>26</v>
      </c>
      <c r="K77" s="7" t="n">
        <v>1</v>
      </c>
      <c r="L77" s="6"/>
      <c r="M77" s="4" t="s">
        <v>52</v>
      </c>
      <c r="N77" s="5" t="s">
        <v>207</v>
      </c>
    </row>
    <row r="78" customFormat="false" ht="57.45" hidden="false" customHeight="false" outlineLevel="0" collapsed="false">
      <c r="A78" s="4" t="s">
        <v>18</v>
      </c>
      <c r="B78" s="5" t="s">
        <v>208</v>
      </c>
      <c r="C78" s="6" t="s">
        <v>41</v>
      </c>
      <c r="D78" s="6"/>
      <c r="E78" s="4" t="s">
        <v>47</v>
      </c>
      <c r="F78" s="4" t="s">
        <v>89</v>
      </c>
      <c r="G78" s="6" t="s">
        <v>209</v>
      </c>
      <c r="H78" s="6" t="s">
        <v>50</v>
      </c>
      <c r="I78" s="5" t="s">
        <v>51</v>
      </c>
      <c r="J78" s="5" t="s">
        <v>26</v>
      </c>
      <c r="K78" s="7" t="n">
        <v>1</v>
      </c>
      <c r="L78" s="6"/>
      <c r="M78" s="4" t="s">
        <v>52</v>
      </c>
      <c r="N78" s="5" t="s">
        <v>210</v>
      </c>
    </row>
    <row r="79" customFormat="false" ht="57.45" hidden="false" customHeight="false" outlineLevel="0" collapsed="false">
      <c r="A79" s="4" t="s">
        <v>18</v>
      </c>
      <c r="B79" s="5" t="s">
        <v>211</v>
      </c>
      <c r="C79" s="6" t="s">
        <v>41</v>
      </c>
      <c r="D79" s="6"/>
      <c r="E79" s="4" t="s">
        <v>47</v>
      </c>
      <c r="F79" s="4" t="s">
        <v>89</v>
      </c>
      <c r="G79" s="6" t="s">
        <v>209</v>
      </c>
      <c r="H79" s="6" t="s">
        <v>50</v>
      </c>
      <c r="I79" s="5" t="s">
        <v>51</v>
      </c>
      <c r="J79" s="5" t="s">
        <v>26</v>
      </c>
      <c r="K79" s="7" t="n">
        <v>1</v>
      </c>
      <c r="L79" s="6"/>
      <c r="M79" s="4" t="s">
        <v>52</v>
      </c>
      <c r="N79" s="5" t="s">
        <v>212</v>
      </c>
    </row>
    <row r="80" customFormat="false" ht="57.45" hidden="false" customHeight="false" outlineLevel="0" collapsed="false">
      <c r="A80" s="4" t="s">
        <v>18</v>
      </c>
      <c r="B80" s="5" t="s">
        <v>213</v>
      </c>
      <c r="C80" s="6" t="s">
        <v>41</v>
      </c>
      <c r="D80" s="6"/>
      <c r="E80" s="4" t="s">
        <v>47</v>
      </c>
      <c r="F80" s="4" t="s">
        <v>89</v>
      </c>
      <c r="G80" s="6" t="s">
        <v>209</v>
      </c>
      <c r="H80" s="6" t="s">
        <v>50</v>
      </c>
      <c r="I80" s="5" t="s">
        <v>51</v>
      </c>
      <c r="J80" s="5" t="s">
        <v>26</v>
      </c>
      <c r="K80" s="7" t="n">
        <v>1</v>
      </c>
      <c r="L80" s="6"/>
      <c r="M80" s="4" t="s">
        <v>52</v>
      </c>
      <c r="N80" s="5" t="s">
        <v>214</v>
      </c>
    </row>
    <row r="81" customFormat="false" ht="57.45" hidden="false" customHeight="false" outlineLevel="0" collapsed="false">
      <c r="A81" s="4" t="s">
        <v>18</v>
      </c>
      <c r="B81" s="5" t="s">
        <v>215</v>
      </c>
      <c r="C81" s="6" t="s">
        <v>41</v>
      </c>
      <c r="D81" s="6"/>
      <c r="E81" s="4" t="s">
        <v>47</v>
      </c>
      <c r="F81" s="4" t="s">
        <v>89</v>
      </c>
      <c r="G81" s="6" t="s">
        <v>209</v>
      </c>
      <c r="H81" s="6" t="s">
        <v>50</v>
      </c>
      <c r="I81" s="5" t="s">
        <v>51</v>
      </c>
      <c r="J81" s="5" t="s">
        <v>26</v>
      </c>
      <c r="K81" s="7" t="n">
        <v>1</v>
      </c>
      <c r="L81" s="6"/>
      <c r="M81" s="4" t="s">
        <v>52</v>
      </c>
      <c r="N81" s="5" t="s">
        <v>216</v>
      </c>
    </row>
    <row r="82" customFormat="false" ht="57.45" hidden="false" customHeight="false" outlineLevel="0" collapsed="false">
      <c r="A82" s="4" t="s">
        <v>18</v>
      </c>
      <c r="B82" s="5" t="s">
        <v>217</v>
      </c>
      <c r="C82" s="6" t="s">
        <v>41</v>
      </c>
      <c r="D82" s="6"/>
      <c r="E82" s="4" t="s">
        <v>47</v>
      </c>
      <c r="F82" s="4" t="s">
        <v>89</v>
      </c>
      <c r="G82" s="6" t="s">
        <v>209</v>
      </c>
      <c r="H82" s="6" t="s">
        <v>50</v>
      </c>
      <c r="I82" s="5" t="s">
        <v>51</v>
      </c>
      <c r="J82" s="5" t="s">
        <v>26</v>
      </c>
      <c r="K82" s="7" t="n">
        <v>1</v>
      </c>
      <c r="L82" s="6"/>
      <c r="M82" s="4" t="s">
        <v>52</v>
      </c>
      <c r="N82" s="5" t="s">
        <v>218</v>
      </c>
    </row>
    <row r="83" customFormat="false" ht="57.45" hidden="false" customHeight="false" outlineLevel="0" collapsed="false">
      <c r="A83" s="4" t="s">
        <v>18</v>
      </c>
      <c r="B83" s="5" t="s">
        <v>219</v>
      </c>
      <c r="C83" s="6" t="s">
        <v>41</v>
      </c>
      <c r="D83" s="6"/>
      <c r="E83" s="4" t="s">
        <v>47</v>
      </c>
      <c r="F83" s="4" t="s">
        <v>89</v>
      </c>
      <c r="G83" s="6" t="s">
        <v>209</v>
      </c>
      <c r="H83" s="6" t="s">
        <v>50</v>
      </c>
      <c r="I83" s="5" t="s">
        <v>51</v>
      </c>
      <c r="J83" s="5" t="s">
        <v>26</v>
      </c>
      <c r="K83" s="7" t="n">
        <v>1</v>
      </c>
      <c r="L83" s="6"/>
      <c r="M83" s="4" t="s">
        <v>52</v>
      </c>
      <c r="N83" s="5" t="s">
        <v>220</v>
      </c>
    </row>
    <row r="84" customFormat="false" ht="23.85" hidden="false" customHeight="false" outlineLevel="0" collapsed="false">
      <c r="A84" s="4" t="s">
        <v>18</v>
      </c>
      <c r="B84" s="5" t="s">
        <v>221</v>
      </c>
      <c r="C84" s="6" t="s">
        <v>222</v>
      </c>
      <c r="D84" s="6"/>
      <c r="E84" s="4" t="s">
        <v>21</v>
      </c>
      <c r="F84" s="4" t="s">
        <v>223</v>
      </c>
      <c r="G84" s="6" t="s">
        <v>224</v>
      </c>
      <c r="H84" s="6" t="s">
        <v>24</v>
      </c>
      <c r="I84" s="5" t="s">
        <v>25</v>
      </c>
      <c r="J84" s="5" t="s">
        <v>26</v>
      </c>
      <c r="K84" s="7" t="n">
        <v>0.6</v>
      </c>
      <c r="L84" s="6"/>
      <c r="M84" s="4" t="s">
        <v>27</v>
      </c>
      <c r="N84" s="5" t="s">
        <v>225</v>
      </c>
    </row>
    <row r="85" customFormat="false" ht="23.85" hidden="false" customHeight="false" outlineLevel="0" collapsed="false">
      <c r="A85" s="4" t="s">
        <v>18</v>
      </c>
      <c r="B85" s="5" t="s">
        <v>226</v>
      </c>
      <c r="C85" s="6" t="s">
        <v>227</v>
      </c>
      <c r="D85" s="6"/>
      <c r="E85" s="4" t="s">
        <v>228</v>
      </c>
      <c r="F85" s="4" t="s">
        <v>136</v>
      </c>
      <c r="G85" s="6" t="s">
        <v>229</v>
      </c>
      <c r="H85" s="6" t="s">
        <v>230</v>
      </c>
      <c r="I85" s="5" t="s">
        <v>231</v>
      </c>
      <c r="J85" s="5" t="s">
        <v>26</v>
      </c>
      <c r="K85" s="7" t="n">
        <v>1</v>
      </c>
      <c r="L85" s="6"/>
      <c r="M85" s="4" t="s">
        <v>232</v>
      </c>
      <c r="N85" s="5" t="s">
        <v>233</v>
      </c>
    </row>
    <row r="86" customFormat="false" ht="23.85" hidden="false" customHeight="false" outlineLevel="0" collapsed="false">
      <c r="A86" s="4" t="s">
        <v>18</v>
      </c>
      <c r="B86" s="5" t="s">
        <v>234</v>
      </c>
      <c r="C86" s="6" t="s">
        <v>41</v>
      </c>
      <c r="D86" s="6"/>
      <c r="E86" s="4" t="s">
        <v>135</v>
      </c>
      <c r="F86" s="4" t="s">
        <v>186</v>
      </c>
      <c r="G86" s="6" t="s">
        <v>235</v>
      </c>
      <c r="H86" s="6" t="s">
        <v>138</v>
      </c>
      <c r="I86" s="5" t="s">
        <v>139</v>
      </c>
      <c r="J86" s="5" t="s">
        <v>26</v>
      </c>
      <c r="K86" s="7" t="n">
        <v>0.6</v>
      </c>
      <c r="L86" s="6"/>
      <c r="M86" s="4" t="s">
        <v>140</v>
      </c>
      <c r="N86" s="5" t="s">
        <v>236</v>
      </c>
    </row>
    <row r="87" customFormat="false" ht="247.75" hidden="false" customHeight="false" outlineLevel="0" collapsed="false">
      <c r="A87" s="4" t="s">
        <v>18</v>
      </c>
      <c r="B87" s="5" t="s">
        <v>237</v>
      </c>
      <c r="C87" s="6" t="s">
        <v>238</v>
      </c>
      <c r="D87" s="6"/>
      <c r="E87" s="4" t="s">
        <v>21</v>
      </c>
      <c r="F87" s="4" t="s">
        <v>239</v>
      </c>
      <c r="G87" s="6" t="s">
        <v>240</v>
      </c>
      <c r="H87" s="6" t="s">
        <v>24</v>
      </c>
      <c r="I87" s="5" t="s">
        <v>25</v>
      </c>
      <c r="J87" s="5" t="s">
        <v>26</v>
      </c>
      <c r="K87" s="7" t="n">
        <v>0.6</v>
      </c>
      <c r="L87" s="6"/>
      <c r="M87" s="4" t="s">
        <v>27</v>
      </c>
      <c r="N87" s="5" t="s">
        <v>241</v>
      </c>
    </row>
    <row r="88" customFormat="false" ht="23.85" hidden="false" customHeight="false" outlineLevel="0" collapsed="false">
      <c r="A88" s="4" t="s">
        <v>18</v>
      </c>
      <c r="B88" s="5" t="s">
        <v>242</v>
      </c>
      <c r="C88" s="6" t="s">
        <v>41</v>
      </c>
      <c r="D88" s="6"/>
      <c r="E88" s="4" t="s">
        <v>21</v>
      </c>
      <c r="F88" s="4" t="s">
        <v>243</v>
      </c>
      <c r="G88" s="6" t="s">
        <v>244</v>
      </c>
      <c r="H88" s="6" t="s">
        <v>24</v>
      </c>
      <c r="I88" s="5" t="s">
        <v>25</v>
      </c>
      <c r="J88" s="5" t="s">
        <v>26</v>
      </c>
      <c r="K88" s="7" t="n">
        <v>0.6</v>
      </c>
      <c r="L88" s="6"/>
      <c r="M88" s="4" t="s">
        <v>27</v>
      </c>
      <c r="N88" s="5" t="s">
        <v>245</v>
      </c>
    </row>
    <row r="89" customFormat="false" ht="23.85" hidden="false" customHeight="false" outlineLevel="0" collapsed="false">
      <c r="A89" s="4" t="s">
        <v>18</v>
      </c>
      <c r="B89" s="5" t="s">
        <v>246</v>
      </c>
      <c r="C89" s="6" t="s">
        <v>247</v>
      </c>
      <c r="D89" s="6"/>
      <c r="E89" s="4" t="s">
        <v>21</v>
      </c>
      <c r="F89" s="4" t="s">
        <v>243</v>
      </c>
      <c r="G89" s="6" t="s">
        <v>244</v>
      </c>
      <c r="H89" s="6" t="s">
        <v>24</v>
      </c>
      <c r="I89" s="5" t="s">
        <v>25</v>
      </c>
      <c r="J89" s="5" t="s">
        <v>26</v>
      </c>
      <c r="K89" s="7" t="n">
        <v>0.6</v>
      </c>
      <c r="L89" s="6"/>
      <c r="M89" s="4" t="s">
        <v>27</v>
      </c>
      <c r="N89" s="5" t="s">
        <v>248</v>
      </c>
    </row>
    <row r="90" customFormat="false" ht="35.05" hidden="false" customHeight="false" outlineLevel="0" collapsed="false">
      <c r="A90" s="4" t="s">
        <v>18</v>
      </c>
      <c r="B90" s="5" t="s">
        <v>249</v>
      </c>
      <c r="C90" s="6" t="s">
        <v>250</v>
      </c>
      <c r="D90" s="6"/>
      <c r="E90" s="4" t="s">
        <v>228</v>
      </c>
      <c r="F90" s="4" t="s">
        <v>251</v>
      </c>
      <c r="G90" s="6" t="s">
        <v>252</v>
      </c>
      <c r="H90" s="6" t="s">
        <v>230</v>
      </c>
      <c r="I90" s="5" t="s">
        <v>231</v>
      </c>
      <c r="J90" s="5" t="s">
        <v>26</v>
      </c>
      <c r="K90" s="7" t="n">
        <v>1</v>
      </c>
      <c r="L90" s="6"/>
      <c r="M90" s="4" t="s">
        <v>232</v>
      </c>
      <c r="N90" s="5" t="s">
        <v>253</v>
      </c>
    </row>
    <row r="91" customFormat="false" ht="46.25" hidden="false" customHeight="false" outlineLevel="0" collapsed="false">
      <c r="A91" s="4" t="s">
        <v>18</v>
      </c>
      <c r="B91" s="5" t="s">
        <v>254</v>
      </c>
      <c r="C91" s="6" t="s">
        <v>255</v>
      </c>
      <c r="D91" s="6"/>
      <c r="E91" s="4" t="s">
        <v>21</v>
      </c>
      <c r="F91" s="4" t="s">
        <v>256</v>
      </c>
      <c r="G91" s="6" t="s">
        <v>257</v>
      </c>
      <c r="H91" s="6" t="s">
        <v>24</v>
      </c>
      <c r="I91" s="5" t="s">
        <v>25</v>
      </c>
      <c r="J91" s="5" t="s">
        <v>26</v>
      </c>
      <c r="K91" s="7" t="n">
        <v>0.6</v>
      </c>
      <c r="L91" s="6"/>
      <c r="M91" s="4" t="s">
        <v>27</v>
      </c>
      <c r="N91" s="5" t="s">
        <v>258</v>
      </c>
    </row>
    <row r="92" customFormat="false" ht="46.25" hidden="false" customHeight="false" outlineLevel="0" collapsed="false">
      <c r="A92" s="4" t="s">
        <v>18</v>
      </c>
      <c r="B92" s="5" t="s">
        <v>259</v>
      </c>
      <c r="C92" s="6" t="s">
        <v>260</v>
      </c>
      <c r="D92" s="6"/>
      <c r="E92" s="4" t="s">
        <v>21</v>
      </c>
      <c r="F92" s="4" t="s">
        <v>256</v>
      </c>
      <c r="G92" s="6" t="s">
        <v>257</v>
      </c>
      <c r="H92" s="6" t="s">
        <v>24</v>
      </c>
      <c r="I92" s="5" t="s">
        <v>25</v>
      </c>
      <c r="J92" s="5" t="s">
        <v>26</v>
      </c>
      <c r="K92" s="7" t="n">
        <v>0.6</v>
      </c>
      <c r="L92" s="6"/>
      <c r="M92" s="4" t="s">
        <v>27</v>
      </c>
      <c r="N92" s="5" t="s">
        <v>261</v>
      </c>
    </row>
    <row r="93" customFormat="false" ht="79.85" hidden="false" customHeight="false" outlineLevel="0" collapsed="false">
      <c r="A93" s="4" t="s">
        <v>18</v>
      </c>
      <c r="B93" s="5" t="s">
        <v>262</v>
      </c>
      <c r="C93" s="6" t="s">
        <v>263</v>
      </c>
      <c r="D93" s="6"/>
      <c r="E93" s="4" t="s">
        <v>21</v>
      </c>
      <c r="F93" s="4" t="s">
        <v>264</v>
      </c>
      <c r="G93" s="6" t="s">
        <v>265</v>
      </c>
      <c r="H93" s="6" t="s">
        <v>24</v>
      </c>
      <c r="I93" s="5" t="s">
        <v>25</v>
      </c>
      <c r="J93" s="5" t="s">
        <v>26</v>
      </c>
      <c r="K93" s="7" t="n">
        <v>0.6</v>
      </c>
      <c r="L93" s="6"/>
      <c r="M93" s="4" t="s">
        <v>27</v>
      </c>
      <c r="N93" s="5" t="s">
        <v>266</v>
      </c>
    </row>
    <row r="94" customFormat="false" ht="68.65" hidden="false" customHeight="false" outlineLevel="0" collapsed="false">
      <c r="A94" s="4" t="s">
        <v>18</v>
      </c>
      <c r="B94" s="5" t="s">
        <v>262</v>
      </c>
      <c r="C94" s="6" t="s">
        <v>263</v>
      </c>
      <c r="D94" s="6" t="s">
        <v>267</v>
      </c>
      <c r="E94" s="4" t="s">
        <v>135</v>
      </c>
      <c r="F94" s="4" t="s">
        <v>243</v>
      </c>
      <c r="G94" s="6" t="s">
        <v>268</v>
      </c>
      <c r="H94" s="6" t="s">
        <v>138</v>
      </c>
      <c r="I94" s="5" t="s">
        <v>139</v>
      </c>
      <c r="J94" s="5" t="s">
        <v>26</v>
      </c>
      <c r="K94" s="7" t="n">
        <v>0.6</v>
      </c>
      <c r="L94" s="6"/>
      <c r="M94" s="4" t="s">
        <v>140</v>
      </c>
      <c r="N94" s="5" t="s">
        <v>266</v>
      </c>
    </row>
    <row r="95" customFormat="false" ht="68.65" hidden="false" customHeight="false" outlineLevel="0" collapsed="false">
      <c r="A95" s="4" t="s">
        <v>18</v>
      </c>
      <c r="B95" s="5" t="s">
        <v>262</v>
      </c>
      <c r="C95" s="6" t="s">
        <v>263</v>
      </c>
      <c r="D95" s="6" t="s">
        <v>269</v>
      </c>
      <c r="E95" s="4" t="s">
        <v>135</v>
      </c>
      <c r="F95" s="4" t="s">
        <v>243</v>
      </c>
      <c r="G95" s="6" t="s">
        <v>268</v>
      </c>
      <c r="H95" s="6" t="s">
        <v>138</v>
      </c>
      <c r="I95" s="5" t="s">
        <v>139</v>
      </c>
      <c r="J95" s="5" t="s">
        <v>26</v>
      </c>
      <c r="K95" s="7" t="n">
        <v>0.6</v>
      </c>
      <c r="L95" s="6"/>
      <c r="M95" s="4" t="s">
        <v>140</v>
      </c>
      <c r="N95" s="5" t="s">
        <v>266</v>
      </c>
    </row>
    <row r="96" customFormat="false" ht="68.65" hidden="false" customHeight="false" outlineLevel="0" collapsed="false">
      <c r="A96" s="4" t="s">
        <v>18</v>
      </c>
      <c r="B96" s="5" t="s">
        <v>262</v>
      </c>
      <c r="C96" s="6" t="s">
        <v>263</v>
      </c>
      <c r="D96" s="6" t="s">
        <v>270</v>
      </c>
      <c r="E96" s="4" t="s">
        <v>135</v>
      </c>
      <c r="F96" s="4" t="s">
        <v>243</v>
      </c>
      <c r="G96" s="6" t="s">
        <v>268</v>
      </c>
      <c r="H96" s="6" t="s">
        <v>138</v>
      </c>
      <c r="I96" s="5" t="s">
        <v>139</v>
      </c>
      <c r="J96" s="5" t="s">
        <v>26</v>
      </c>
      <c r="K96" s="7" t="n">
        <v>0.6</v>
      </c>
      <c r="L96" s="6"/>
      <c r="M96" s="4" t="s">
        <v>140</v>
      </c>
      <c r="N96" s="5" t="s">
        <v>266</v>
      </c>
    </row>
    <row r="97" customFormat="false" ht="68.65" hidden="false" customHeight="false" outlineLevel="0" collapsed="false">
      <c r="A97" s="4" t="s">
        <v>18</v>
      </c>
      <c r="B97" s="5" t="s">
        <v>262</v>
      </c>
      <c r="C97" s="6" t="s">
        <v>263</v>
      </c>
      <c r="D97" s="6" t="s">
        <v>271</v>
      </c>
      <c r="E97" s="4" t="s">
        <v>135</v>
      </c>
      <c r="F97" s="4" t="s">
        <v>243</v>
      </c>
      <c r="G97" s="6" t="s">
        <v>268</v>
      </c>
      <c r="H97" s="6" t="s">
        <v>138</v>
      </c>
      <c r="I97" s="5" t="s">
        <v>139</v>
      </c>
      <c r="J97" s="5" t="s">
        <v>26</v>
      </c>
      <c r="K97" s="7" t="n">
        <v>0.6</v>
      </c>
      <c r="L97" s="6"/>
      <c r="M97" s="4" t="s">
        <v>140</v>
      </c>
      <c r="N97" s="5" t="s">
        <v>266</v>
      </c>
    </row>
    <row r="98" customFormat="false" ht="68.65" hidden="false" customHeight="false" outlineLevel="0" collapsed="false">
      <c r="A98" s="4" t="s">
        <v>18</v>
      </c>
      <c r="B98" s="5" t="s">
        <v>262</v>
      </c>
      <c r="C98" s="6" t="s">
        <v>263</v>
      </c>
      <c r="D98" s="6" t="s">
        <v>272</v>
      </c>
      <c r="E98" s="4" t="s">
        <v>135</v>
      </c>
      <c r="F98" s="4" t="s">
        <v>243</v>
      </c>
      <c r="G98" s="6" t="s">
        <v>268</v>
      </c>
      <c r="H98" s="6" t="s">
        <v>138</v>
      </c>
      <c r="I98" s="5" t="s">
        <v>139</v>
      </c>
      <c r="J98" s="5" t="s">
        <v>26</v>
      </c>
      <c r="K98" s="7" t="n">
        <v>0.6</v>
      </c>
      <c r="L98" s="6"/>
      <c r="M98" s="4" t="s">
        <v>140</v>
      </c>
      <c r="N98" s="5" t="s">
        <v>266</v>
      </c>
    </row>
    <row r="99" customFormat="false" ht="68.65" hidden="false" customHeight="false" outlineLevel="0" collapsed="false">
      <c r="A99" s="4" t="s">
        <v>18</v>
      </c>
      <c r="B99" s="5" t="s">
        <v>262</v>
      </c>
      <c r="C99" s="6" t="s">
        <v>263</v>
      </c>
      <c r="D99" s="6" t="s">
        <v>273</v>
      </c>
      <c r="E99" s="4" t="s">
        <v>135</v>
      </c>
      <c r="F99" s="4" t="s">
        <v>243</v>
      </c>
      <c r="G99" s="6" t="s">
        <v>268</v>
      </c>
      <c r="H99" s="6" t="s">
        <v>138</v>
      </c>
      <c r="I99" s="5" t="s">
        <v>139</v>
      </c>
      <c r="J99" s="5" t="s">
        <v>26</v>
      </c>
      <c r="K99" s="7" t="n">
        <v>0.6</v>
      </c>
      <c r="L99" s="6"/>
      <c r="M99" s="4" t="s">
        <v>140</v>
      </c>
      <c r="N99" s="5" t="s">
        <v>266</v>
      </c>
    </row>
    <row r="100" customFormat="false" ht="68.65" hidden="false" customHeight="false" outlineLevel="0" collapsed="false">
      <c r="A100" s="4" t="s">
        <v>18</v>
      </c>
      <c r="B100" s="5" t="s">
        <v>262</v>
      </c>
      <c r="C100" s="6" t="s">
        <v>263</v>
      </c>
      <c r="D100" s="6" t="s">
        <v>274</v>
      </c>
      <c r="E100" s="4" t="s">
        <v>135</v>
      </c>
      <c r="F100" s="4" t="s">
        <v>243</v>
      </c>
      <c r="G100" s="6" t="s">
        <v>268</v>
      </c>
      <c r="H100" s="6" t="s">
        <v>138</v>
      </c>
      <c r="I100" s="5" t="s">
        <v>139</v>
      </c>
      <c r="J100" s="5" t="s">
        <v>26</v>
      </c>
      <c r="K100" s="7" t="n">
        <v>0.6</v>
      </c>
      <c r="L100" s="6"/>
      <c r="M100" s="4" t="s">
        <v>140</v>
      </c>
      <c r="N100" s="5" t="s">
        <v>266</v>
      </c>
    </row>
    <row r="101" customFormat="false" ht="68.65" hidden="false" customHeight="false" outlineLevel="0" collapsed="false">
      <c r="A101" s="4" t="s">
        <v>18</v>
      </c>
      <c r="B101" s="5" t="s">
        <v>262</v>
      </c>
      <c r="C101" s="6" t="s">
        <v>263</v>
      </c>
      <c r="D101" s="6" t="s">
        <v>275</v>
      </c>
      <c r="E101" s="4" t="s">
        <v>135</v>
      </c>
      <c r="F101" s="4" t="s">
        <v>243</v>
      </c>
      <c r="G101" s="6" t="s">
        <v>268</v>
      </c>
      <c r="H101" s="6" t="s">
        <v>138</v>
      </c>
      <c r="I101" s="5" t="s">
        <v>139</v>
      </c>
      <c r="J101" s="5" t="s">
        <v>26</v>
      </c>
      <c r="K101" s="7" t="n">
        <v>0.6</v>
      </c>
      <c r="L101" s="6"/>
      <c r="M101" s="4" t="s">
        <v>140</v>
      </c>
      <c r="N101" s="5" t="s">
        <v>266</v>
      </c>
    </row>
    <row r="102" customFormat="false" ht="68.65" hidden="false" customHeight="false" outlineLevel="0" collapsed="false">
      <c r="A102" s="4" t="s">
        <v>18</v>
      </c>
      <c r="B102" s="5" t="s">
        <v>262</v>
      </c>
      <c r="C102" s="6" t="s">
        <v>263</v>
      </c>
      <c r="D102" s="6" t="s">
        <v>276</v>
      </c>
      <c r="E102" s="4" t="s">
        <v>135</v>
      </c>
      <c r="F102" s="4" t="s">
        <v>243</v>
      </c>
      <c r="G102" s="6" t="s">
        <v>268</v>
      </c>
      <c r="H102" s="6" t="s">
        <v>138</v>
      </c>
      <c r="I102" s="5" t="s">
        <v>139</v>
      </c>
      <c r="J102" s="5" t="s">
        <v>26</v>
      </c>
      <c r="K102" s="7" t="n">
        <v>0.6</v>
      </c>
      <c r="L102" s="6"/>
      <c r="M102" s="4" t="s">
        <v>140</v>
      </c>
      <c r="N102" s="5" t="s">
        <v>266</v>
      </c>
    </row>
    <row r="103" customFormat="false" ht="68.65" hidden="false" customHeight="false" outlineLevel="0" collapsed="false">
      <c r="A103" s="4" t="s">
        <v>18</v>
      </c>
      <c r="B103" s="5" t="s">
        <v>262</v>
      </c>
      <c r="C103" s="6" t="s">
        <v>263</v>
      </c>
      <c r="D103" s="6" t="s">
        <v>277</v>
      </c>
      <c r="E103" s="4" t="s">
        <v>135</v>
      </c>
      <c r="F103" s="4" t="s">
        <v>243</v>
      </c>
      <c r="G103" s="6" t="s">
        <v>268</v>
      </c>
      <c r="H103" s="6" t="s">
        <v>138</v>
      </c>
      <c r="I103" s="5" t="s">
        <v>139</v>
      </c>
      <c r="J103" s="5" t="s">
        <v>26</v>
      </c>
      <c r="K103" s="7" t="n">
        <v>0.6</v>
      </c>
      <c r="L103" s="6"/>
      <c r="M103" s="4" t="s">
        <v>140</v>
      </c>
      <c r="N103" s="5" t="s">
        <v>266</v>
      </c>
    </row>
    <row r="104" customFormat="false" ht="68.65" hidden="false" customHeight="false" outlineLevel="0" collapsed="false">
      <c r="A104" s="4" t="s">
        <v>18</v>
      </c>
      <c r="B104" s="5" t="s">
        <v>262</v>
      </c>
      <c r="C104" s="6" t="s">
        <v>263</v>
      </c>
      <c r="D104" s="6" t="s">
        <v>278</v>
      </c>
      <c r="E104" s="4" t="s">
        <v>135</v>
      </c>
      <c r="F104" s="4" t="s">
        <v>243</v>
      </c>
      <c r="G104" s="6" t="s">
        <v>268</v>
      </c>
      <c r="H104" s="6" t="s">
        <v>138</v>
      </c>
      <c r="I104" s="5" t="s">
        <v>139</v>
      </c>
      <c r="J104" s="5" t="s">
        <v>26</v>
      </c>
      <c r="K104" s="7" t="n">
        <v>0.6</v>
      </c>
      <c r="L104" s="6"/>
      <c r="M104" s="4" t="s">
        <v>140</v>
      </c>
      <c r="N104" s="5" t="s">
        <v>266</v>
      </c>
    </row>
    <row r="105" customFormat="false" ht="68.65" hidden="false" customHeight="false" outlineLevel="0" collapsed="false">
      <c r="A105" s="4" t="s">
        <v>18</v>
      </c>
      <c r="B105" s="5" t="s">
        <v>262</v>
      </c>
      <c r="C105" s="6" t="s">
        <v>263</v>
      </c>
      <c r="D105" s="6" t="s">
        <v>279</v>
      </c>
      <c r="E105" s="4" t="s">
        <v>135</v>
      </c>
      <c r="F105" s="4" t="s">
        <v>243</v>
      </c>
      <c r="G105" s="6" t="s">
        <v>268</v>
      </c>
      <c r="H105" s="6" t="s">
        <v>138</v>
      </c>
      <c r="I105" s="5" t="s">
        <v>139</v>
      </c>
      <c r="J105" s="5" t="s">
        <v>26</v>
      </c>
      <c r="K105" s="7" t="n">
        <v>0.6</v>
      </c>
      <c r="L105" s="6"/>
      <c r="M105" s="4" t="s">
        <v>140</v>
      </c>
      <c r="N105" s="5" t="s">
        <v>266</v>
      </c>
    </row>
    <row r="106" customFormat="false" ht="68.65" hidden="false" customHeight="false" outlineLevel="0" collapsed="false">
      <c r="A106" s="4" t="s">
        <v>18</v>
      </c>
      <c r="B106" s="5" t="s">
        <v>262</v>
      </c>
      <c r="C106" s="6" t="s">
        <v>263</v>
      </c>
      <c r="D106" s="6" t="s">
        <v>280</v>
      </c>
      <c r="E106" s="4" t="s">
        <v>135</v>
      </c>
      <c r="F106" s="4" t="s">
        <v>243</v>
      </c>
      <c r="G106" s="6" t="s">
        <v>268</v>
      </c>
      <c r="H106" s="6" t="s">
        <v>138</v>
      </c>
      <c r="I106" s="5" t="s">
        <v>139</v>
      </c>
      <c r="J106" s="5" t="s">
        <v>26</v>
      </c>
      <c r="K106" s="7" t="n">
        <v>0.6</v>
      </c>
      <c r="L106" s="6"/>
      <c r="M106" s="4" t="s">
        <v>140</v>
      </c>
      <c r="N106" s="5" t="s">
        <v>266</v>
      </c>
    </row>
    <row r="107" customFormat="false" ht="68.65" hidden="false" customHeight="false" outlineLevel="0" collapsed="false">
      <c r="A107" s="4" t="s">
        <v>18</v>
      </c>
      <c r="B107" s="5" t="s">
        <v>262</v>
      </c>
      <c r="C107" s="6" t="s">
        <v>263</v>
      </c>
      <c r="D107" s="6" t="s">
        <v>281</v>
      </c>
      <c r="E107" s="4" t="s">
        <v>135</v>
      </c>
      <c r="F107" s="4" t="s">
        <v>243</v>
      </c>
      <c r="G107" s="6" t="s">
        <v>268</v>
      </c>
      <c r="H107" s="6" t="s">
        <v>138</v>
      </c>
      <c r="I107" s="5" t="s">
        <v>139</v>
      </c>
      <c r="J107" s="5" t="s">
        <v>26</v>
      </c>
      <c r="K107" s="7" t="n">
        <v>0.6</v>
      </c>
      <c r="L107" s="6"/>
      <c r="M107" s="4" t="s">
        <v>140</v>
      </c>
      <c r="N107" s="5" t="s">
        <v>266</v>
      </c>
    </row>
    <row r="108" customFormat="false" ht="68.65" hidden="false" customHeight="false" outlineLevel="0" collapsed="false">
      <c r="A108" s="4" t="s">
        <v>18</v>
      </c>
      <c r="B108" s="5" t="s">
        <v>262</v>
      </c>
      <c r="C108" s="6" t="s">
        <v>263</v>
      </c>
      <c r="D108" s="6" t="s">
        <v>282</v>
      </c>
      <c r="E108" s="4" t="s">
        <v>135</v>
      </c>
      <c r="F108" s="4" t="s">
        <v>243</v>
      </c>
      <c r="G108" s="6" t="s">
        <v>268</v>
      </c>
      <c r="H108" s="6" t="s">
        <v>138</v>
      </c>
      <c r="I108" s="5" t="s">
        <v>139</v>
      </c>
      <c r="J108" s="5" t="s">
        <v>26</v>
      </c>
      <c r="K108" s="7" t="n">
        <v>0.6</v>
      </c>
      <c r="L108" s="6"/>
      <c r="M108" s="4" t="s">
        <v>140</v>
      </c>
      <c r="N108" s="5" t="s">
        <v>266</v>
      </c>
    </row>
    <row r="109" customFormat="false" ht="46.25" hidden="false" customHeight="false" outlineLevel="0" collapsed="false">
      <c r="A109" s="4" t="s">
        <v>18</v>
      </c>
      <c r="B109" s="5" t="s">
        <v>267</v>
      </c>
      <c r="C109" s="6" t="s">
        <v>283</v>
      </c>
      <c r="D109" s="6"/>
      <c r="E109" s="4" t="s">
        <v>228</v>
      </c>
      <c r="F109" s="4" t="s">
        <v>172</v>
      </c>
      <c r="G109" s="6" t="s">
        <v>284</v>
      </c>
      <c r="H109" s="6" t="s">
        <v>230</v>
      </c>
      <c r="I109" s="5" t="s">
        <v>231</v>
      </c>
      <c r="J109" s="5" t="s">
        <v>26</v>
      </c>
      <c r="K109" s="7" t="n">
        <v>1</v>
      </c>
      <c r="L109" s="6"/>
      <c r="M109" s="4" t="s">
        <v>232</v>
      </c>
      <c r="N109" s="5" t="s">
        <v>285</v>
      </c>
    </row>
    <row r="110" customFormat="false" ht="46.25" hidden="false" customHeight="false" outlineLevel="0" collapsed="false">
      <c r="A110" s="4" t="s">
        <v>18</v>
      </c>
      <c r="B110" s="5" t="s">
        <v>269</v>
      </c>
      <c r="C110" s="6" t="s">
        <v>41</v>
      </c>
      <c r="D110" s="6"/>
      <c r="E110" s="4" t="s">
        <v>228</v>
      </c>
      <c r="F110" s="4" t="s">
        <v>172</v>
      </c>
      <c r="G110" s="6" t="s">
        <v>284</v>
      </c>
      <c r="H110" s="6" t="s">
        <v>230</v>
      </c>
      <c r="I110" s="5" t="s">
        <v>231</v>
      </c>
      <c r="J110" s="5" t="s">
        <v>26</v>
      </c>
      <c r="K110" s="7" t="n">
        <v>1</v>
      </c>
      <c r="L110" s="6"/>
      <c r="M110" s="4" t="s">
        <v>232</v>
      </c>
      <c r="N110" s="5" t="s">
        <v>286</v>
      </c>
    </row>
    <row r="111" customFormat="false" ht="46.25" hidden="false" customHeight="false" outlineLevel="0" collapsed="false">
      <c r="A111" s="4" t="s">
        <v>18</v>
      </c>
      <c r="B111" s="5" t="s">
        <v>270</v>
      </c>
      <c r="C111" s="6" t="s">
        <v>287</v>
      </c>
      <c r="D111" s="6"/>
      <c r="E111" s="4" t="s">
        <v>228</v>
      </c>
      <c r="F111" s="4" t="s">
        <v>172</v>
      </c>
      <c r="G111" s="6" t="s">
        <v>284</v>
      </c>
      <c r="H111" s="6" t="s">
        <v>230</v>
      </c>
      <c r="I111" s="5" t="s">
        <v>231</v>
      </c>
      <c r="J111" s="5" t="s">
        <v>26</v>
      </c>
      <c r="K111" s="7" t="n">
        <v>1</v>
      </c>
      <c r="L111" s="6"/>
      <c r="M111" s="4" t="s">
        <v>232</v>
      </c>
      <c r="N111" s="5" t="s">
        <v>288</v>
      </c>
    </row>
    <row r="112" customFormat="false" ht="46.25" hidden="false" customHeight="false" outlineLevel="0" collapsed="false">
      <c r="A112" s="4" t="s">
        <v>18</v>
      </c>
      <c r="B112" s="5" t="s">
        <v>271</v>
      </c>
      <c r="C112" s="6" t="s">
        <v>289</v>
      </c>
      <c r="D112" s="6"/>
      <c r="E112" s="4" t="s">
        <v>228</v>
      </c>
      <c r="F112" s="4" t="s">
        <v>172</v>
      </c>
      <c r="G112" s="6" t="s">
        <v>284</v>
      </c>
      <c r="H112" s="6" t="s">
        <v>230</v>
      </c>
      <c r="I112" s="5" t="s">
        <v>231</v>
      </c>
      <c r="J112" s="5" t="s">
        <v>26</v>
      </c>
      <c r="K112" s="7" t="n">
        <v>1</v>
      </c>
      <c r="L112" s="6"/>
      <c r="M112" s="4" t="s">
        <v>232</v>
      </c>
      <c r="N112" s="5" t="s">
        <v>290</v>
      </c>
    </row>
    <row r="113" customFormat="false" ht="46.25" hidden="false" customHeight="false" outlineLevel="0" collapsed="false">
      <c r="A113" s="4" t="s">
        <v>18</v>
      </c>
      <c r="B113" s="5" t="s">
        <v>272</v>
      </c>
      <c r="C113" s="6" t="s">
        <v>291</v>
      </c>
      <c r="D113" s="6"/>
      <c r="E113" s="4" t="s">
        <v>228</v>
      </c>
      <c r="F113" s="4" t="s">
        <v>172</v>
      </c>
      <c r="G113" s="6" t="s">
        <v>284</v>
      </c>
      <c r="H113" s="6" t="s">
        <v>230</v>
      </c>
      <c r="I113" s="5" t="s">
        <v>231</v>
      </c>
      <c r="J113" s="5" t="s">
        <v>26</v>
      </c>
      <c r="K113" s="7" t="n">
        <v>1</v>
      </c>
      <c r="L113" s="6"/>
      <c r="M113" s="4" t="s">
        <v>232</v>
      </c>
      <c r="N113" s="5" t="s">
        <v>292</v>
      </c>
    </row>
    <row r="114" customFormat="false" ht="46.25" hidden="false" customHeight="false" outlineLevel="0" collapsed="false">
      <c r="A114" s="4" t="s">
        <v>18</v>
      </c>
      <c r="B114" s="5" t="s">
        <v>273</v>
      </c>
      <c r="C114" s="6" t="s">
        <v>293</v>
      </c>
      <c r="D114" s="6"/>
      <c r="E114" s="4" t="s">
        <v>228</v>
      </c>
      <c r="F114" s="4" t="s">
        <v>172</v>
      </c>
      <c r="G114" s="6" t="s">
        <v>284</v>
      </c>
      <c r="H114" s="6" t="s">
        <v>230</v>
      </c>
      <c r="I114" s="5" t="s">
        <v>231</v>
      </c>
      <c r="J114" s="5" t="s">
        <v>26</v>
      </c>
      <c r="K114" s="7" t="n">
        <v>1</v>
      </c>
      <c r="L114" s="6"/>
      <c r="M114" s="4" t="s">
        <v>232</v>
      </c>
      <c r="N114" s="5" t="s">
        <v>294</v>
      </c>
    </row>
    <row r="115" customFormat="false" ht="46.25" hidden="false" customHeight="false" outlineLevel="0" collapsed="false">
      <c r="A115" s="4" t="s">
        <v>18</v>
      </c>
      <c r="B115" s="5" t="s">
        <v>274</v>
      </c>
      <c r="C115" s="6" t="s">
        <v>41</v>
      </c>
      <c r="D115" s="6"/>
      <c r="E115" s="4" t="s">
        <v>228</v>
      </c>
      <c r="F115" s="4" t="s">
        <v>172</v>
      </c>
      <c r="G115" s="6" t="s">
        <v>284</v>
      </c>
      <c r="H115" s="6" t="s">
        <v>230</v>
      </c>
      <c r="I115" s="5" t="s">
        <v>231</v>
      </c>
      <c r="J115" s="5" t="s">
        <v>26</v>
      </c>
      <c r="K115" s="7" t="n">
        <v>1</v>
      </c>
      <c r="L115" s="6"/>
      <c r="M115" s="4" t="s">
        <v>232</v>
      </c>
      <c r="N115" s="5" t="s">
        <v>295</v>
      </c>
    </row>
    <row r="116" customFormat="false" ht="46.25" hidden="false" customHeight="false" outlineLevel="0" collapsed="false">
      <c r="A116" s="4" t="s">
        <v>18</v>
      </c>
      <c r="B116" s="5" t="s">
        <v>275</v>
      </c>
      <c r="C116" s="6" t="s">
        <v>296</v>
      </c>
      <c r="D116" s="6"/>
      <c r="E116" s="4" t="s">
        <v>228</v>
      </c>
      <c r="F116" s="4" t="s">
        <v>172</v>
      </c>
      <c r="G116" s="6" t="s">
        <v>284</v>
      </c>
      <c r="H116" s="6" t="s">
        <v>230</v>
      </c>
      <c r="I116" s="5" t="s">
        <v>231</v>
      </c>
      <c r="J116" s="5" t="s">
        <v>26</v>
      </c>
      <c r="K116" s="7" t="n">
        <v>1</v>
      </c>
      <c r="L116" s="6"/>
      <c r="M116" s="4" t="s">
        <v>232</v>
      </c>
      <c r="N116" s="5" t="s">
        <v>297</v>
      </c>
    </row>
    <row r="117" customFormat="false" ht="46.25" hidden="false" customHeight="false" outlineLevel="0" collapsed="false">
      <c r="A117" s="4" t="s">
        <v>18</v>
      </c>
      <c r="B117" s="5" t="s">
        <v>276</v>
      </c>
      <c r="C117" s="6" t="s">
        <v>298</v>
      </c>
      <c r="D117" s="6" t="s">
        <v>299</v>
      </c>
      <c r="E117" s="4" t="s">
        <v>228</v>
      </c>
      <c r="F117" s="4" t="s">
        <v>172</v>
      </c>
      <c r="G117" s="6" t="s">
        <v>284</v>
      </c>
      <c r="H117" s="6" t="s">
        <v>230</v>
      </c>
      <c r="I117" s="5" t="s">
        <v>231</v>
      </c>
      <c r="J117" s="5" t="s">
        <v>26</v>
      </c>
      <c r="K117" s="7" t="n">
        <v>1</v>
      </c>
      <c r="L117" s="6"/>
      <c r="M117" s="4" t="s">
        <v>232</v>
      </c>
      <c r="N117" s="5" t="s">
        <v>300</v>
      </c>
    </row>
    <row r="118" customFormat="false" ht="68.65" hidden="false" customHeight="false" outlineLevel="0" collapsed="false">
      <c r="A118" s="4" t="s">
        <v>18</v>
      </c>
      <c r="B118" s="5" t="s">
        <v>299</v>
      </c>
      <c r="C118" s="6" t="s">
        <v>301</v>
      </c>
      <c r="D118" s="6"/>
      <c r="E118" s="4" t="s">
        <v>135</v>
      </c>
      <c r="F118" s="4" t="s">
        <v>243</v>
      </c>
      <c r="G118" s="6" t="s">
        <v>268</v>
      </c>
      <c r="H118" s="6" t="s">
        <v>138</v>
      </c>
      <c r="I118" s="5" t="s">
        <v>139</v>
      </c>
      <c r="J118" s="5" t="s">
        <v>26</v>
      </c>
      <c r="K118" s="7" t="n">
        <v>0.6</v>
      </c>
      <c r="L118" s="6"/>
      <c r="M118" s="4" t="s">
        <v>140</v>
      </c>
      <c r="N118" s="5" t="s">
        <v>302</v>
      </c>
    </row>
    <row r="119" customFormat="false" ht="46.25" hidden="false" customHeight="false" outlineLevel="0" collapsed="false">
      <c r="A119" s="4" t="s">
        <v>18</v>
      </c>
      <c r="B119" s="5" t="s">
        <v>277</v>
      </c>
      <c r="C119" s="6" t="s">
        <v>303</v>
      </c>
      <c r="D119" s="6"/>
      <c r="E119" s="4" t="s">
        <v>228</v>
      </c>
      <c r="F119" s="4" t="s">
        <v>172</v>
      </c>
      <c r="G119" s="6" t="s">
        <v>284</v>
      </c>
      <c r="H119" s="6" t="s">
        <v>230</v>
      </c>
      <c r="I119" s="5" t="s">
        <v>231</v>
      </c>
      <c r="J119" s="5" t="s">
        <v>26</v>
      </c>
      <c r="K119" s="7" t="n">
        <v>1</v>
      </c>
      <c r="L119" s="6"/>
      <c r="M119" s="4" t="s">
        <v>232</v>
      </c>
      <c r="N119" s="5" t="s">
        <v>304</v>
      </c>
    </row>
    <row r="120" customFormat="false" ht="68.65" hidden="false" customHeight="false" outlineLevel="0" collapsed="false">
      <c r="A120" s="4" t="s">
        <v>18</v>
      </c>
      <c r="B120" s="5" t="s">
        <v>305</v>
      </c>
      <c r="C120" s="6" t="s">
        <v>41</v>
      </c>
      <c r="D120" s="6"/>
      <c r="E120" s="4" t="s">
        <v>135</v>
      </c>
      <c r="F120" s="4" t="s">
        <v>243</v>
      </c>
      <c r="G120" s="6" t="s">
        <v>268</v>
      </c>
      <c r="H120" s="6" t="s">
        <v>138</v>
      </c>
      <c r="I120" s="5" t="s">
        <v>139</v>
      </c>
      <c r="J120" s="5" t="s">
        <v>26</v>
      </c>
      <c r="K120" s="7" t="n">
        <v>0.6</v>
      </c>
      <c r="L120" s="6"/>
      <c r="M120" s="4" t="s">
        <v>140</v>
      </c>
      <c r="N120" s="5" t="s">
        <v>306</v>
      </c>
    </row>
    <row r="121" customFormat="false" ht="91" hidden="false" customHeight="false" outlineLevel="0" collapsed="false">
      <c r="A121" s="4" t="s">
        <v>18</v>
      </c>
      <c r="B121" s="5" t="s">
        <v>307</v>
      </c>
      <c r="C121" s="6" t="s">
        <v>41</v>
      </c>
      <c r="D121" s="6"/>
      <c r="E121" s="4" t="s">
        <v>21</v>
      </c>
      <c r="F121" s="4" t="s">
        <v>89</v>
      </c>
      <c r="G121" s="6" t="s">
        <v>90</v>
      </c>
      <c r="H121" s="6" t="s">
        <v>24</v>
      </c>
      <c r="I121" s="5" t="s">
        <v>25</v>
      </c>
      <c r="J121" s="5" t="s">
        <v>26</v>
      </c>
      <c r="K121" s="7" t="n">
        <v>0.6</v>
      </c>
      <c r="L121" s="6"/>
      <c r="M121" s="4" t="s">
        <v>27</v>
      </c>
      <c r="N121" s="5" t="s">
        <v>308</v>
      </c>
    </row>
    <row r="122" customFormat="false" ht="23.85" hidden="false" customHeight="false" outlineLevel="0" collapsed="false">
      <c r="A122" s="4" t="s">
        <v>18</v>
      </c>
      <c r="B122" s="5" t="s">
        <v>279</v>
      </c>
      <c r="C122" s="6" t="s">
        <v>41</v>
      </c>
      <c r="D122" s="6"/>
      <c r="E122" s="4" t="s">
        <v>47</v>
      </c>
      <c r="F122" s="4" t="s">
        <v>239</v>
      </c>
      <c r="G122" s="6" t="s">
        <v>309</v>
      </c>
      <c r="H122" s="6" t="s">
        <v>50</v>
      </c>
      <c r="I122" s="5" t="s">
        <v>51</v>
      </c>
      <c r="J122" s="5" t="s">
        <v>26</v>
      </c>
      <c r="K122" s="7" t="n">
        <v>1</v>
      </c>
      <c r="L122" s="6"/>
      <c r="M122" s="4" t="s">
        <v>52</v>
      </c>
      <c r="N122" s="5" t="s">
        <v>310</v>
      </c>
    </row>
    <row r="123" customFormat="false" ht="23.85" hidden="false" customHeight="false" outlineLevel="0" collapsed="false">
      <c r="A123" s="4" t="s">
        <v>18</v>
      </c>
      <c r="B123" s="5" t="s">
        <v>280</v>
      </c>
      <c r="C123" s="6" t="s">
        <v>41</v>
      </c>
      <c r="D123" s="6"/>
      <c r="E123" s="4" t="s">
        <v>47</v>
      </c>
      <c r="F123" s="4" t="s">
        <v>239</v>
      </c>
      <c r="G123" s="6" t="s">
        <v>309</v>
      </c>
      <c r="H123" s="6" t="s">
        <v>50</v>
      </c>
      <c r="I123" s="5" t="s">
        <v>51</v>
      </c>
      <c r="J123" s="5" t="s">
        <v>26</v>
      </c>
      <c r="K123" s="7" t="n">
        <v>1</v>
      </c>
      <c r="L123" s="6"/>
      <c r="M123" s="4" t="s">
        <v>52</v>
      </c>
      <c r="N123" s="5" t="s">
        <v>311</v>
      </c>
    </row>
    <row r="124" customFormat="false" ht="23.85" hidden="false" customHeight="false" outlineLevel="0" collapsed="false">
      <c r="A124" s="4" t="s">
        <v>18</v>
      </c>
      <c r="B124" s="5" t="s">
        <v>281</v>
      </c>
      <c r="C124" s="6" t="s">
        <v>41</v>
      </c>
      <c r="D124" s="6"/>
      <c r="E124" s="4" t="s">
        <v>47</v>
      </c>
      <c r="F124" s="4" t="s">
        <v>239</v>
      </c>
      <c r="G124" s="6" t="s">
        <v>309</v>
      </c>
      <c r="H124" s="6" t="s">
        <v>50</v>
      </c>
      <c r="I124" s="5" t="s">
        <v>51</v>
      </c>
      <c r="J124" s="5" t="s">
        <v>26</v>
      </c>
      <c r="K124" s="7" t="n">
        <v>1</v>
      </c>
      <c r="L124" s="6"/>
      <c r="M124" s="4" t="s">
        <v>52</v>
      </c>
      <c r="N124" s="5" t="s">
        <v>312</v>
      </c>
    </row>
    <row r="125" customFormat="false" ht="23.85" hidden="false" customHeight="false" outlineLevel="0" collapsed="false">
      <c r="A125" s="4" t="s">
        <v>18</v>
      </c>
      <c r="B125" s="5" t="s">
        <v>282</v>
      </c>
      <c r="C125" s="6" t="s">
        <v>41</v>
      </c>
      <c r="D125" s="6"/>
      <c r="E125" s="4" t="s">
        <v>47</v>
      </c>
      <c r="F125" s="4" t="s">
        <v>239</v>
      </c>
      <c r="G125" s="6" t="s">
        <v>309</v>
      </c>
      <c r="H125" s="6" t="s">
        <v>50</v>
      </c>
      <c r="I125" s="5" t="s">
        <v>51</v>
      </c>
      <c r="J125" s="5" t="s">
        <v>26</v>
      </c>
      <c r="K125" s="7" t="n">
        <v>1</v>
      </c>
      <c r="L125" s="6"/>
      <c r="M125" s="4" t="s">
        <v>52</v>
      </c>
      <c r="N125" s="5" t="s">
        <v>313</v>
      </c>
    </row>
    <row r="126" customFormat="false" ht="23.85" hidden="false" customHeight="false" outlineLevel="0" collapsed="false">
      <c r="A126" s="4" t="s">
        <v>18</v>
      </c>
      <c r="B126" s="5" t="s">
        <v>314</v>
      </c>
      <c r="C126" s="6" t="s">
        <v>315</v>
      </c>
      <c r="D126" s="6"/>
      <c r="E126" s="4" t="s">
        <v>228</v>
      </c>
      <c r="F126" s="4" t="s">
        <v>205</v>
      </c>
      <c r="G126" s="6" t="s">
        <v>316</v>
      </c>
      <c r="H126" s="6" t="s">
        <v>230</v>
      </c>
      <c r="I126" s="5" t="s">
        <v>231</v>
      </c>
      <c r="J126" s="5" t="s">
        <v>26</v>
      </c>
      <c r="K126" s="7" t="n">
        <v>1</v>
      </c>
      <c r="L126" s="6"/>
      <c r="M126" s="4" t="s">
        <v>232</v>
      </c>
      <c r="N126" s="5" t="s">
        <v>317</v>
      </c>
    </row>
    <row r="127" customFormat="false" ht="68.65" hidden="false" customHeight="false" outlineLevel="0" collapsed="false">
      <c r="A127" s="4" t="s">
        <v>18</v>
      </c>
      <c r="B127" s="5" t="s">
        <v>318</v>
      </c>
      <c r="C127" s="6" t="s">
        <v>319</v>
      </c>
      <c r="D127" s="6" t="s">
        <v>320</v>
      </c>
      <c r="E127" s="4" t="s">
        <v>135</v>
      </c>
      <c r="F127" s="4" t="s">
        <v>243</v>
      </c>
      <c r="G127" s="6" t="s">
        <v>268</v>
      </c>
      <c r="H127" s="6" t="s">
        <v>138</v>
      </c>
      <c r="I127" s="5" t="s">
        <v>139</v>
      </c>
      <c r="J127" s="5" t="s">
        <v>26</v>
      </c>
      <c r="K127" s="7" t="n">
        <v>0.6</v>
      </c>
      <c r="L127" s="6"/>
      <c r="M127" s="4" t="s">
        <v>140</v>
      </c>
      <c r="N127" s="5" t="s">
        <v>321</v>
      </c>
    </row>
    <row r="128" customFormat="false" ht="68.65" hidden="false" customHeight="false" outlineLevel="0" collapsed="false">
      <c r="A128" s="4" t="s">
        <v>18</v>
      </c>
      <c r="B128" s="5" t="s">
        <v>318</v>
      </c>
      <c r="C128" s="6" t="s">
        <v>319</v>
      </c>
      <c r="D128" s="6" t="s">
        <v>322</v>
      </c>
      <c r="E128" s="4" t="s">
        <v>135</v>
      </c>
      <c r="F128" s="4" t="s">
        <v>243</v>
      </c>
      <c r="G128" s="6" t="s">
        <v>268</v>
      </c>
      <c r="H128" s="6" t="s">
        <v>138</v>
      </c>
      <c r="I128" s="5" t="s">
        <v>139</v>
      </c>
      <c r="J128" s="5" t="s">
        <v>26</v>
      </c>
      <c r="K128" s="7" t="n">
        <v>0.6</v>
      </c>
      <c r="L128" s="6"/>
      <c r="M128" s="4" t="s">
        <v>140</v>
      </c>
      <c r="N128" s="5" t="s">
        <v>321</v>
      </c>
    </row>
    <row r="129" customFormat="false" ht="68.65" hidden="false" customHeight="false" outlineLevel="0" collapsed="false">
      <c r="A129" s="4" t="s">
        <v>18</v>
      </c>
      <c r="B129" s="5" t="s">
        <v>318</v>
      </c>
      <c r="C129" s="6" t="s">
        <v>319</v>
      </c>
      <c r="D129" s="6" t="s">
        <v>323</v>
      </c>
      <c r="E129" s="4" t="s">
        <v>135</v>
      </c>
      <c r="F129" s="4" t="s">
        <v>243</v>
      </c>
      <c r="G129" s="6" t="s">
        <v>268</v>
      </c>
      <c r="H129" s="6" t="s">
        <v>138</v>
      </c>
      <c r="I129" s="5" t="s">
        <v>139</v>
      </c>
      <c r="J129" s="5" t="s">
        <v>26</v>
      </c>
      <c r="K129" s="7" t="n">
        <v>0.6</v>
      </c>
      <c r="L129" s="6"/>
      <c r="M129" s="4" t="s">
        <v>140</v>
      </c>
      <c r="N129" s="5" t="s">
        <v>321</v>
      </c>
    </row>
    <row r="130" customFormat="false" ht="68.65" hidden="false" customHeight="false" outlineLevel="0" collapsed="false">
      <c r="A130" s="4" t="s">
        <v>18</v>
      </c>
      <c r="B130" s="5" t="s">
        <v>318</v>
      </c>
      <c r="C130" s="6" t="s">
        <v>319</v>
      </c>
      <c r="D130" s="6" t="s">
        <v>324</v>
      </c>
      <c r="E130" s="4" t="s">
        <v>135</v>
      </c>
      <c r="F130" s="4" t="s">
        <v>243</v>
      </c>
      <c r="G130" s="6" t="s">
        <v>268</v>
      </c>
      <c r="H130" s="6" t="s">
        <v>138</v>
      </c>
      <c r="I130" s="5" t="s">
        <v>139</v>
      </c>
      <c r="J130" s="5" t="s">
        <v>26</v>
      </c>
      <c r="K130" s="7" t="n">
        <v>0.6</v>
      </c>
      <c r="L130" s="6"/>
      <c r="M130" s="4" t="s">
        <v>140</v>
      </c>
      <c r="N130" s="5" t="s">
        <v>321</v>
      </c>
    </row>
    <row r="131" customFormat="false" ht="68.65" hidden="false" customHeight="false" outlineLevel="0" collapsed="false">
      <c r="A131" s="4" t="s">
        <v>18</v>
      </c>
      <c r="B131" s="5" t="s">
        <v>318</v>
      </c>
      <c r="C131" s="6" t="s">
        <v>319</v>
      </c>
      <c r="D131" s="6" t="s">
        <v>325</v>
      </c>
      <c r="E131" s="4" t="s">
        <v>135</v>
      </c>
      <c r="F131" s="4" t="s">
        <v>243</v>
      </c>
      <c r="G131" s="6" t="s">
        <v>268</v>
      </c>
      <c r="H131" s="6" t="s">
        <v>138</v>
      </c>
      <c r="I131" s="5" t="s">
        <v>139</v>
      </c>
      <c r="J131" s="5" t="s">
        <v>26</v>
      </c>
      <c r="K131" s="7" t="n">
        <v>0.6</v>
      </c>
      <c r="L131" s="6"/>
      <c r="M131" s="4" t="s">
        <v>140</v>
      </c>
      <c r="N131" s="5" t="s">
        <v>321</v>
      </c>
    </row>
    <row r="132" customFormat="false" ht="68.65" hidden="false" customHeight="false" outlineLevel="0" collapsed="false">
      <c r="A132" s="4" t="s">
        <v>18</v>
      </c>
      <c r="B132" s="5" t="s">
        <v>318</v>
      </c>
      <c r="C132" s="6" t="s">
        <v>319</v>
      </c>
      <c r="D132" s="6" t="s">
        <v>326</v>
      </c>
      <c r="E132" s="4" t="s">
        <v>135</v>
      </c>
      <c r="F132" s="4" t="s">
        <v>243</v>
      </c>
      <c r="G132" s="6" t="s">
        <v>268</v>
      </c>
      <c r="H132" s="6" t="s">
        <v>138</v>
      </c>
      <c r="I132" s="5" t="s">
        <v>139</v>
      </c>
      <c r="J132" s="5" t="s">
        <v>26</v>
      </c>
      <c r="K132" s="7" t="n">
        <v>0.6</v>
      </c>
      <c r="L132" s="6"/>
      <c r="M132" s="4" t="s">
        <v>140</v>
      </c>
      <c r="N132" s="5" t="s">
        <v>321</v>
      </c>
    </row>
    <row r="133" customFormat="false" ht="68.65" hidden="false" customHeight="false" outlineLevel="0" collapsed="false">
      <c r="A133" s="4" t="s">
        <v>18</v>
      </c>
      <c r="B133" s="5" t="s">
        <v>318</v>
      </c>
      <c r="C133" s="6" t="s">
        <v>319</v>
      </c>
      <c r="D133" s="6" t="s">
        <v>327</v>
      </c>
      <c r="E133" s="4" t="s">
        <v>135</v>
      </c>
      <c r="F133" s="4" t="s">
        <v>243</v>
      </c>
      <c r="G133" s="6" t="s">
        <v>268</v>
      </c>
      <c r="H133" s="6" t="s">
        <v>138</v>
      </c>
      <c r="I133" s="5" t="s">
        <v>139</v>
      </c>
      <c r="J133" s="5" t="s">
        <v>26</v>
      </c>
      <c r="K133" s="7" t="n">
        <v>0.6</v>
      </c>
      <c r="L133" s="6"/>
      <c r="M133" s="4" t="s">
        <v>140</v>
      </c>
      <c r="N133" s="5" t="s">
        <v>321</v>
      </c>
    </row>
    <row r="134" customFormat="false" ht="68.65" hidden="false" customHeight="false" outlineLevel="0" collapsed="false">
      <c r="A134" s="4" t="s">
        <v>18</v>
      </c>
      <c r="B134" s="5" t="s">
        <v>318</v>
      </c>
      <c r="C134" s="6" t="s">
        <v>319</v>
      </c>
      <c r="D134" s="6" t="s">
        <v>328</v>
      </c>
      <c r="E134" s="4" t="s">
        <v>135</v>
      </c>
      <c r="F134" s="4" t="s">
        <v>243</v>
      </c>
      <c r="G134" s="6" t="s">
        <v>268</v>
      </c>
      <c r="H134" s="6" t="s">
        <v>138</v>
      </c>
      <c r="I134" s="5" t="s">
        <v>139</v>
      </c>
      <c r="J134" s="5" t="s">
        <v>26</v>
      </c>
      <c r="K134" s="7" t="n">
        <v>0.6</v>
      </c>
      <c r="L134" s="6"/>
      <c r="M134" s="4" t="s">
        <v>140</v>
      </c>
      <c r="N134" s="5" t="s">
        <v>321</v>
      </c>
    </row>
    <row r="135" customFormat="false" ht="68.65" hidden="false" customHeight="false" outlineLevel="0" collapsed="false">
      <c r="A135" s="4" t="s">
        <v>18</v>
      </c>
      <c r="B135" s="5" t="s">
        <v>318</v>
      </c>
      <c r="C135" s="6" t="s">
        <v>319</v>
      </c>
      <c r="D135" s="6" t="s">
        <v>329</v>
      </c>
      <c r="E135" s="4" t="s">
        <v>135</v>
      </c>
      <c r="F135" s="4" t="s">
        <v>243</v>
      </c>
      <c r="G135" s="6" t="s">
        <v>268</v>
      </c>
      <c r="H135" s="6" t="s">
        <v>138</v>
      </c>
      <c r="I135" s="5" t="s">
        <v>139</v>
      </c>
      <c r="J135" s="5" t="s">
        <v>26</v>
      </c>
      <c r="K135" s="7" t="n">
        <v>0.6</v>
      </c>
      <c r="L135" s="6"/>
      <c r="M135" s="4" t="s">
        <v>140</v>
      </c>
      <c r="N135" s="5" t="s">
        <v>321</v>
      </c>
    </row>
    <row r="136" customFormat="false" ht="68.65" hidden="false" customHeight="false" outlineLevel="0" collapsed="false">
      <c r="A136" s="4" t="s">
        <v>18</v>
      </c>
      <c r="B136" s="5" t="s">
        <v>318</v>
      </c>
      <c r="C136" s="6" t="s">
        <v>319</v>
      </c>
      <c r="D136" s="6" t="s">
        <v>330</v>
      </c>
      <c r="E136" s="4" t="s">
        <v>135</v>
      </c>
      <c r="F136" s="4" t="s">
        <v>243</v>
      </c>
      <c r="G136" s="6" t="s">
        <v>268</v>
      </c>
      <c r="H136" s="6" t="s">
        <v>138</v>
      </c>
      <c r="I136" s="5" t="s">
        <v>139</v>
      </c>
      <c r="J136" s="5" t="s">
        <v>26</v>
      </c>
      <c r="K136" s="7" t="n">
        <v>0.6</v>
      </c>
      <c r="L136" s="6"/>
      <c r="M136" s="4" t="s">
        <v>140</v>
      </c>
      <c r="N136" s="5" t="s">
        <v>321</v>
      </c>
    </row>
    <row r="137" customFormat="false" ht="68.65" hidden="false" customHeight="false" outlineLevel="0" collapsed="false">
      <c r="A137" s="4" t="s">
        <v>18</v>
      </c>
      <c r="B137" s="5" t="s">
        <v>318</v>
      </c>
      <c r="C137" s="6" t="s">
        <v>319</v>
      </c>
      <c r="D137" s="6" t="s">
        <v>331</v>
      </c>
      <c r="E137" s="4" t="s">
        <v>135</v>
      </c>
      <c r="F137" s="4" t="s">
        <v>243</v>
      </c>
      <c r="G137" s="6" t="s">
        <v>268</v>
      </c>
      <c r="H137" s="6" t="s">
        <v>138</v>
      </c>
      <c r="I137" s="5" t="s">
        <v>139</v>
      </c>
      <c r="J137" s="5" t="s">
        <v>26</v>
      </c>
      <c r="K137" s="7" t="n">
        <v>0.6</v>
      </c>
      <c r="L137" s="6"/>
      <c r="M137" s="4" t="s">
        <v>140</v>
      </c>
      <c r="N137" s="5" t="s">
        <v>321</v>
      </c>
    </row>
    <row r="138" customFormat="false" ht="68.65" hidden="false" customHeight="false" outlineLevel="0" collapsed="false">
      <c r="A138" s="4" t="s">
        <v>18</v>
      </c>
      <c r="B138" s="5" t="s">
        <v>318</v>
      </c>
      <c r="C138" s="6" t="s">
        <v>319</v>
      </c>
      <c r="D138" s="6" t="s">
        <v>332</v>
      </c>
      <c r="E138" s="4" t="s">
        <v>135</v>
      </c>
      <c r="F138" s="4" t="s">
        <v>243</v>
      </c>
      <c r="G138" s="6" t="s">
        <v>268</v>
      </c>
      <c r="H138" s="6" t="s">
        <v>138</v>
      </c>
      <c r="I138" s="5" t="s">
        <v>139</v>
      </c>
      <c r="J138" s="5" t="s">
        <v>26</v>
      </c>
      <c r="K138" s="7" t="n">
        <v>0.6</v>
      </c>
      <c r="L138" s="6"/>
      <c r="M138" s="4" t="s">
        <v>140</v>
      </c>
      <c r="N138" s="5" t="s">
        <v>321</v>
      </c>
    </row>
    <row r="139" customFormat="false" ht="23.85" hidden="false" customHeight="false" outlineLevel="0" collapsed="false">
      <c r="A139" s="4" t="s">
        <v>18</v>
      </c>
      <c r="B139" s="5" t="s">
        <v>320</v>
      </c>
      <c r="C139" s="6" t="s">
        <v>333</v>
      </c>
      <c r="D139" s="6"/>
      <c r="E139" s="4" t="s">
        <v>228</v>
      </c>
      <c r="F139" s="4" t="s">
        <v>334</v>
      </c>
      <c r="G139" s="6" t="s">
        <v>335</v>
      </c>
      <c r="H139" s="6" t="s">
        <v>230</v>
      </c>
      <c r="I139" s="5" t="s">
        <v>231</v>
      </c>
      <c r="J139" s="5" t="s">
        <v>26</v>
      </c>
      <c r="K139" s="7" t="n">
        <v>1</v>
      </c>
      <c r="L139" s="6"/>
      <c r="M139" s="4" t="s">
        <v>232</v>
      </c>
      <c r="N139" s="5" t="s">
        <v>336</v>
      </c>
    </row>
    <row r="140" customFormat="false" ht="46.25" hidden="false" customHeight="false" outlineLevel="0" collapsed="false">
      <c r="A140" s="4" t="s">
        <v>18</v>
      </c>
      <c r="B140" s="5" t="s">
        <v>322</v>
      </c>
      <c r="C140" s="6" t="s">
        <v>337</v>
      </c>
      <c r="D140" s="6"/>
      <c r="E140" s="4" t="s">
        <v>228</v>
      </c>
      <c r="F140" s="4" t="s">
        <v>186</v>
      </c>
      <c r="G140" s="6" t="s">
        <v>338</v>
      </c>
      <c r="H140" s="6" t="s">
        <v>230</v>
      </c>
      <c r="I140" s="5" t="s">
        <v>231</v>
      </c>
      <c r="J140" s="5" t="s">
        <v>26</v>
      </c>
      <c r="K140" s="7" t="n">
        <v>1</v>
      </c>
      <c r="L140" s="6"/>
      <c r="M140" s="4" t="s">
        <v>232</v>
      </c>
      <c r="N140" s="5" t="s">
        <v>339</v>
      </c>
    </row>
    <row r="141" customFormat="false" ht="46.25" hidden="false" customHeight="false" outlineLevel="0" collapsed="false">
      <c r="A141" s="4" t="s">
        <v>18</v>
      </c>
      <c r="B141" s="5" t="s">
        <v>323</v>
      </c>
      <c r="C141" s="6" t="s">
        <v>340</v>
      </c>
      <c r="D141" s="6"/>
      <c r="E141" s="4" t="s">
        <v>228</v>
      </c>
      <c r="F141" s="4" t="s">
        <v>186</v>
      </c>
      <c r="G141" s="6" t="s">
        <v>338</v>
      </c>
      <c r="H141" s="6" t="s">
        <v>230</v>
      </c>
      <c r="I141" s="5" t="s">
        <v>231</v>
      </c>
      <c r="J141" s="5" t="s">
        <v>26</v>
      </c>
      <c r="K141" s="7" t="n">
        <v>1</v>
      </c>
      <c r="L141" s="6"/>
      <c r="M141" s="4" t="s">
        <v>232</v>
      </c>
      <c r="N141" s="5" t="s">
        <v>341</v>
      </c>
    </row>
    <row r="142" customFormat="false" ht="46.25" hidden="false" customHeight="false" outlineLevel="0" collapsed="false">
      <c r="A142" s="4" t="s">
        <v>18</v>
      </c>
      <c r="B142" s="5" t="s">
        <v>324</v>
      </c>
      <c r="C142" s="6" t="s">
        <v>342</v>
      </c>
      <c r="D142" s="6"/>
      <c r="E142" s="4" t="s">
        <v>228</v>
      </c>
      <c r="F142" s="4" t="s">
        <v>186</v>
      </c>
      <c r="G142" s="6" t="s">
        <v>338</v>
      </c>
      <c r="H142" s="6" t="s">
        <v>230</v>
      </c>
      <c r="I142" s="5" t="s">
        <v>231</v>
      </c>
      <c r="J142" s="5" t="s">
        <v>26</v>
      </c>
      <c r="K142" s="7" t="n">
        <v>1</v>
      </c>
      <c r="L142" s="6"/>
      <c r="M142" s="4" t="s">
        <v>232</v>
      </c>
      <c r="N142" s="5" t="s">
        <v>343</v>
      </c>
    </row>
    <row r="143" customFormat="false" ht="46.25" hidden="false" customHeight="false" outlineLevel="0" collapsed="false">
      <c r="A143" s="4" t="s">
        <v>18</v>
      </c>
      <c r="B143" s="5" t="s">
        <v>325</v>
      </c>
      <c r="C143" s="6" t="s">
        <v>344</v>
      </c>
      <c r="D143" s="6"/>
      <c r="E143" s="4" t="s">
        <v>228</v>
      </c>
      <c r="F143" s="4" t="s">
        <v>186</v>
      </c>
      <c r="G143" s="6" t="s">
        <v>338</v>
      </c>
      <c r="H143" s="6" t="s">
        <v>230</v>
      </c>
      <c r="I143" s="5" t="s">
        <v>231</v>
      </c>
      <c r="J143" s="5" t="s">
        <v>26</v>
      </c>
      <c r="K143" s="7" t="n">
        <v>1</v>
      </c>
      <c r="L143" s="6"/>
      <c r="M143" s="4" t="s">
        <v>232</v>
      </c>
      <c r="N143" s="5" t="s">
        <v>345</v>
      </c>
    </row>
    <row r="144" customFormat="false" ht="46.25" hidden="false" customHeight="false" outlineLevel="0" collapsed="false">
      <c r="A144" s="4" t="s">
        <v>18</v>
      </c>
      <c r="B144" s="5" t="s">
        <v>326</v>
      </c>
      <c r="C144" s="6" t="s">
        <v>346</v>
      </c>
      <c r="D144" s="6"/>
      <c r="E144" s="4" t="s">
        <v>228</v>
      </c>
      <c r="F144" s="4" t="s">
        <v>186</v>
      </c>
      <c r="G144" s="6" t="s">
        <v>338</v>
      </c>
      <c r="H144" s="6" t="s">
        <v>230</v>
      </c>
      <c r="I144" s="5" t="s">
        <v>231</v>
      </c>
      <c r="J144" s="5" t="s">
        <v>26</v>
      </c>
      <c r="K144" s="7" t="n">
        <v>1</v>
      </c>
      <c r="L144" s="6"/>
      <c r="M144" s="4" t="s">
        <v>232</v>
      </c>
      <c r="N144" s="5" t="s">
        <v>347</v>
      </c>
    </row>
    <row r="145" customFormat="false" ht="46.25" hidden="false" customHeight="false" outlineLevel="0" collapsed="false">
      <c r="A145" s="4" t="s">
        <v>18</v>
      </c>
      <c r="B145" s="5" t="s">
        <v>327</v>
      </c>
      <c r="C145" s="6" t="s">
        <v>348</v>
      </c>
      <c r="D145" s="6"/>
      <c r="E145" s="4" t="s">
        <v>228</v>
      </c>
      <c r="F145" s="4" t="s">
        <v>186</v>
      </c>
      <c r="G145" s="6" t="s">
        <v>338</v>
      </c>
      <c r="H145" s="6" t="s">
        <v>230</v>
      </c>
      <c r="I145" s="5" t="s">
        <v>231</v>
      </c>
      <c r="J145" s="5" t="s">
        <v>26</v>
      </c>
      <c r="K145" s="7" t="n">
        <v>1</v>
      </c>
      <c r="L145" s="6"/>
      <c r="M145" s="4" t="s">
        <v>232</v>
      </c>
      <c r="N145" s="5" t="s">
        <v>349</v>
      </c>
    </row>
    <row r="146" customFormat="false" ht="46.25" hidden="false" customHeight="false" outlineLevel="0" collapsed="false">
      <c r="A146" s="4" t="s">
        <v>18</v>
      </c>
      <c r="B146" s="5" t="s">
        <v>328</v>
      </c>
      <c r="C146" s="6" t="s">
        <v>350</v>
      </c>
      <c r="D146" s="6"/>
      <c r="E146" s="4" t="s">
        <v>228</v>
      </c>
      <c r="F146" s="4" t="s">
        <v>186</v>
      </c>
      <c r="G146" s="6" t="s">
        <v>338</v>
      </c>
      <c r="H146" s="6" t="s">
        <v>230</v>
      </c>
      <c r="I146" s="5" t="s">
        <v>231</v>
      </c>
      <c r="J146" s="5" t="s">
        <v>26</v>
      </c>
      <c r="K146" s="7" t="n">
        <v>1</v>
      </c>
      <c r="L146" s="6"/>
      <c r="M146" s="4" t="s">
        <v>232</v>
      </c>
      <c r="N146" s="5" t="s">
        <v>351</v>
      </c>
    </row>
    <row r="147" customFormat="false" ht="46.25" hidden="false" customHeight="false" outlineLevel="0" collapsed="false">
      <c r="A147" s="4" t="s">
        <v>18</v>
      </c>
      <c r="B147" s="5" t="s">
        <v>329</v>
      </c>
      <c r="C147" s="6" t="s">
        <v>352</v>
      </c>
      <c r="D147" s="6"/>
      <c r="E147" s="4" t="s">
        <v>228</v>
      </c>
      <c r="F147" s="4" t="s">
        <v>186</v>
      </c>
      <c r="G147" s="6" t="s">
        <v>338</v>
      </c>
      <c r="H147" s="6" t="s">
        <v>230</v>
      </c>
      <c r="I147" s="5" t="s">
        <v>231</v>
      </c>
      <c r="J147" s="5" t="s">
        <v>26</v>
      </c>
      <c r="K147" s="7" t="n">
        <v>1</v>
      </c>
      <c r="L147" s="6"/>
      <c r="M147" s="4" t="s">
        <v>232</v>
      </c>
      <c r="N147" s="5" t="s">
        <v>353</v>
      </c>
    </row>
    <row r="148" customFormat="false" ht="46.25" hidden="false" customHeight="false" outlineLevel="0" collapsed="false">
      <c r="A148" s="4" t="s">
        <v>18</v>
      </c>
      <c r="B148" s="5" t="s">
        <v>330</v>
      </c>
      <c r="C148" s="6" t="s">
        <v>354</v>
      </c>
      <c r="D148" s="6"/>
      <c r="E148" s="4" t="s">
        <v>228</v>
      </c>
      <c r="F148" s="4" t="s">
        <v>186</v>
      </c>
      <c r="G148" s="6" t="s">
        <v>338</v>
      </c>
      <c r="H148" s="6" t="s">
        <v>230</v>
      </c>
      <c r="I148" s="5" t="s">
        <v>231</v>
      </c>
      <c r="J148" s="5" t="s">
        <v>26</v>
      </c>
      <c r="K148" s="7" t="n">
        <v>1</v>
      </c>
      <c r="L148" s="6"/>
      <c r="M148" s="4" t="s">
        <v>232</v>
      </c>
      <c r="N148" s="5" t="s">
        <v>355</v>
      </c>
    </row>
    <row r="149" customFormat="false" ht="23.85" hidden="false" customHeight="false" outlineLevel="0" collapsed="false">
      <c r="A149" s="4" t="s">
        <v>18</v>
      </c>
      <c r="B149" s="5" t="s">
        <v>356</v>
      </c>
      <c r="C149" s="6" t="s">
        <v>357</v>
      </c>
      <c r="D149" s="6"/>
      <c r="E149" s="4" t="s">
        <v>47</v>
      </c>
      <c r="F149" s="4" t="s">
        <v>358</v>
      </c>
      <c r="G149" s="6" t="s">
        <v>359</v>
      </c>
      <c r="H149" s="6" t="s">
        <v>50</v>
      </c>
      <c r="I149" s="5" t="s">
        <v>51</v>
      </c>
      <c r="J149" s="5" t="s">
        <v>26</v>
      </c>
      <c r="K149" s="7" t="n">
        <v>1</v>
      </c>
      <c r="L149" s="6"/>
      <c r="M149" s="4" t="s">
        <v>52</v>
      </c>
      <c r="N149" s="5" t="s">
        <v>360</v>
      </c>
    </row>
    <row r="150" customFormat="false" ht="23.85" hidden="false" customHeight="false" outlineLevel="0" collapsed="false">
      <c r="A150" s="4" t="s">
        <v>18</v>
      </c>
      <c r="B150" s="5" t="s">
        <v>361</v>
      </c>
      <c r="C150" s="6" t="s">
        <v>362</v>
      </c>
      <c r="D150" s="6"/>
      <c r="E150" s="4" t="s">
        <v>47</v>
      </c>
      <c r="F150" s="4" t="s">
        <v>363</v>
      </c>
      <c r="G150" s="6" t="s">
        <v>364</v>
      </c>
      <c r="H150" s="6" t="s">
        <v>50</v>
      </c>
      <c r="I150" s="5" t="s">
        <v>51</v>
      </c>
      <c r="J150" s="5" t="s">
        <v>26</v>
      </c>
      <c r="K150" s="7" t="n">
        <v>1</v>
      </c>
      <c r="L150" s="6"/>
      <c r="M150" s="4" t="s">
        <v>52</v>
      </c>
      <c r="N150" s="5" t="s">
        <v>365</v>
      </c>
    </row>
    <row r="151" customFormat="false" ht="79.85" hidden="false" customHeight="false" outlineLevel="0" collapsed="false">
      <c r="A151" s="4" t="s">
        <v>18</v>
      </c>
      <c r="B151" s="5" t="s">
        <v>264</v>
      </c>
      <c r="C151" s="6" t="s">
        <v>366</v>
      </c>
      <c r="D151" s="6"/>
      <c r="E151" s="4" t="s">
        <v>21</v>
      </c>
      <c r="F151" s="4" t="s">
        <v>264</v>
      </c>
      <c r="G151" s="6" t="s">
        <v>265</v>
      </c>
      <c r="H151" s="6" t="s">
        <v>24</v>
      </c>
      <c r="I151" s="5" t="s">
        <v>25</v>
      </c>
      <c r="J151" s="5" t="s">
        <v>26</v>
      </c>
      <c r="K151" s="7" t="n">
        <v>0.6</v>
      </c>
      <c r="L151" s="6"/>
      <c r="M151" s="4" t="s">
        <v>27</v>
      </c>
      <c r="N151" s="5" t="s">
        <v>367</v>
      </c>
    </row>
    <row r="152" customFormat="false" ht="57.45" hidden="false" customHeight="false" outlineLevel="0" collapsed="false">
      <c r="A152" s="4" t="s">
        <v>18</v>
      </c>
      <c r="B152" s="5" t="s">
        <v>264</v>
      </c>
      <c r="C152" s="6" t="s">
        <v>366</v>
      </c>
      <c r="D152" s="6"/>
      <c r="E152" s="4" t="s">
        <v>21</v>
      </c>
      <c r="F152" s="4" t="s">
        <v>48</v>
      </c>
      <c r="G152" s="6" t="s">
        <v>368</v>
      </c>
      <c r="H152" s="6" t="s">
        <v>24</v>
      </c>
      <c r="I152" s="5" t="s">
        <v>25</v>
      </c>
      <c r="J152" s="5" t="s">
        <v>26</v>
      </c>
      <c r="K152" s="7" t="n">
        <v>0.6</v>
      </c>
      <c r="L152" s="6"/>
      <c r="M152" s="4" t="s">
        <v>27</v>
      </c>
      <c r="N152" s="5" t="s">
        <v>367</v>
      </c>
    </row>
    <row r="153" customFormat="false" ht="35.05" hidden="false" customHeight="false" outlineLevel="0" collapsed="false">
      <c r="A153" s="4" t="s">
        <v>18</v>
      </c>
      <c r="B153" s="5" t="s">
        <v>264</v>
      </c>
      <c r="C153" s="6" t="s">
        <v>366</v>
      </c>
      <c r="D153" s="6" t="s">
        <v>369</v>
      </c>
      <c r="E153" s="4" t="s">
        <v>135</v>
      </c>
      <c r="F153" s="4" t="s">
        <v>22</v>
      </c>
      <c r="G153" s="6" t="s">
        <v>370</v>
      </c>
      <c r="H153" s="6" t="s">
        <v>138</v>
      </c>
      <c r="I153" s="5" t="s">
        <v>139</v>
      </c>
      <c r="J153" s="5" t="s">
        <v>26</v>
      </c>
      <c r="K153" s="7" t="n">
        <v>0.6</v>
      </c>
      <c r="L153" s="6"/>
      <c r="M153" s="4" t="s">
        <v>140</v>
      </c>
      <c r="N153" s="5" t="s">
        <v>367</v>
      </c>
    </row>
    <row r="154" customFormat="false" ht="35.05" hidden="false" customHeight="false" outlineLevel="0" collapsed="false">
      <c r="A154" s="4" t="s">
        <v>18</v>
      </c>
      <c r="B154" s="5" t="s">
        <v>264</v>
      </c>
      <c r="C154" s="6" t="s">
        <v>366</v>
      </c>
      <c r="D154" s="6" t="s">
        <v>371</v>
      </c>
      <c r="E154" s="4" t="s">
        <v>135</v>
      </c>
      <c r="F154" s="4" t="s">
        <v>22</v>
      </c>
      <c r="G154" s="6" t="s">
        <v>370</v>
      </c>
      <c r="H154" s="6" t="s">
        <v>138</v>
      </c>
      <c r="I154" s="5" t="s">
        <v>139</v>
      </c>
      <c r="J154" s="5" t="s">
        <v>26</v>
      </c>
      <c r="K154" s="7" t="n">
        <v>0.6</v>
      </c>
      <c r="L154" s="6"/>
      <c r="M154" s="4" t="s">
        <v>140</v>
      </c>
      <c r="N154" s="5" t="s">
        <v>367</v>
      </c>
    </row>
    <row r="155" customFormat="false" ht="35.05" hidden="false" customHeight="false" outlineLevel="0" collapsed="false">
      <c r="A155" s="4" t="s">
        <v>18</v>
      </c>
      <c r="B155" s="5" t="s">
        <v>264</v>
      </c>
      <c r="C155" s="6" t="s">
        <v>366</v>
      </c>
      <c r="D155" s="6" t="s">
        <v>372</v>
      </c>
      <c r="E155" s="4" t="s">
        <v>135</v>
      </c>
      <c r="F155" s="4" t="s">
        <v>22</v>
      </c>
      <c r="G155" s="6" t="s">
        <v>370</v>
      </c>
      <c r="H155" s="6" t="s">
        <v>138</v>
      </c>
      <c r="I155" s="5" t="s">
        <v>139</v>
      </c>
      <c r="J155" s="5" t="s">
        <v>26</v>
      </c>
      <c r="K155" s="7" t="n">
        <v>0.6</v>
      </c>
      <c r="L155" s="6"/>
      <c r="M155" s="4" t="s">
        <v>140</v>
      </c>
      <c r="N155" s="5" t="s">
        <v>367</v>
      </c>
    </row>
    <row r="156" customFormat="false" ht="23.85" hidden="false" customHeight="false" outlineLevel="0" collapsed="false">
      <c r="A156" s="4" t="s">
        <v>18</v>
      </c>
      <c r="B156" s="5" t="s">
        <v>369</v>
      </c>
      <c r="C156" s="6" t="s">
        <v>373</v>
      </c>
      <c r="D156" s="6"/>
      <c r="E156" s="4" t="s">
        <v>47</v>
      </c>
      <c r="F156" s="4" t="s">
        <v>136</v>
      </c>
      <c r="G156" s="6" t="s">
        <v>374</v>
      </c>
      <c r="H156" s="6" t="s">
        <v>50</v>
      </c>
      <c r="I156" s="5" t="s">
        <v>51</v>
      </c>
      <c r="J156" s="5" t="s">
        <v>26</v>
      </c>
      <c r="K156" s="7" t="n">
        <v>1</v>
      </c>
      <c r="L156" s="6"/>
      <c r="M156" s="4" t="s">
        <v>52</v>
      </c>
      <c r="N156" s="5" t="s">
        <v>375</v>
      </c>
    </row>
    <row r="157" customFormat="false" ht="23.85" hidden="false" customHeight="false" outlineLevel="0" collapsed="false">
      <c r="A157" s="4" t="s">
        <v>18</v>
      </c>
      <c r="B157" s="5" t="s">
        <v>371</v>
      </c>
      <c r="C157" s="6" t="s">
        <v>376</v>
      </c>
      <c r="D157" s="6"/>
      <c r="E157" s="4" t="s">
        <v>47</v>
      </c>
      <c r="F157" s="4" t="s">
        <v>136</v>
      </c>
      <c r="G157" s="6" t="s">
        <v>374</v>
      </c>
      <c r="H157" s="6" t="s">
        <v>50</v>
      </c>
      <c r="I157" s="5" t="s">
        <v>51</v>
      </c>
      <c r="J157" s="5" t="s">
        <v>26</v>
      </c>
      <c r="K157" s="7" t="n">
        <v>1</v>
      </c>
      <c r="L157" s="6"/>
      <c r="M157" s="4" t="s">
        <v>52</v>
      </c>
      <c r="N157" s="5" t="s">
        <v>377</v>
      </c>
    </row>
    <row r="158" customFormat="false" ht="23.85" hidden="false" customHeight="false" outlineLevel="0" collapsed="false">
      <c r="A158" s="4" t="s">
        <v>18</v>
      </c>
      <c r="B158" s="5" t="s">
        <v>372</v>
      </c>
      <c r="C158" s="6" t="s">
        <v>41</v>
      </c>
      <c r="D158" s="6"/>
      <c r="E158" s="4" t="s">
        <v>47</v>
      </c>
      <c r="F158" s="4" t="s">
        <v>136</v>
      </c>
      <c r="G158" s="6" t="s">
        <v>374</v>
      </c>
      <c r="H158" s="6" t="s">
        <v>50</v>
      </c>
      <c r="I158" s="5" t="s">
        <v>51</v>
      </c>
      <c r="J158" s="5" t="s">
        <v>26</v>
      </c>
      <c r="K158" s="7" t="n">
        <v>1</v>
      </c>
      <c r="L158" s="6"/>
      <c r="M158" s="4" t="s">
        <v>52</v>
      </c>
      <c r="N158" s="5" t="s">
        <v>378</v>
      </c>
    </row>
    <row r="159" customFormat="false" ht="57.45" hidden="false" customHeight="false" outlineLevel="0" collapsed="false">
      <c r="A159" s="4" t="s">
        <v>18</v>
      </c>
      <c r="B159" s="5" t="s">
        <v>256</v>
      </c>
      <c r="C159" s="6" t="s">
        <v>379</v>
      </c>
      <c r="D159" s="6"/>
      <c r="E159" s="4" t="s">
        <v>21</v>
      </c>
      <c r="F159" s="4" t="s">
        <v>48</v>
      </c>
      <c r="G159" s="6" t="s">
        <v>368</v>
      </c>
      <c r="H159" s="6" t="s">
        <v>24</v>
      </c>
      <c r="I159" s="5" t="s">
        <v>25</v>
      </c>
      <c r="J159" s="5" t="s">
        <v>26</v>
      </c>
      <c r="K159" s="7" t="n">
        <v>0.6</v>
      </c>
      <c r="L159" s="6"/>
      <c r="M159" s="4" t="s">
        <v>27</v>
      </c>
      <c r="N159" s="5" t="s">
        <v>380</v>
      </c>
    </row>
    <row r="160" customFormat="false" ht="35.05" hidden="false" customHeight="false" outlineLevel="0" collapsed="false">
      <c r="A160" s="4" t="s">
        <v>18</v>
      </c>
      <c r="B160" s="5" t="s">
        <v>381</v>
      </c>
      <c r="C160" s="6" t="s">
        <v>382</v>
      </c>
      <c r="D160" s="6" t="s">
        <v>383</v>
      </c>
      <c r="E160" s="4" t="s">
        <v>135</v>
      </c>
      <c r="F160" s="4" t="s">
        <v>251</v>
      </c>
      <c r="G160" s="6" t="s">
        <v>384</v>
      </c>
      <c r="H160" s="6" t="s">
        <v>138</v>
      </c>
      <c r="I160" s="5" t="s">
        <v>139</v>
      </c>
      <c r="J160" s="5" t="s">
        <v>26</v>
      </c>
      <c r="K160" s="7" t="n">
        <v>0.6</v>
      </c>
      <c r="L160" s="6"/>
      <c r="M160" s="4" t="s">
        <v>140</v>
      </c>
      <c r="N160" s="5" t="s">
        <v>385</v>
      </c>
    </row>
    <row r="161" customFormat="false" ht="23.85" hidden="false" customHeight="false" outlineLevel="0" collapsed="false">
      <c r="A161" s="4" t="s">
        <v>18</v>
      </c>
      <c r="B161" s="5" t="s">
        <v>383</v>
      </c>
      <c r="C161" s="6" t="s">
        <v>41</v>
      </c>
      <c r="D161" s="6"/>
      <c r="E161" s="4" t="s">
        <v>47</v>
      </c>
      <c r="F161" s="4" t="s">
        <v>37</v>
      </c>
      <c r="G161" s="6" t="s">
        <v>386</v>
      </c>
      <c r="H161" s="6" t="s">
        <v>50</v>
      </c>
      <c r="I161" s="5" t="s">
        <v>51</v>
      </c>
      <c r="J161" s="5" t="s">
        <v>26</v>
      </c>
      <c r="K161" s="7" t="n">
        <v>1</v>
      </c>
      <c r="L161" s="6"/>
      <c r="M161" s="4" t="s">
        <v>52</v>
      </c>
      <c r="N161" s="5" t="s">
        <v>387</v>
      </c>
    </row>
    <row r="162" customFormat="false" ht="35.05" hidden="false" customHeight="false" outlineLevel="0" collapsed="false">
      <c r="A162" s="4" t="s">
        <v>18</v>
      </c>
      <c r="B162" s="5" t="s">
        <v>388</v>
      </c>
      <c r="C162" s="6" t="s">
        <v>389</v>
      </c>
      <c r="D162" s="6" t="s">
        <v>390</v>
      </c>
      <c r="E162" s="4" t="s">
        <v>135</v>
      </c>
      <c r="F162" s="4" t="s">
        <v>251</v>
      </c>
      <c r="G162" s="6" t="s">
        <v>384</v>
      </c>
      <c r="H162" s="6" t="s">
        <v>138</v>
      </c>
      <c r="I162" s="5" t="s">
        <v>139</v>
      </c>
      <c r="J162" s="5" t="s">
        <v>26</v>
      </c>
      <c r="K162" s="7" t="n">
        <v>0.6</v>
      </c>
      <c r="L162" s="6"/>
      <c r="M162" s="4" t="s">
        <v>140</v>
      </c>
      <c r="N162" s="5" t="s">
        <v>391</v>
      </c>
    </row>
    <row r="163" customFormat="false" ht="35.05" hidden="false" customHeight="false" outlineLevel="0" collapsed="false">
      <c r="A163" s="4" t="s">
        <v>18</v>
      </c>
      <c r="B163" s="5" t="s">
        <v>388</v>
      </c>
      <c r="C163" s="6" t="s">
        <v>389</v>
      </c>
      <c r="D163" s="6" t="s">
        <v>392</v>
      </c>
      <c r="E163" s="4" t="s">
        <v>135</v>
      </c>
      <c r="F163" s="4" t="s">
        <v>251</v>
      </c>
      <c r="G163" s="6" t="s">
        <v>384</v>
      </c>
      <c r="H163" s="6" t="s">
        <v>138</v>
      </c>
      <c r="I163" s="5" t="s">
        <v>139</v>
      </c>
      <c r="J163" s="5" t="s">
        <v>26</v>
      </c>
      <c r="K163" s="7" t="n">
        <v>0.6</v>
      </c>
      <c r="L163" s="6"/>
      <c r="M163" s="4" t="s">
        <v>140</v>
      </c>
      <c r="N163" s="5" t="s">
        <v>391</v>
      </c>
    </row>
    <row r="164" customFormat="false" ht="23.85" hidden="false" customHeight="false" outlineLevel="0" collapsed="false">
      <c r="A164" s="4" t="s">
        <v>18</v>
      </c>
      <c r="B164" s="5" t="s">
        <v>390</v>
      </c>
      <c r="C164" s="6" t="s">
        <v>41</v>
      </c>
      <c r="D164" s="6"/>
      <c r="E164" s="4" t="s">
        <v>47</v>
      </c>
      <c r="F164" s="4" t="s">
        <v>256</v>
      </c>
      <c r="G164" s="6" t="s">
        <v>393</v>
      </c>
      <c r="H164" s="6" t="s">
        <v>50</v>
      </c>
      <c r="I164" s="5" t="s">
        <v>51</v>
      </c>
      <c r="J164" s="5" t="s">
        <v>26</v>
      </c>
      <c r="K164" s="7" t="n">
        <v>1</v>
      </c>
      <c r="L164" s="6"/>
      <c r="M164" s="4" t="s">
        <v>52</v>
      </c>
      <c r="N164" s="5" t="s">
        <v>394</v>
      </c>
    </row>
    <row r="165" customFormat="false" ht="23.85" hidden="false" customHeight="false" outlineLevel="0" collapsed="false">
      <c r="A165" s="4" t="s">
        <v>18</v>
      </c>
      <c r="B165" s="5" t="s">
        <v>392</v>
      </c>
      <c r="C165" s="6" t="s">
        <v>41</v>
      </c>
      <c r="D165" s="6"/>
      <c r="E165" s="4" t="s">
        <v>47</v>
      </c>
      <c r="F165" s="4" t="s">
        <v>395</v>
      </c>
      <c r="G165" s="6" t="s">
        <v>396</v>
      </c>
      <c r="H165" s="6" t="s">
        <v>50</v>
      </c>
      <c r="I165" s="5" t="s">
        <v>51</v>
      </c>
      <c r="J165" s="5" t="s">
        <v>26</v>
      </c>
      <c r="K165" s="7" t="n">
        <v>1</v>
      </c>
      <c r="L165" s="6"/>
      <c r="M165" s="4" t="s">
        <v>52</v>
      </c>
      <c r="N165" s="5" t="s">
        <v>397</v>
      </c>
    </row>
    <row r="166" customFormat="false" ht="35.05" hidden="false" customHeight="false" outlineLevel="0" collapsed="false">
      <c r="A166" s="4" t="s">
        <v>18</v>
      </c>
      <c r="B166" s="5" t="s">
        <v>398</v>
      </c>
      <c r="C166" s="6" t="s">
        <v>41</v>
      </c>
      <c r="D166" s="6"/>
      <c r="E166" s="4" t="s">
        <v>135</v>
      </c>
      <c r="F166" s="4" t="s">
        <v>205</v>
      </c>
      <c r="G166" s="6" t="s">
        <v>399</v>
      </c>
      <c r="H166" s="6" t="s">
        <v>138</v>
      </c>
      <c r="I166" s="5" t="s">
        <v>139</v>
      </c>
      <c r="J166" s="5" t="s">
        <v>26</v>
      </c>
      <c r="K166" s="7" t="n">
        <v>0.6</v>
      </c>
      <c r="L166" s="6"/>
      <c r="M166" s="4" t="s">
        <v>140</v>
      </c>
      <c r="N166" s="5" t="s">
        <v>400</v>
      </c>
    </row>
    <row r="167" customFormat="false" ht="23.85" hidden="false" customHeight="false" outlineLevel="0" collapsed="false">
      <c r="A167" s="4" t="s">
        <v>18</v>
      </c>
      <c r="B167" s="5" t="s">
        <v>401</v>
      </c>
      <c r="C167" s="6" t="s">
        <v>41</v>
      </c>
      <c r="D167" s="6"/>
      <c r="E167" s="4" t="s">
        <v>47</v>
      </c>
      <c r="F167" s="4" t="s">
        <v>256</v>
      </c>
      <c r="G167" s="6" t="s">
        <v>393</v>
      </c>
      <c r="H167" s="6" t="s">
        <v>50</v>
      </c>
      <c r="I167" s="5" t="s">
        <v>51</v>
      </c>
      <c r="J167" s="5" t="s">
        <v>26</v>
      </c>
      <c r="K167" s="7" t="n">
        <v>1</v>
      </c>
      <c r="L167" s="6"/>
      <c r="M167" s="4" t="s">
        <v>52</v>
      </c>
      <c r="N167" s="5" t="s">
        <v>402</v>
      </c>
    </row>
    <row r="168" customFormat="false" ht="35.05" hidden="false" customHeight="false" outlineLevel="0" collapsed="false">
      <c r="A168" s="4" t="s">
        <v>18</v>
      </c>
      <c r="B168" s="5" t="s">
        <v>403</v>
      </c>
      <c r="C168" s="6" t="s">
        <v>41</v>
      </c>
      <c r="D168" s="6"/>
      <c r="E168" s="4" t="s">
        <v>135</v>
      </c>
      <c r="F168" s="4" t="s">
        <v>205</v>
      </c>
      <c r="G168" s="6" t="s">
        <v>399</v>
      </c>
      <c r="H168" s="6" t="s">
        <v>138</v>
      </c>
      <c r="I168" s="5" t="s">
        <v>139</v>
      </c>
      <c r="J168" s="5" t="s">
        <v>26</v>
      </c>
      <c r="K168" s="7" t="n">
        <v>0.6</v>
      </c>
      <c r="L168" s="6"/>
      <c r="M168" s="4" t="s">
        <v>140</v>
      </c>
      <c r="N168" s="5" t="s">
        <v>404</v>
      </c>
    </row>
    <row r="169" customFormat="false" ht="35.05" hidden="false" customHeight="false" outlineLevel="0" collapsed="false">
      <c r="A169" s="4" t="s">
        <v>18</v>
      </c>
      <c r="B169" s="5" t="s">
        <v>405</v>
      </c>
      <c r="C169" s="6" t="s">
        <v>406</v>
      </c>
      <c r="D169" s="6" t="s">
        <v>407</v>
      </c>
      <c r="E169" s="4" t="s">
        <v>135</v>
      </c>
      <c r="F169" s="4" t="s">
        <v>334</v>
      </c>
      <c r="G169" s="6" t="s">
        <v>408</v>
      </c>
      <c r="H169" s="6" t="s">
        <v>138</v>
      </c>
      <c r="I169" s="5" t="s">
        <v>139</v>
      </c>
      <c r="J169" s="5" t="s">
        <v>26</v>
      </c>
      <c r="K169" s="7" t="n">
        <v>0.6</v>
      </c>
      <c r="L169" s="6"/>
      <c r="M169" s="4" t="s">
        <v>140</v>
      </c>
      <c r="N169" s="5" t="s">
        <v>409</v>
      </c>
    </row>
    <row r="170" customFormat="false" ht="35.05" hidden="false" customHeight="false" outlineLevel="0" collapsed="false">
      <c r="A170" s="4" t="s">
        <v>18</v>
      </c>
      <c r="B170" s="5" t="s">
        <v>405</v>
      </c>
      <c r="C170" s="6" t="s">
        <v>406</v>
      </c>
      <c r="D170" s="6" t="s">
        <v>410</v>
      </c>
      <c r="E170" s="4" t="s">
        <v>135</v>
      </c>
      <c r="F170" s="4" t="s">
        <v>334</v>
      </c>
      <c r="G170" s="6" t="s">
        <v>408</v>
      </c>
      <c r="H170" s="6" t="s">
        <v>138</v>
      </c>
      <c r="I170" s="5" t="s">
        <v>139</v>
      </c>
      <c r="J170" s="5" t="s">
        <v>26</v>
      </c>
      <c r="K170" s="7" t="n">
        <v>0.6</v>
      </c>
      <c r="L170" s="6"/>
      <c r="M170" s="4" t="s">
        <v>140</v>
      </c>
      <c r="N170" s="5" t="s">
        <v>409</v>
      </c>
    </row>
    <row r="171" customFormat="false" ht="23.85" hidden="false" customHeight="false" outlineLevel="0" collapsed="false">
      <c r="A171" s="4" t="s">
        <v>18</v>
      </c>
      <c r="B171" s="5" t="s">
        <v>407</v>
      </c>
      <c r="C171" s="6" t="s">
        <v>41</v>
      </c>
      <c r="D171" s="6"/>
      <c r="E171" s="4" t="s">
        <v>47</v>
      </c>
      <c r="F171" s="4" t="s">
        <v>42</v>
      </c>
      <c r="G171" s="6" t="s">
        <v>411</v>
      </c>
      <c r="H171" s="6" t="s">
        <v>50</v>
      </c>
      <c r="I171" s="5" t="s">
        <v>51</v>
      </c>
      <c r="J171" s="5" t="s">
        <v>26</v>
      </c>
      <c r="K171" s="7" t="n">
        <v>1</v>
      </c>
      <c r="L171" s="6"/>
      <c r="M171" s="4" t="s">
        <v>52</v>
      </c>
      <c r="N171" s="5" t="s">
        <v>412</v>
      </c>
    </row>
    <row r="172" customFormat="false" ht="23.85" hidden="false" customHeight="false" outlineLevel="0" collapsed="false">
      <c r="A172" s="4" t="s">
        <v>18</v>
      </c>
      <c r="B172" s="5" t="s">
        <v>410</v>
      </c>
      <c r="C172" s="6" t="s">
        <v>41</v>
      </c>
      <c r="D172" s="6"/>
      <c r="E172" s="4" t="s">
        <v>47</v>
      </c>
      <c r="F172" s="4" t="s">
        <v>413</v>
      </c>
      <c r="G172" s="6" t="s">
        <v>414</v>
      </c>
      <c r="H172" s="6" t="s">
        <v>50</v>
      </c>
      <c r="I172" s="5" t="s">
        <v>51</v>
      </c>
      <c r="J172" s="5" t="s">
        <v>26</v>
      </c>
      <c r="K172" s="7" t="n">
        <v>1</v>
      </c>
      <c r="L172" s="6"/>
      <c r="M172" s="4" t="s">
        <v>52</v>
      </c>
      <c r="N172" s="5" t="s">
        <v>415</v>
      </c>
    </row>
    <row r="173" customFormat="false" ht="35.05" hidden="false" customHeight="false" outlineLevel="0" collapsed="false">
      <c r="A173" s="4" t="s">
        <v>18</v>
      </c>
      <c r="B173" s="5" t="s">
        <v>416</v>
      </c>
      <c r="C173" s="6" t="s">
        <v>417</v>
      </c>
      <c r="D173" s="6" t="s">
        <v>418</v>
      </c>
      <c r="E173" s="4" t="s">
        <v>135</v>
      </c>
      <c r="F173" s="4" t="s">
        <v>334</v>
      </c>
      <c r="G173" s="6" t="s">
        <v>408</v>
      </c>
      <c r="H173" s="6" t="s">
        <v>138</v>
      </c>
      <c r="I173" s="5" t="s">
        <v>139</v>
      </c>
      <c r="J173" s="5" t="s">
        <v>26</v>
      </c>
      <c r="K173" s="7" t="n">
        <v>0.6</v>
      </c>
      <c r="L173" s="6"/>
      <c r="M173" s="4" t="s">
        <v>140</v>
      </c>
      <c r="N173" s="5" t="s">
        <v>419</v>
      </c>
    </row>
    <row r="174" customFormat="false" ht="35.05" hidden="false" customHeight="false" outlineLevel="0" collapsed="false">
      <c r="A174" s="4" t="s">
        <v>18</v>
      </c>
      <c r="B174" s="5" t="s">
        <v>416</v>
      </c>
      <c r="C174" s="6" t="s">
        <v>417</v>
      </c>
      <c r="D174" s="6" t="s">
        <v>420</v>
      </c>
      <c r="E174" s="4" t="s">
        <v>135</v>
      </c>
      <c r="F174" s="4" t="s">
        <v>334</v>
      </c>
      <c r="G174" s="6" t="s">
        <v>408</v>
      </c>
      <c r="H174" s="6" t="s">
        <v>138</v>
      </c>
      <c r="I174" s="5" t="s">
        <v>139</v>
      </c>
      <c r="J174" s="5" t="s">
        <v>26</v>
      </c>
      <c r="K174" s="7" t="n">
        <v>0.6</v>
      </c>
      <c r="L174" s="6"/>
      <c r="M174" s="4" t="s">
        <v>140</v>
      </c>
      <c r="N174" s="5" t="s">
        <v>419</v>
      </c>
    </row>
    <row r="175" customFormat="false" ht="23.85" hidden="false" customHeight="false" outlineLevel="0" collapsed="false">
      <c r="A175" s="4" t="s">
        <v>18</v>
      </c>
      <c r="B175" s="5" t="s">
        <v>418</v>
      </c>
      <c r="C175" s="6" t="s">
        <v>41</v>
      </c>
      <c r="D175" s="6"/>
      <c r="E175" s="4" t="s">
        <v>47</v>
      </c>
      <c r="F175" s="4" t="s">
        <v>42</v>
      </c>
      <c r="G175" s="6" t="s">
        <v>411</v>
      </c>
      <c r="H175" s="6" t="s">
        <v>50</v>
      </c>
      <c r="I175" s="5" t="s">
        <v>51</v>
      </c>
      <c r="J175" s="5" t="s">
        <v>26</v>
      </c>
      <c r="K175" s="7" t="n">
        <v>1</v>
      </c>
      <c r="L175" s="6"/>
      <c r="M175" s="4" t="s">
        <v>52</v>
      </c>
      <c r="N175" s="5" t="s">
        <v>421</v>
      </c>
    </row>
    <row r="176" customFormat="false" ht="23.85" hidden="false" customHeight="false" outlineLevel="0" collapsed="false">
      <c r="A176" s="4" t="s">
        <v>18</v>
      </c>
      <c r="B176" s="5" t="s">
        <v>420</v>
      </c>
      <c r="C176" s="6" t="s">
        <v>41</v>
      </c>
      <c r="D176" s="6"/>
      <c r="E176" s="4" t="s">
        <v>47</v>
      </c>
      <c r="F176" s="4" t="s">
        <v>413</v>
      </c>
      <c r="G176" s="6" t="s">
        <v>414</v>
      </c>
      <c r="H176" s="6" t="s">
        <v>50</v>
      </c>
      <c r="I176" s="5" t="s">
        <v>51</v>
      </c>
      <c r="J176" s="5" t="s">
        <v>26</v>
      </c>
      <c r="K176" s="7" t="n">
        <v>1</v>
      </c>
      <c r="L176" s="6"/>
      <c r="M176" s="4" t="s">
        <v>52</v>
      </c>
      <c r="N176" s="5" t="s">
        <v>422</v>
      </c>
    </row>
    <row r="177" customFormat="false" ht="35.05" hidden="false" customHeight="false" outlineLevel="0" collapsed="false">
      <c r="A177" s="4" t="s">
        <v>18</v>
      </c>
      <c r="B177" s="5" t="s">
        <v>423</v>
      </c>
      <c r="C177" s="6" t="s">
        <v>424</v>
      </c>
      <c r="D177" s="6"/>
      <c r="E177" s="4" t="s">
        <v>135</v>
      </c>
      <c r="F177" s="4" t="s">
        <v>251</v>
      </c>
      <c r="G177" s="6" t="s">
        <v>384</v>
      </c>
      <c r="H177" s="6" t="s">
        <v>138</v>
      </c>
      <c r="I177" s="5" t="s">
        <v>139</v>
      </c>
      <c r="J177" s="5" t="s">
        <v>26</v>
      </c>
      <c r="K177" s="7" t="n">
        <v>0.6</v>
      </c>
      <c r="L177" s="6"/>
      <c r="M177" s="4" t="s">
        <v>140</v>
      </c>
      <c r="N177" s="5" t="s">
        <v>425</v>
      </c>
    </row>
    <row r="178" customFormat="false" ht="35.05" hidden="false" customHeight="false" outlineLevel="0" collapsed="false">
      <c r="A178" s="4" t="s">
        <v>18</v>
      </c>
      <c r="B178" s="5" t="s">
        <v>426</v>
      </c>
      <c r="C178" s="6" t="s">
        <v>427</v>
      </c>
      <c r="D178" s="6" t="s">
        <v>428</v>
      </c>
      <c r="E178" s="4" t="s">
        <v>135</v>
      </c>
      <c r="F178" s="4" t="s">
        <v>251</v>
      </c>
      <c r="G178" s="6" t="s">
        <v>384</v>
      </c>
      <c r="H178" s="6" t="s">
        <v>138</v>
      </c>
      <c r="I178" s="5" t="s">
        <v>139</v>
      </c>
      <c r="J178" s="5" t="s">
        <v>26</v>
      </c>
      <c r="K178" s="7" t="n">
        <v>0.6</v>
      </c>
      <c r="L178" s="6"/>
      <c r="M178" s="4" t="s">
        <v>140</v>
      </c>
      <c r="N178" s="5" t="s">
        <v>429</v>
      </c>
    </row>
    <row r="179" customFormat="false" ht="35.05" hidden="false" customHeight="false" outlineLevel="0" collapsed="false">
      <c r="A179" s="4" t="s">
        <v>18</v>
      </c>
      <c r="B179" s="5" t="s">
        <v>428</v>
      </c>
      <c r="C179" s="6" t="s">
        <v>41</v>
      </c>
      <c r="D179" s="6"/>
      <c r="E179" s="4" t="s">
        <v>47</v>
      </c>
      <c r="F179" s="4" t="s">
        <v>264</v>
      </c>
      <c r="G179" s="6" t="s">
        <v>430</v>
      </c>
      <c r="H179" s="6" t="s">
        <v>50</v>
      </c>
      <c r="I179" s="5" t="s">
        <v>51</v>
      </c>
      <c r="J179" s="5" t="s">
        <v>26</v>
      </c>
      <c r="K179" s="7" t="n">
        <v>1</v>
      </c>
      <c r="L179" s="6"/>
      <c r="M179" s="4" t="s">
        <v>52</v>
      </c>
      <c r="N179" s="5" t="s">
        <v>431</v>
      </c>
    </row>
    <row r="180" customFormat="false" ht="23.85" hidden="false" customHeight="false" outlineLevel="0" collapsed="false">
      <c r="A180" s="4" t="s">
        <v>18</v>
      </c>
      <c r="B180" s="5" t="s">
        <v>432</v>
      </c>
      <c r="C180" s="6" t="s">
        <v>41</v>
      </c>
      <c r="D180" s="6"/>
      <c r="E180" s="4" t="s">
        <v>135</v>
      </c>
      <c r="F180" s="4" t="s">
        <v>239</v>
      </c>
      <c r="G180" s="6" t="s">
        <v>433</v>
      </c>
      <c r="H180" s="6" t="s">
        <v>138</v>
      </c>
      <c r="I180" s="5" t="s">
        <v>139</v>
      </c>
      <c r="J180" s="5" t="s">
        <v>26</v>
      </c>
      <c r="K180" s="7" t="n">
        <v>0.6</v>
      </c>
      <c r="L180" s="6"/>
      <c r="M180" s="4" t="s">
        <v>140</v>
      </c>
      <c r="N180" s="5" t="s">
        <v>434</v>
      </c>
    </row>
    <row r="181" customFormat="false" ht="79.85" hidden="false" customHeight="false" outlineLevel="0" collapsed="false">
      <c r="A181" s="4" t="s">
        <v>18</v>
      </c>
      <c r="B181" s="5" t="s">
        <v>413</v>
      </c>
      <c r="C181" s="6" t="s">
        <v>435</v>
      </c>
      <c r="D181" s="6"/>
      <c r="E181" s="4" t="s">
        <v>21</v>
      </c>
      <c r="F181" s="4" t="s">
        <v>264</v>
      </c>
      <c r="G181" s="6" t="s">
        <v>265</v>
      </c>
      <c r="H181" s="6" t="s">
        <v>24</v>
      </c>
      <c r="I181" s="5" t="s">
        <v>25</v>
      </c>
      <c r="J181" s="5" t="s">
        <v>26</v>
      </c>
      <c r="K181" s="7" t="n">
        <v>0.6</v>
      </c>
      <c r="L181" s="6"/>
      <c r="M181" s="4" t="s">
        <v>27</v>
      </c>
      <c r="N181" s="5" t="s">
        <v>436</v>
      </c>
    </row>
    <row r="182" customFormat="false" ht="57.45" hidden="false" customHeight="false" outlineLevel="0" collapsed="false">
      <c r="A182" s="4" t="s">
        <v>18</v>
      </c>
      <c r="B182" s="5" t="s">
        <v>413</v>
      </c>
      <c r="C182" s="6" t="s">
        <v>435</v>
      </c>
      <c r="D182" s="6"/>
      <c r="E182" s="4" t="s">
        <v>21</v>
      </c>
      <c r="F182" s="4" t="s">
        <v>48</v>
      </c>
      <c r="G182" s="6" t="s">
        <v>368</v>
      </c>
      <c r="H182" s="6" t="s">
        <v>24</v>
      </c>
      <c r="I182" s="5" t="s">
        <v>25</v>
      </c>
      <c r="J182" s="5" t="s">
        <v>26</v>
      </c>
      <c r="K182" s="7" t="n">
        <v>0.6</v>
      </c>
      <c r="L182" s="6"/>
      <c r="M182" s="4" t="s">
        <v>27</v>
      </c>
      <c r="N182" s="5" t="s">
        <v>436</v>
      </c>
    </row>
    <row r="183" customFormat="false" ht="35.05" hidden="false" customHeight="false" outlineLevel="0" collapsed="false">
      <c r="A183" s="4" t="s">
        <v>18</v>
      </c>
      <c r="B183" s="5" t="s">
        <v>413</v>
      </c>
      <c r="C183" s="6" t="s">
        <v>435</v>
      </c>
      <c r="D183" s="6"/>
      <c r="E183" s="4" t="s">
        <v>135</v>
      </c>
      <c r="F183" s="4" t="s">
        <v>22</v>
      </c>
      <c r="G183" s="6" t="s">
        <v>370</v>
      </c>
      <c r="H183" s="6" t="s">
        <v>138</v>
      </c>
      <c r="I183" s="5" t="s">
        <v>139</v>
      </c>
      <c r="J183" s="5" t="s">
        <v>26</v>
      </c>
      <c r="K183" s="7" t="n">
        <v>0.6</v>
      </c>
      <c r="L183" s="6"/>
      <c r="M183" s="4" t="s">
        <v>140</v>
      </c>
      <c r="N183" s="5" t="s">
        <v>436</v>
      </c>
    </row>
    <row r="184" customFormat="false" ht="247.75" hidden="false" customHeight="false" outlineLevel="0" collapsed="false">
      <c r="A184" s="4" t="s">
        <v>18</v>
      </c>
      <c r="B184" s="5" t="s">
        <v>437</v>
      </c>
      <c r="C184" s="6" t="s">
        <v>41</v>
      </c>
      <c r="D184" s="6"/>
      <c r="E184" s="4" t="s">
        <v>21</v>
      </c>
      <c r="F184" s="4" t="s">
        <v>239</v>
      </c>
      <c r="G184" s="6" t="s">
        <v>240</v>
      </c>
      <c r="H184" s="6" t="s">
        <v>24</v>
      </c>
      <c r="I184" s="5" t="s">
        <v>25</v>
      </c>
      <c r="J184" s="5" t="s">
        <v>26</v>
      </c>
      <c r="K184" s="7" t="n">
        <v>0.6</v>
      </c>
      <c r="L184" s="6"/>
      <c r="M184" s="4" t="s">
        <v>27</v>
      </c>
      <c r="N184" s="5" t="s">
        <v>438</v>
      </c>
    </row>
    <row r="185" customFormat="false" ht="35.05" hidden="false" customHeight="false" outlineLevel="0" collapsed="false">
      <c r="A185" s="4" t="s">
        <v>18</v>
      </c>
      <c r="B185" s="5" t="s">
        <v>439</v>
      </c>
      <c r="C185" s="6" t="s">
        <v>440</v>
      </c>
      <c r="D185" s="6"/>
      <c r="E185" s="4" t="s">
        <v>135</v>
      </c>
      <c r="F185" s="4" t="s">
        <v>251</v>
      </c>
      <c r="G185" s="6" t="s">
        <v>384</v>
      </c>
      <c r="H185" s="6" t="s">
        <v>138</v>
      </c>
      <c r="I185" s="5" t="s">
        <v>139</v>
      </c>
      <c r="J185" s="5" t="s">
        <v>26</v>
      </c>
      <c r="K185" s="7" t="n">
        <v>0.6</v>
      </c>
      <c r="L185" s="6"/>
      <c r="M185" s="4" t="s">
        <v>140</v>
      </c>
      <c r="N185" s="5" t="s">
        <v>441</v>
      </c>
    </row>
    <row r="186" customFormat="false" ht="35.05" hidden="false" customHeight="false" outlineLevel="0" collapsed="false">
      <c r="A186" s="4" t="s">
        <v>18</v>
      </c>
      <c r="B186" s="5" t="s">
        <v>442</v>
      </c>
      <c r="C186" s="6" t="s">
        <v>443</v>
      </c>
      <c r="D186" s="6"/>
      <c r="E186" s="4" t="s">
        <v>21</v>
      </c>
      <c r="F186" s="4" t="s">
        <v>205</v>
      </c>
      <c r="G186" s="6" t="s">
        <v>444</v>
      </c>
      <c r="H186" s="6" t="s">
        <v>24</v>
      </c>
      <c r="I186" s="5" t="s">
        <v>25</v>
      </c>
      <c r="J186" s="5" t="s">
        <v>26</v>
      </c>
      <c r="K186" s="7" t="n">
        <v>0.6</v>
      </c>
      <c r="L186" s="6"/>
      <c r="M186" s="4" t="s">
        <v>27</v>
      </c>
      <c r="N186" s="5" t="s">
        <v>445</v>
      </c>
    </row>
    <row r="187" customFormat="false" ht="247.75" hidden="false" customHeight="false" outlineLevel="0" collapsed="false">
      <c r="A187" s="4" t="s">
        <v>18</v>
      </c>
      <c r="B187" s="5" t="s">
        <v>446</v>
      </c>
      <c r="C187" s="6" t="s">
        <v>41</v>
      </c>
      <c r="D187" s="6"/>
      <c r="E187" s="4" t="s">
        <v>21</v>
      </c>
      <c r="F187" s="4" t="s">
        <v>239</v>
      </c>
      <c r="G187" s="6" t="s">
        <v>240</v>
      </c>
      <c r="H187" s="6" t="s">
        <v>24</v>
      </c>
      <c r="I187" s="5" t="s">
        <v>25</v>
      </c>
      <c r="J187" s="5" t="s">
        <v>26</v>
      </c>
      <c r="K187" s="7" t="n">
        <v>0.6</v>
      </c>
      <c r="L187" s="6"/>
      <c r="M187" s="4" t="s">
        <v>27</v>
      </c>
      <c r="N187" s="5" t="s">
        <v>447</v>
      </c>
    </row>
    <row r="188" customFormat="false" ht="247.75" hidden="false" customHeight="false" outlineLevel="0" collapsed="false">
      <c r="A188" s="4" t="s">
        <v>18</v>
      </c>
      <c r="B188" s="5" t="s">
        <v>448</v>
      </c>
      <c r="C188" s="6" t="s">
        <v>41</v>
      </c>
      <c r="D188" s="6"/>
      <c r="E188" s="4" t="s">
        <v>21</v>
      </c>
      <c r="F188" s="4" t="s">
        <v>239</v>
      </c>
      <c r="G188" s="6" t="s">
        <v>240</v>
      </c>
      <c r="H188" s="6" t="s">
        <v>24</v>
      </c>
      <c r="I188" s="5" t="s">
        <v>25</v>
      </c>
      <c r="J188" s="5" t="s">
        <v>26</v>
      </c>
      <c r="K188" s="7" t="n">
        <v>0.6</v>
      </c>
      <c r="L188" s="6"/>
      <c r="M188" s="4" t="s">
        <v>27</v>
      </c>
      <c r="N188" s="5" t="s">
        <v>449</v>
      </c>
    </row>
    <row r="189" customFormat="false" ht="247.75" hidden="false" customHeight="false" outlineLevel="0" collapsed="false">
      <c r="A189" s="4" t="s">
        <v>18</v>
      </c>
      <c r="B189" s="5" t="s">
        <v>450</v>
      </c>
      <c r="C189" s="6" t="s">
        <v>451</v>
      </c>
      <c r="D189" s="6"/>
      <c r="E189" s="4" t="s">
        <v>21</v>
      </c>
      <c r="F189" s="4" t="s">
        <v>239</v>
      </c>
      <c r="G189" s="6" t="s">
        <v>240</v>
      </c>
      <c r="H189" s="6" t="s">
        <v>24</v>
      </c>
      <c r="I189" s="5" t="s">
        <v>25</v>
      </c>
      <c r="J189" s="5" t="s">
        <v>26</v>
      </c>
      <c r="K189" s="7" t="n">
        <v>0.6</v>
      </c>
      <c r="L189" s="6"/>
      <c r="M189" s="4" t="s">
        <v>27</v>
      </c>
      <c r="N189" s="5" t="s">
        <v>452</v>
      </c>
    </row>
    <row r="190" customFormat="false" ht="247.75" hidden="false" customHeight="false" outlineLevel="0" collapsed="false">
      <c r="A190" s="4" t="s">
        <v>18</v>
      </c>
      <c r="B190" s="5" t="s">
        <v>453</v>
      </c>
      <c r="C190" s="6" t="s">
        <v>41</v>
      </c>
      <c r="D190" s="6"/>
      <c r="E190" s="4" t="s">
        <v>21</v>
      </c>
      <c r="F190" s="4" t="s">
        <v>239</v>
      </c>
      <c r="G190" s="6" t="s">
        <v>240</v>
      </c>
      <c r="H190" s="6" t="s">
        <v>24</v>
      </c>
      <c r="I190" s="5" t="s">
        <v>25</v>
      </c>
      <c r="J190" s="5" t="s">
        <v>26</v>
      </c>
      <c r="K190" s="7" t="n">
        <v>0.6</v>
      </c>
      <c r="L190" s="6"/>
      <c r="M190" s="4" t="s">
        <v>27</v>
      </c>
      <c r="N190" s="5" t="s">
        <v>454</v>
      </c>
    </row>
    <row r="191" customFormat="false" ht="247.75" hidden="false" customHeight="false" outlineLevel="0" collapsed="false">
      <c r="A191" s="4" t="s">
        <v>18</v>
      </c>
      <c r="B191" s="5" t="s">
        <v>455</v>
      </c>
      <c r="C191" s="6" t="s">
        <v>41</v>
      </c>
      <c r="D191" s="6"/>
      <c r="E191" s="4" t="s">
        <v>21</v>
      </c>
      <c r="F191" s="4" t="s">
        <v>239</v>
      </c>
      <c r="G191" s="6" t="s">
        <v>240</v>
      </c>
      <c r="H191" s="6" t="s">
        <v>24</v>
      </c>
      <c r="I191" s="5" t="s">
        <v>25</v>
      </c>
      <c r="J191" s="5" t="s">
        <v>26</v>
      </c>
      <c r="K191" s="7" t="n">
        <v>0.6</v>
      </c>
      <c r="L191" s="6"/>
      <c r="M191" s="4" t="s">
        <v>27</v>
      </c>
      <c r="N191" s="5" t="s">
        <v>456</v>
      </c>
    </row>
    <row r="192" customFormat="false" ht="91" hidden="false" customHeight="false" outlineLevel="0" collapsed="false">
      <c r="A192" s="4" t="s">
        <v>18</v>
      </c>
      <c r="B192" s="5" t="s">
        <v>22</v>
      </c>
      <c r="C192" s="6" t="s">
        <v>457</v>
      </c>
      <c r="D192" s="6"/>
      <c r="E192" s="4" t="s">
        <v>21</v>
      </c>
      <c r="F192" s="4" t="s">
        <v>89</v>
      </c>
      <c r="G192" s="6" t="s">
        <v>90</v>
      </c>
      <c r="H192" s="6" t="s">
        <v>24</v>
      </c>
      <c r="I192" s="5" t="s">
        <v>25</v>
      </c>
      <c r="J192" s="5" t="s">
        <v>26</v>
      </c>
      <c r="K192" s="7" t="n">
        <v>0.6</v>
      </c>
      <c r="L192" s="6"/>
      <c r="M192" s="4" t="s">
        <v>27</v>
      </c>
      <c r="N192" s="5" t="s">
        <v>458</v>
      </c>
    </row>
    <row r="193" customFormat="false" ht="57.45" hidden="false" customHeight="false" outlineLevel="0" collapsed="false">
      <c r="A193" s="4" t="s">
        <v>18</v>
      </c>
      <c r="B193" s="5" t="s">
        <v>459</v>
      </c>
      <c r="C193" s="6" t="s">
        <v>460</v>
      </c>
      <c r="D193" s="6"/>
      <c r="E193" s="4" t="s">
        <v>135</v>
      </c>
      <c r="F193" s="4" t="s">
        <v>358</v>
      </c>
      <c r="G193" s="6" t="s">
        <v>461</v>
      </c>
      <c r="H193" s="6" t="s">
        <v>138</v>
      </c>
      <c r="I193" s="5" t="s">
        <v>139</v>
      </c>
      <c r="J193" s="5" t="s">
        <v>26</v>
      </c>
      <c r="K193" s="7" t="n">
        <v>0.6</v>
      </c>
      <c r="L193" s="6"/>
      <c r="M193" s="4" t="s">
        <v>140</v>
      </c>
      <c r="N193" s="5" t="s">
        <v>462</v>
      </c>
    </row>
    <row r="194" customFormat="false" ht="57.45" hidden="false" customHeight="false" outlineLevel="0" collapsed="false">
      <c r="A194" s="4" t="s">
        <v>18</v>
      </c>
      <c r="B194" s="5" t="s">
        <v>463</v>
      </c>
      <c r="C194" s="6" t="s">
        <v>464</v>
      </c>
      <c r="D194" s="6"/>
      <c r="E194" s="4" t="s">
        <v>135</v>
      </c>
      <c r="F194" s="4" t="s">
        <v>358</v>
      </c>
      <c r="G194" s="6" t="s">
        <v>461</v>
      </c>
      <c r="H194" s="6" t="s">
        <v>138</v>
      </c>
      <c r="I194" s="5" t="s">
        <v>139</v>
      </c>
      <c r="J194" s="5" t="s">
        <v>26</v>
      </c>
      <c r="K194" s="7" t="n">
        <v>0.6</v>
      </c>
      <c r="L194" s="6"/>
      <c r="M194" s="4" t="s">
        <v>140</v>
      </c>
      <c r="N194" s="5" t="s">
        <v>465</v>
      </c>
    </row>
    <row r="195" customFormat="false" ht="57.45" hidden="false" customHeight="false" outlineLevel="0" collapsed="false">
      <c r="A195" s="4" t="s">
        <v>18</v>
      </c>
      <c r="B195" s="5" t="s">
        <v>466</v>
      </c>
      <c r="C195" s="6" t="s">
        <v>467</v>
      </c>
      <c r="D195" s="6"/>
      <c r="E195" s="4" t="s">
        <v>135</v>
      </c>
      <c r="F195" s="4" t="s">
        <v>358</v>
      </c>
      <c r="G195" s="6" t="s">
        <v>461</v>
      </c>
      <c r="H195" s="6" t="s">
        <v>138</v>
      </c>
      <c r="I195" s="5" t="s">
        <v>139</v>
      </c>
      <c r="J195" s="5" t="s">
        <v>26</v>
      </c>
      <c r="K195" s="7" t="n">
        <v>0.6</v>
      </c>
      <c r="L195" s="6"/>
      <c r="M195" s="4" t="s">
        <v>140</v>
      </c>
      <c r="N195" s="5" t="s">
        <v>468</v>
      </c>
    </row>
    <row r="196" customFormat="false" ht="57.45" hidden="false" customHeight="false" outlineLevel="0" collapsed="false">
      <c r="A196" s="4" t="s">
        <v>18</v>
      </c>
      <c r="B196" s="5" t="s">
        <v>469</v>
      </c>
      <c r="C196" s="6" t="s">
        <v>470</v>
      </c>
      <c r="D196" s="6"/>
      <c r="E196" s="4" t="s">
        <v>135</v>
      </c>
      <c r="F196" s="4" t="s">
        <v>358</v>
      </c>
      <c r="G196" s="6" t="s">
        <v>461</v>
      </c>
      <c r="H196" s="6" t="s">
        <v>138</v>
      </c>
      <c r="I196" s="5" t="s">
        <v>139</v>
      </c>
      <c r="J196" s="5" t="s">
        <v>26</v>
      </c>
      <c r="K196" s="7" t="n">
        <v>0.6</v>
      </c>
      <c r="L196" s="6"/>
      <c r="M196" s="4" t="s">
        <v>140</v>
      </c>
      <c r="N196" s="5" t="s">
        <v>471</v>
      </c>
    </row>
    <row r="197" customFormat="false" ht="57.45" hidden="false" customHeight="false" outlineLevel="0" collapsed="false">
      <c r="A197" s="4" t="s">
        <v>18</v>
      </c>
      <c r="B197" s="5" t="s">
        <v>472</v>
      </c>
      <c r="C197" s="6" t="s">
        <v>473</v>
      </c>
      <c r="D197" s="6"/>
      <c r="E197" s="4" t="s">
        <v>135</v>
      </c>
      <c r="F197" s="4" t="s">
        <v>358</v>
      </c>
      <c r="G197" s="6" t="s">
        <v>461</v>
      </c>
      <c r="H197" s="6" t="s">
        <v>138</v>
      </c>
      <c r="I197" s="5" t="s">
        <v>139</v>
      </c>
      <c r="J197" s="5" t="s">
        <v>26</v>
      </c>
      <c r="K197" s="7" t="n">
        <v>0.6</v>
      </c>
      <c r="L197" s="6"/>
      <c r="M197" s="4" t="s">
        <v>140</v>
      </c>
      <c r="N197" s="5" t="s">
        <v>474</v>
      </c>
    </row>
    <row r="198" customFormat="false" ht="23.85" hidden="false" customHeight="false" outlineLevel="0" collapsed="false">
      <c r="A198" s="4" t="s">
        <v>18</v>
      </c>
      <c r="B198" s="5" t="s">
        <v>475</v>
      </c>
      <c r="C198" s="6" t="s">
        <v>41</v>
      </c>
      <c r="D198" s="6"/>
      <c r="E198" s="4" t="s">
        <v>476</v>
      </c>
      <c r="F198" s="4" t="s">
        <v>477</v>
      </c>
      <c r="G198" s="6" t="s">
        <v>478</v>
      </c>
      <c r="H198" s="6" t="s">
        <v>479</v>
      </c>
      <c r="I198" s="5" t="s">
        <v>480</v>
      </c>
      <c r="J198" s="5" t="s">
        <v>26</v>
      </c>
      <c r="K198" s="7" t="n">
        <v>0.6</v>
      </c>
      <c r="L198" s="6"/>
      <c r="M198" s="4" t="s">
        <v>481</v>
      </c>
      <c r="N198" s="5" t="s">
        <v>482</v>
      </c>
    </row>
    <row r="199" customFormat="false" ht="35.05" hidden="false" customHeight="false" outlineLevel="0" collapsed="false">
      <c r="A199" s="4" t="s">
        <v>18</v>
      </c>
      <c r="B199" s="5" t="s">
        <v>475</v>
      </c>
      <c r="C199" s="6" t="s">
        <v>41</v>
      </c>
      <c r="D199" s="6"/>
      <c r="E199" s="4" t="s">
        <v>476</v>
      </c>
      <c r="F199" s="4" t="s">
        <v>477</v>
      </c>
      <c r="G199" s="6" t="s">
        <v>478</v>
      </c>
      <c r="H199" s="6" t="s">
        <v>483</v>
      </c>
      <c r="I199" s="5" t="s">
        <v>484</v>
      </c>
      <c r="J199" s="5" t="s">
        <v>26</v>
      </c>
      <c r="K199" s="7" t="n">
        <v>1</v>
      </c>
      <c r="L199" s="8" t="s">
        <v>485</v>
      </c>
      <c r="M199" s="4" t="s">
        <v>486</v>
      </c>
      <c r="N199" s="5" t="s">
        <v>482</v>
      </c>
    </row>
    <row r="200" customFormat="false" ht="35.05" hidden="false" customHeight="false" outlineLevel="0" collapsed="false">
      <c r="A200" s="4" t="s">
        <v>18</v>
      </c>
      <c r="B200" s="5" t="s">
        <v>487</v>
      </c>
      <c r="C200" s="6" t="s">
        <v>41</v>
      </c>
      <c r="D200" s="6"/>
      <c r="E200" s="4" t="s">
        <v>47</v>
      </c>
      <c r="F200" s="4" t="s">
        <v>488</v>
      </c>
      <c r="G200" s="6" t="s">
        <v>489</v>
      </c>
      <c r="H200" s="6" t="s">
        <v>50</v>
      </c>
      <c r="I200" s="5" t="s">
        <v>51</v>
      </c>
      <c r="J200" s="5" t="s">
        <v>26</v>
      </c>
      <c r="K200" s="7" t="n">
        <v>1</v>
      </c>
      <c r="L200" s="6"/>
      <c r="M200" s="4" t="s">
        <v>52</v>
      </c>
      <c r="N200" s="5" t="s">
        <v>490</v>
      </c>
    </row>
    <row r="201" customFormat="false" ht="23.85" hidden="false" customHeight="false" outlineLevel="0" collapsed="false">
      <c r="A201" s="4" t="s">
        <v>18</v>
      </c>
      <c r="B201" s="5" t="s">
        <v>491</v>
      </c>
      <c r="C201" s="6" t="s">
        <v>41</v>
      </c>
      <c r="D201" s="6"/>
      <c r="E201" s="4" t="s">
        <v>476</v>
      </c>
      <c r="F201" s="4" t="s">
        <v>477</v>
      </c>
      <c r="G201" s="6" t="s">
        <v>478</v>
      </c>
      <c r="H201" s="6" t="s">
        <v>479</v>
      </c>
      <c r="I201" s="5" t="s">
        <v>480</v>
      </c>
      <c r="J201" s="5" t="s">
        <v>26</v>
      </c>
      <c r="K201" s="7" t="n">
        <v>0.6</v>
      </c>
      <c r="L201" s="6"/>
      <c r="M201" s="4" t="s">
        <v>481</v>
      </c>
      <c r="N201" s="5" t="s">
        <v>492</v>
      </c>
    </row>
    <row r="202" customFormat="false" ht="35.05" hidden="false" customHeight="false" outlineLevel="0" collapsed="false">
      <c r="A202" s="4" t="s">
        <v>18</v>
      </c>
      <c r="B202" s="5" t="s">
        <v>491</v>
      </c>
      <c r="C202" s="6" t="s">
        <v>41</v>
      </c>
      <c r="D202" s="6"/>
      <c r="E202" s="4" t="s">
        <v>476</v>
      </c>
      <c r="F202" s="4" t="s">
        <v>477</v>
      </c>
      <c r="G202" s="6" t="s">
        <v>478</v>
      </c>
      <c r="H202" s="6" t="s">
        <v>483</v>
      </c>
      <c r="I202" s="5" t="s">
        <v>484</v>
      </c>
      <c r="J202" s="5" t="s">
        <v>26</v>
      </c>
      <c r="K202" s="7" t="n">
        <v>1</v>
      </c>
      <c r="L202" s="8" t="s">
        <v>485</v>
      </c>
      <c r="M202" s="4" t="s">
        <v>486</v>
      </c>
      <c r="N202" s="5" t="s">
        <v>492</v>
      </c>
    </row>
    <row r="203" customFormat="false" ht="57.45" hidden="false" customHeight="false" outlineLevel="0" collapsed="false">
      <c r="A203" s="4" t="s">
        <v>18</v>
      </c>
      <c r="B203" s="5" t="s">
        <v>493</v>
      </c>
      <c r="C203" s="6" t="s">
        <v>494</v>
      </c>
      <c r="D203" s="6"/>
      <c r="E203" s="4" t="s">
        <v>135</v>
      </c>
      <c r="F203" s="4" t="s">
        <v>358</v>
      </c>
      <c r="G203" s="6" t="s">
        <v>461</v>
      </c>
      <c r="H203" s="6" t="s">
        <v>138</v>
      </c>
      <c r="I203" s="5" t="s">
        <v>139</v>
      </c>
      <c r="J203" s="5" t="s">
        <v>26</v>
      </c>
      <c r="K203" s="7" t="n">
        <v>0.6</v>
      </c>
      <c r="L203" s="6"/>
      <c r="M203" s="4" t="s">
        <v>140</v>
      </c>
      <c r="N203" s="5" t="s">
        <v>495</v>
      </c>
    </row>
    <row r="204" customFormat="false" ht="57.45" hidden="false" customHeight="false" outlineLevel="0" collapsed="false">
      <c r="A204" s="4" t="s">
        <v>18</v>
      </c>
      <c r="B204" s="5" t="s">
        <v>496</v>
      </c>
      <c r="C204" s="6" t="s">
        <v>497</v>
      </c>
      <c r="D204" s="6"/>
      <c r="E204" s="4" t="s">
        <v>135</v>
      </c>
      <c r="F204" s="4" t="s">
        <v>358</v>
      </c>
      <c r="G204" s="6" t="s">
        <v>461</v>
      </c>
      <c r="H204" s="6" t="s">
        <v>138</v>
      </c>
      <c r="I204" s="5" t="s">
        <v>139</v>
      </c>
      <c r="J204" s="5" t="s">
        <v>26</v>
      </c>
      <c r="K204" s="7" t="n">
        <v>0.6</v>
      </c>
      <c r="L204" s="6"/>
      <c r="M204" s="4" t="s">
        <v>140</v>
      </c>
      <c r="N204" s="5" t="s">
        <v>498</v>
      </c>
    </row>
    <row r="205" customFormat="false" ht="23.85" hidden="false" customHeight="false" outlineLevel="0" collapsed="false">
      <c r="A205" s="4" t="s">
        <v>18</v>
      </c>
      <c r="B205" s="5" t="s">
        <v>499</v>
      </c>
      <c r="C205" s="6" t="s">
        <v>41</v>
      </c>
      <c r="D205" s="6"/>
      <c r="E205" s="4" t="s">
        <v>47</v>
      </c>
      <c r="F205" s="4" t="s">
        <v>334</v>
      </c>
      <c r="G205" s="6" t="s">
        <v>500</v>
      </c>
      <c r="H205" s="6" t="s">
        <v>50</v>
      </c>
      <c r="I205" s="5" t="s">
        <v>51</v>
      </c>
      <c r="J205" s="5" t="s">
        <v>26</v>
      </c>
      <c r="K205" s="7" t="n">
        <v>1</v>
      </c>
      <c r="L205" s="6"/>
      <c r="M205" s="4" t="s">
        <v>52</v>
      </c>
      <c r="N205" s="5" t="s">
        <v>501</v>
      </c>
    </row>
    <row r="206" customFormat="false" ht="23.85" hidden="false" customHeight="false" outlineLevel="0" collapsed="false">
      <c r="A206" s="4" t="s">
        <v>18</v>
      </c>
      <c r="B206" s="5" t="s">
        <v>502</v>
      </c>
      <c r="C206" s="6" t="s">
        <v>41</v>
      </c>
      <c r="D206" s="6"/>
      <c r="E206" s="4" t="s">
        <v>47</v>
      </c>
      <c r="F206" s="4" t="s">
        <v>243</v>
      </c>
      <c r="G206" s="6" t="s">
        <v>503</v>
      </c>
      <c r="H206" s="6" t="s">
        <v>50</v>
      </c>
      <c r="I206" s="5" t="s">
        <v>51</v>
      </c>
      <c r="J206" s="5" t="s">
        <v>26</v>
      </c>
      <c r="K206" s="7" t="n">
        <v>1</v>
      </c>
      <c r="L206" s="6"/>
      <c r="M206" s="4" t="s">
        <v>52</v>
      </c>
      <c r="N206" s="5" t="s">
        <v>504</v>
      </c>
    </row>
    <row r="207" customFormat="false" ht="23.85" hidden="false" customHeight="false" outlineLevel="0" collapsed="false">
      <c r="A207" s="4" t="s">
        <v>18</v>
      </c>
      <c r="B207" s="5" t="s">
        <v>505</v>
      </c>
      <c r="C207" s="6" t="s">
        <v>41</v>
      </c>
      <c r="D207" s="6"/>
      <c r="E207" s="4" t="s">
        <v>47</v>
      </c>
      <c r="F207" s="4" t="s">
        <v>243</v>
      </c>
      <c r="G207" s="6" t="s">
        <v>503</v>
      </c>
      <c r="H207" s="6" t="s">
        <v>50</v>
      </c>
      <c r="I207" s="5" t="s">
        <v>51</v>
      </c>
      <c r="J207" s="5" t="s">
        <v>26</v>
      </c>
      <c r="K207" s="7" t="n">
        <v>1</v>
      </c>
      <c r="L207" s="6"/>
      <c r="M207" s="4" t="s">
        <v>52</v>
      </c>
      <c r="N207" s="5" t="s">
        <v>506</v>
      </c>
    </row>
    <row r="208" customFormat="false" ht="23.85" hidden="false" customHeight="false" outlineLevel="0" collapsed="false">
      <c r="A208" s="4" t="s">
        <v>18</v>
      </c>
      <c r="B208" s="5" t="s">
        <v>507</v>
      </c>
      <c r="C208" s="6" t="s">
        <v>41</v>
      </c>
      <c r="D208" s="6"/>
      <c r="E208" s="4" t="s">
        <v>476</v>
      </c>
      <c r="F208" s="4" t="s">
        <v>508</v>
      </c>
      <c r="G208" s="6" t="s">
        <v>509</v>
      </c>
      <c r="H208" s="6" t="s">
        <v>479</v>
      </c>
      <c r="I208" s="5" t="s">
        <v>480</v>
      </c>
      <c r="J208" s="5" t="s">
        <v>26</v>
      </c>
      <c r="K208" s="7" t="n">
        <v>0.6</v>
      </c>
      <c r="L208" s="6"/>
      <c r="M208" s="4" t="s">
        <v>481</v>
      </c>
      <c r="N208" s="5" t="s">
        <v>510</v>
      </c>
    </row>
    <row r="209" customFormat="false" ht="35.05" hidden="false" customHeight="false" outlineLevel="0" collapsed="false">
      <c r="A209" s="4" t="s">
        <v>18</v>
      </c>
      <c r="B209" s="5" t="s">
        <v>507</v>
      </c>
      <c r="C209" s="6" t="s">
        <v>41</v>
      </c>
      <c r="D209" s="6"/>
      <c r="E209" s="4" t="s">
        <v>476</v>
      </c>
      <c r="F209" s="4" t="s">
        <v>508</v>
      </c>
      <c r="G209" s="6" t="s">
        <v>509</v>
      </c>
      <c r="H209" s="6" t="s">
        <v>483</v>
      </c>
      <c r="I209" s="5" t="s">
        <v>484</v>
      </c>
      <c r="J209" s="5" t="s">
        <v>26</v>
      </c>
      <c r="K209" s="7" t="n">
        <v>1</v>
      </c>
      <c r="L209" s="8" t="s">
        <v>485</v>
      </c>
      <c r="M209" s="4" t="s">
        <v>486</v>
      </c>
      <c r="N209" s="5" t="s">
        <v>510</v>
      </c>
    </row>
    <row r="210" customFormat="false" ht="23.85" hidden="false" customHeight="false" outlineLevel="0" collapsed="false">
      <c r="A210" s="4" t="s">
        <v>18</v>
      </c>
      <c r="B210" s="5" t="s">
        <v>511</v>
      </c>
      <c r="C210" s="6" t="s">
        <v>41</v>
      </c>
      <c r="D210" s="6"/>
      <c r="E210" s="4" t="s">
        <v>476</v>
      </c>
      <c r="F210" s="4" t="s">
        <v>512</v>
      </c>
      <c r="G210" s="6" t="s">
        <v>513</v>
      </c>
      <c r="H210" s="6" t="s">
        <v>479</v>
      </c>
      <c r="I210" s="5" t="s">
        <v>480</v>
      </c>
      <c r="J210" s="5" t="s">
        <v>26</v>
      </c>
      <c r="K210" s="7" t="n">
        <v>0.6</v>
      </c>
      <c r="L210" s="6"/>
      <c r="M210" s="4" t="s">
        <v>481</v>
      </c>
      <c r="N210" s="5" t="s">
        <v>514</v>
      </c>
    </row>
    <row r="211" customFormat="false" ht="35.05" hidden="false" customHeight="false" outlineLevel="0" collapsed="false">
      <c r="A211" s="4" t="s">
        <v>18</v>
      </c>
      <c r="B211" s="5" t="s">
        <v>511</v>
      </c>
      <c r="C211" s="6" t="s">
        <v>41</v>
      </c>
      <c r="D211" s="6"/>
      <c r="E211" s="4" t="s">
        <v>476</v>
      </c>
      <c r="F211" s="4" t="s">
        <v>512</v>
      </c>
      <c r="G211" s="6" t="s">
        <v>513</v>
      </c>
      <c r="H211" s="6" t="s">
        <v>483</v>
      </c>
      <c r="I211" s="5" t="s">
        <v>484</v>
      </c>
      <c r="J211" s="5" t="s">
        <v>26</v>
      </c>
      <c r="K211" s="7" t="n">
        <v>1</v>
      </c>
      <c r="L211" s="8" t="s">
        <v>485</v>
      </c>
      <c r="M211" s="4" t="s">
        <v>486</v>
      </c>
      <c r="N211" s="5" t="s">
        <v>514</v>
      </c>
    </row>
    <row r="212" customFormat="false" ht="35.05" hidden="false" customHeight="false" outlineLevel="0" collapsed="false">
      <c r="A212" s="4" t="s">
        <v>18</v>
      </c>
      <c r="B212" s="5" t="s">
        <v>515</v>
      </c>
      <c r="C212" s="6" t="s">
        <v>41</v>
      </c>
      <c r="D212" s="6"/>
      <c r="E212" s="4" t="s">
        <v>47</v>
      </c>
      <c r="F212" s="4" t="s">
        <v>251</v>
      </c>
      <c r="G212" s="6" t="s">
        <v>516</v>
      </c>
      <c r="H212" s="6" t="s">
        <v>50</v>
      </c>
      <c r="I212" s="5" t="s">
        <v>51</v>
      </c>
      <c r="J212" s="5" t="s">
        <v>26</v>
      </c>
      <c r="K212" s="7" t="n">
        <v>1</v>
      </c>
      <c r="L212" s="6"/>
      <c r="M212" s="4" t="s">
        <v>52</v>
      </c>
      <c r="N212" s="5" t="s">
        <v>517</v>
      </c>
    </row>
    <row r="213" customFormat="false" ht="35.05" hidden="false" customHeight="false" outlineLevel="0" collapsed="false">
      <c r="A213" s="4" t="s">
        <v>18</v>
      </c>
      <c r="B213" s="5" t="s">
        <v>518</v>
      </c>
      <c r="C213" s="6" t="s">
        <v>41</v>
      </c>
      <c r="D213" s="6"/>
      <c r="E213" s="4" t="s">
        <v>47</v>
      </c>
      <c r="F213" s="4" t="s">
        <v>251</v>
      </c>
      <c r="G213" s="6" t="s">
        <v>516</v>
      </c>
      <c r="H213" s="6" t="s">
        <v>50</v>
      </c>
      <c r="I213" s="5" t="s">
        <v>51</v>
      </c>
      <c r="J213" s="5" t="s">
        <v>26</v>
      </c>
      <c r="K213" s="7" t="n">
        <v>1</v>
      </c>
      <c r="L213" s="6"/>
      <c r="M213" s="4" t="s">
        <v>52</v>
      </c>
      <c r="N213" s="5" t="s">
        <v>519</v>
      </c>
    </row>
    <row r="214" customFormat="false" ht="113.4" hidden="false" customHeight="false" outlineLevel="0" collapsed="false">
      <c r="A214" s="4" t="s">
        <v>18</v>
      </c>
      <c r="B214" s="5" t="s">
        <v>520</v>
      </c>
      <c r="C214" s="6" t="s">
        <v>41</v>
      </c>
      <c r="D214" s="6"/>
      <c r="E214" s="4" t="s">
        <v>47</v>
      </c>
      <c r="F214" s="4" t="s">
        <v>223</v>
      </c>
      <c r="G214" s="6" t="s">
        <v>521</v>
      </c>
      <c r="H214" s="6" t="s">
        <v>50</v>
      </c>
      <c r="I214" s="5" t="s">
        <v>51</v>
      </c>
      <c r="J214" s="5" t="s">
        <v>26</v>
      </c>
      <c r="K214" s="7" t="n">
        <v>1</v>
      </c>
      <c r="L214" s="6"/>
      <c r="M214" s="4" t="s">
        <v>52</v>
      </c>
      <c r="N214" s="5" t="s">
        <v>522</v>
      </c>
    </row>
    <row r="215" customFormat="false" ht="113.4" hidden="false" customHeight="false" outlineLevel="0" collapsed="false">
      <c r="A215" s="4" t="s">
        <v>18</v>
      </c>
      <c r="B215" s="5" t="s">
        <v>523</v>
      </c>
      <c r="C215" s="6" t="s">
        <v>41</v>
      </c>
      <c r="D215" s="6"/>
      <c r="E215" s="4" t="s">
        <v>47</v>
      </c>
      <c r="F215" s="4" t="s">
        <v>223</v>
      </c>
      <c r="G215" s="6" t="s">
        <v>521</v>
      </c>
      <c r="H215" s="6" t="s">
        <v>50</v>
      </c>
      <c r="I215" s="5" t="s">
        <v>51</v>
      </c>
      <c r="J215" s="5" t="s">
        <v>26</v>
      </c>
      <c r="K215" s="7" t="n">
        <v>1</v>
      </c>
      <c r="L215" s="6"/>
      <c r="M215" s="4" t="s">
        <v>52</v>
      </c>
      <c r="N215" s="5" t="s">
        <v>524</v>
      </c>
    </row>
    <row r="216" customFormat="false" ht="35.05" hidden="false" customHeight="false" outlineLevel="0" collapsed="false">
      <c r="A216" s="4" t="s">
        <v>18</v>
      </c>
      <c r="B216" s="5" t="s">
        <v>525</v>
      </c>
      <c r="C216" s="6" t="s">
        <v>41</v>
      </c>
      <c r="D216" s="6"/>
      <c r="E216" s="4" t="s">
        <v>47</v>
      </c>
      <c r="F216" s="4" t="s">
        <v>526</v>
      </c>
      <c r="G216" s="6" t="s">
        <v>527</v>
      </c>
      <c r="H216" s="6" t="s">
        <v>50</v>
      </c>
      <c r="I216" s="5" t="s">
        <v>51</v>
      </c>
      <c r="J216" s="5" t="s">
        <v>26</v>
      </c>
      <c r="K216" s="7" t="n">
        <v>1</v>
      </c>
      <c r="L216" s="6"/>
      <c r="M216" s="4" t="s">
        <v>52</v>
      </c>
      <c r="N216" s="5" t="s">
        <v>528</v>
      </c>
    </row>
    <row r="217" customFormat="false" ht="23.85" hidden="false" customHeight="false" outlineLevel="0" collapsed="false">
      <c r="A217" s="4" t="s">
        <v>18</v>
      </c>
      <c r="B217" s="5" t="s">
        <v>529</v>
      </c>
      <c r="C217" s="6" t="s">
        <v>530</v>
      </c>
      <c r="D217" s="6"/>
      <c r="E217" s="4" t="s">
        <v>47</v>
      </c>
      <c r="F217" s="4" t="s">
        <v>22</v>
      </c>
      <c r="G217" s="6" t="s">
        <v>531</v>
      </c>
      <c r="H217" s="6" t="s">
        <v>50</v>
      </c>
      <c r="I217" s="5" t="s">
        <v>51</v>
      </c>
      <c r="J217" s="5" t="s">
        <v>26</v>
      </c>
      <c r="K217" s="7" t="n">
        <v>1</v>
      </c>
      <c r="L217" s="6"/>
      <c r="M217" s="4" t="s">
        <v>52</v>
      </c>
      <c r="N217" s="5" t="s">
        <v>532</v>
      </c>
    </row>
    <row r="218" customFormat="false" ht="35.05" hidden="false" customHeight="false" outlineLevel="0" collapsed="false">
      <c r="A218" s="4" t="s">
        <v>18</v>
      </c>
      <c r="B218" s="5" t="s">
        <v>533</v>
      </c>
      <c r="C218" s="6" t="s">
        <v>41</v>
      </c>
      <c r="D218" s="6"/>
      <c r="E218" s="4" t="s">
        <v>47</v>
      </c>
      <c r="F218" s="4" t="s">
        <v>534</v>
      </c>
      <c r="G218" s="6" t="s">
        <v>535</v>
      </c>
      <c r="H218" s="6" t="s">
        <v>50</v>
      </c>
      <c r="I218" s="5" t="s">
        <v>51</v>
      </c>
      <c r="J218" s="5" t="s">
        <v>26</v>
      </c>
      <c r="K218" s="7" t="n">
        <v>1</v>
      </c>
      <c r="L218" s="6"/>
      <c r="M218" s="4" t="s">
        <v>52</v>
      </c>
      <c r="N218" s="5" t="s">
        <v>536</v>
      </c>
    </row>
    <row r="219" customFormat="false" ht="23.85" hidden="false" customHeight="false" outlineLevel="0" collapsed="false">
      <c r="A219" s="4" t="s">
        <v>18</v>
      </c>
      <c r="B219" s="5" t="s">
        <v>537</v>
      </c>
      <c r="C219" s="6" t="s">
        <v>41</v>
      </c>
      <c r="D219" s="6"/>
      <c r="E219" s="4" t="s">
        <v>135</v>
      </c>
      <c r="F219" s="4" t="s">
        <v>488</v>
      </c>
      <c r="G219" s="6" t="s">
        <v>538</v>
      </c>
      <c r="H219" s="6" t="s">
        <v>138</v>
      </c>
      <c r="I219" s="5" t="s">
        <v>139</v>
      </c>
      <c r="J219" s="5" t="s">
        <v>26</v>
      </c>
      <c r="K219" s="7" t="n">
        <v>0.6</v>
      </c>
      <c r="L219" s="6"/>
      <c r="M219" s="4" t="s">
        <v>140</v>
      </c>
      <c r="N219" s="5" t="s">
        <v>539</v>
      </c>
    </row>
    <row r="220" customFormat="false" ht="23.85" hidden="false" customHeight="false" outlineLevel="0" collapsed="false">
      <c r="A220" s="4" t="s">
        <v>18</v>
      </c>
      <c r="B220" s="5" t="s">
        <v>540</v>
      </c>
      <c r="C220" s="6" t="s">
        <v>41</v>
      </c>
      <c r="D220" s="6"/>
      <c r="E220" s="4" t="s">
        <v>135</v>
      </c>
      <c r="F220" s="4" t="s">
        <v>488</v>
      </c>
      <c r="G220" s="6" t="s">
        <v>538</v>
      </c>
      <c r="H220" s="6" t="s">
        <v>138</v>
      </c>
      <c r="I220" s="5" t="s">
        <v>139</v>
      </c>
      <c r="J220" s="5" t="s">
        <v>26</v>
      </c>
      <c r="K220" s="7" t="n">
        <v>0.6</v>
      </c>
      <c r="L220" s="6"/>
      <c r="M220" s="4" t="s">
        <v>140</v>
      </c>
      <c r="N220" s="5" t="s">
        <v>541</v>
      </c>
    </row>
    <row r="221" customFormat="false" ht="35.05" hidden="false" customHeight="false" outlineLevel="0" collapsed="false">
      <c r="A221" s="4" t="s">
        <v>18</v>
      </c>
      <c r="B221" s="5" t="s">
        <v>542</v>
      </c>
      <c r="C221" s="6" t="s">
        <v>41</v>
      </c>
      <c r="D221" s="6"/>
      <c r="E221" s="4" t="s">
        <v>47</v>
      </c>
      <c r="F221" s="4" t="s">
        <v>264</v>
      </c>
      <c r="G221" s="6" t="s">
        <v>430</v>
      </c>
      <c r="H221" s="6" t="s">
        <v>50</v>
      </c>
      <c r="I221" s="5" t="s">
        <v>51</v>
      </c>
      <c r="J221" s="5" t="s">
        <v>26</v>
      </c>
      <c r="K221" s="7" t="n">
        <v>1</v>
      </c>
      <c r="L221" s="6"/>
      <c r="M221" s="4" t="s">
        <v>52</v>
      </c>
      <c r="N221" s="5" t="s">
        <v>543</v>
      </c>
    </row>
    <row r="222" customFormat="false" ht="23.85" hidden="false" customHeight="false" outlineLevel="0" collapsed="false">
      <c r="A222" s="4" t="s">
        <v>18</v>
      </c>
      <c r="B222" s="5" t="s">
        <v>544</v>
      </c>
      <c r="C222" s="6" t="s">
        <v>41</v>
      </c>
      <c r="D222" s="6"/>
      <c r="E222" s="4" t="s">
        <v>135</v>
      </c>
      <c r="F222" s="4" t="s">
        <v>413</v>
      </c>
      <c r="G222" s="6" t="s">
        <v>545</v>
      </c>
      <c r="H222" s="6" t="s">
        <v>138</v>
      </c>
      <c r="I222" s="5" t="s">
        <v>139</v>
      </c>
      <c r="J222" s="5" t="s">
        <v>26</v>
      </c>
      <c r="K222" s="7" t="n">
        <v>0.6</v>
      </c>
      <c r="L222" s="6"/>
      <c r="M222" s="4" t="s">
        <v>140</v>
      </c>
      <c r="N222" s="5" t="s">
        <v>546</v>
      </c>
    </row>
    <row r="223" customFormat="false" ht="113.4" hidden="false" customHeight="false" outlineLevel="0" collapsed="false">
      <c r="A223" s="4" t="s">
        <v>18</v>
      </c>
      <c r="B223" s="5" t="s">
        <v>547</v>
      </c>
      <c r="C223" s="6" t="s">
        <v>41</v>
      </c>
      <c r="D223" s="6"/>
      <c r="E223" s="4" t="s">
        <v>47</v>
      </c>
      <c r="F223" s="4" t="s">
        <v>223</v>
      </c>
      <c r="G223" s="6" t="s">
        <v>521</v>
      </c>
      <c r="H223" s="6" t="s">
        <v>50</v>
      </c>
      <c r="I223" s="5" t="s">
        <v>51</v>
      </c>
      <c r="J223" s="5" t="s">
        <v>26</v>
      </c>
      <c r="K223" s="7" t="n">
        <v>1</v>
      </c>
      <c r="L223" s="6"/>
      <c r="M223" s="4" t="s">
        <v>52</v>
      </c>
      <c r="N223" s="5" t="s">
        <v>548</v>
      </c>
    </row>
    <row r="224" customFormat="false" ht="23.85" hidden="false" customHeight="false" outlineLevel="0" collapsed="false">
      <c r="A224" s="4" t="s">
        <v>18</v>
      </c>
      <c r="B224" s="5" t="s">
        <v>549</v>
      </c>
      <c r="C224" s="6" t="s">
        <v>41</v>
      </c>
      <c r="D224" s="6"/>
      <c r="E224" s="4" t="s">
        <v>476</v>
      </c>
      <c r="F224" s="4" t="s">
        <v>22</v>
      </c>
      <c r="G224" s="6" t="s">
        <v>550</v>
      </c>
      <c r="H224" s="6" t="s">
        <v>479</v>
      </c>
      <c r="I224" s="5" t="s">
        <v>480</v>
      </c>
      <c r="J224" s="5" t="s">
        <v>26</v>
      </c>
      <c r="K224" s="7" t="n">
        <v>0.6</v>
      </c>
      <c r="L224" s="6"/>
      <c r="M224" s="4" t="s">
        <v>481</v>
      </c>
      <c r="N224" s="5" t="s">
        <v>551</v>
      </c>
    </row>
    <row r="225" customFormat="false" ht="57.45" hidden="false" customHeight="false" outlineLevel="0" collapsed="false">
      <c r="A225" s="4" t="s">
        <v>18</v>
      </c>
      <c r="B225" s="5" t="s">
        <v>549</v>
      </c>
      <c r="C225" s="6" t="s">
        <v>41</v>
      </c>
      <c r="D225" s="6"/>
      <c r="E225" s="4" t="s">
        <v>135</v>
      </c>
      <c r="F225" s="4" t="s">
        <v>223</v>
      </c>
      <c r="G225" s="6" t="s">
        <v>552</v>
      </c>
      <c r="H225" s="6" t="s">
        <v>138</v>
      </c>
      <c r="I225" s="5" t="s">
        <v>139</v>
      </c>
      <c r="J225" s="5" t="s">
        <v>26</v>
      </c>
      <c r="K225" s="7" t="n">
        <v>0.6</v>
      </c>
      <c r="L225" s="6"/>
      <c r="M225" s="4" t="s">
        <v>140</v>
      </c>
      <c r="N225" s="5" t="s">
        <v>551</v>
      </c>
    </row>
    <row r="226" customFormat="false" ht="35.05" hidden="false" customHeight="false" outlineLevel="0" collapsed="false">
      <c r="A226" s="4" t="s">
        <v>18</v>
      </c>
      <c r="B226" s="5" t="s">
        <v>549</v>
      </c>
      <c r="C226" s="6" t="s">
        <v>41</v>
      </c>
      <c r="D226" s="6"/>
      <c r="E226" s="4" t="s">
        <v>476</v>
      </c>
      <c r="F226" s="4" t="s">
        <v>22</v>
      </c>
      <c r="G226" s="6" t="s">
        <v>550</v>
      </c>
      <c r="H226" s="6" t="s">
        <v>483</v>
      </c>
      <c r="I226" s="5" t="s">
        <v>484</v>
      </c>
      <c r="J226" s="5" t="s">
        <v>26</v>
      </c>
      <c r="K226" s="7" t="n">
        <v>1</v>
      </c>
      <c r="L226" s="8" t="s">
        <v>485</v>
      </c>
      <c r="M226" s="4" t="s">
        <v>486</v>
      </c>
      <c r="N226" s="5" t="s">
        <v>551</v>
      </c>
    </row>
    <row r="227" customFormat="false" ht="23.85" hidden="false" customHeight="false" outlineLevel="0" collapsed="false">
      <c r="A227" s="4" t="s">
        <v>18</v>
      </c>
      <c r="B227" s="5" t="s">
        <v>553</v>
      </c>
      <c r="C227" s="6" t="s">
        <v>41</v>
      </c>
      <c r="D227" s="6"/>
      <c r="E227" s="4" t="s">
        <v>135</v>
      </c>
      <c r="F227" s="4" t="s">
        <v>37</v>
      </c>
      <c r="G227" s="6" t="s">
        <v>554</v>
      </c>
      <c r="H227" s="6" t="s">
        <v>138</v>
      </c>
      <c r="I227" s="5" t="s">
        <v>139</v>
      </c>
      <c r="J227" s="5" t="s">
        <v>26</v>
      </c>
      <c r="K227" s="7" t="n">
        <v>0.6</v>
      </c>
      <c r="L227" s="6"/>
      <c r="M227" s="4" t="s">
        <v>140</v>
      </c>
      <c r="N227" s="5" t="s">
        <v>555</v>
      </c>
    </row>
    <row r="228" customFormat="false" ht="57.45" hidden="false" customHeight="false" outlineLevel="0" collapsed="false">
      <c r="A228" s="4" t="s">
        <v>18</v>
      </c>
      <c r="B228" s="5" t="s">
        <v>556</v>
      </c>
      <c r="C228" s="6" t="s">
        <v>557</v>
      </c>
      <c r="D228" s="6"/>
      <c r="E228" s="4" t="s">
        <v>135</v>
      </c>
      <c r="F228" s="4" t="s">
        <v>223</v>
      </c>
      <c r="G228" s="6" t="s">
        <v>552</v>
      </c>
      <c r="H228" s="6" t="s">
        <v>138</v>
      </c>
      <c r="I228" s="5" t="s">
        <v>139</v>
      </c>
      <c r="J228" s="5" t="s">
        <v>26</v>
      </c>
      <c r="K228" s="7" t="n">
        <v>0.6</v>
      </c>
      <c r="L228" s="6"/>
      <c r="M228" s="4" t="s">
        <v>140</v>
      </c>
      <c r="N228" s="5" t="s">
        <v>558</v>
      </c>
    </row>
    <row r="229" customFormat="false" ht="57.45" hidden="false" customHeight="false" outlineLevel="0" collapsed="false">
      <c r="A229" s="4" t="s">
        <v>18</v>
      </c>
      <c r="B229" s="5" t="s">
        <v>559</v>
      </c>
      <c r="C229" s="6" t="s">
        <v>560</v>
      </c>
      <c r="D229" s="6"/>
      <c r="E229" s="4" t="s">
        <v>135</v>
      </c>
      <c r="F229" s="4" t="s">
        <v>223</v>
      </c>
      <c r="G229" s="6" t="s">
        <v>552</v>
      </c>
      <c r="H229" s="6" t="s">
        <v>138</v>
      </c>
      <c r="I229" s="5" t="s">
        <v>139</v>
      </c>
      <c r="J229" s="5" t="s">
        <v>26</v>
      </c>
      <c r="K229" s="7" t="n">
        <v>0.6</v>
      </c>
      <c r="L229" s="6"/>
      <c r="M229" s="4" t="s">
        <v>140</v>
      </c>
      <c r="N229" s="5" t="s">
        <v>561</v>
      </c>
    </row>
    <row r="230" customFormat="false" ht="35.05" hidden="false" customHeight="false" outlineLevel="0" collapsed="false">
      <c r="A230" s="4" t="s">
        <v>18</v>
      </c>
      <c r="B230" s="5" t="s">
        <v>562</v>
      </c>
      <c r="C230" s="6" t="s">
        <v>563</v>
      </c>
      <c r="D230" s="6"/>
      <c r="E230" s="4" t="s">
        <v>135</v>
      </c>
      <c r="F230" s="4" t="s">
        <v>256</v>
      </c>
      <c r="G230" s="6" t="s">
        <v>564</v>
      </c>
      <c r="H230" s="6" t="s">
        <v>138</v>
      </c>
      <c r="I230" s="5" t="s">
        <v>139</v>
      </c>
      <c r="J230" s="5" t="s">
        <v>26</v>
      </c>
      <c r="K230" s="7" t="n">
        <v>0.6</v>
      </c>
      <c r="L230" s="6"/>
      <c r="M230" s="4" t="s">
        <v>140</v>
      </c>
      <c r="N230" s="5" t="s">
        <v>565</v>
      </c>
    </row>
    <row r="231" customFormat="false" ht="57.45" hidden="false" customHeight="false" outlineLevel="0" collapsed="false">
      <c r="A231" s="4" t="s">
        <v>18</v>
      </c>
      <c r="B231" s="5" t="s">
        <v>566</v>
      </c>
      <c r="C231" s="6" t="s">
        <v>567</v>
      </c>
      <c r="D231" s="6"/>
      <c r="E231" s="4" t="s">
        <v>135</v>
      </c>
      <c r="F231" s="4" t="s">
        <v>42</v>
      </c>
      <c r="G231" s="6" t="s">
        <v>568</v>
      </c>
      <c r="H231" s="6" t="s">
        <v>138</v>
      </c>
      <c r="I231" s="5" t="s">
        <v>139</v>
      </c>
      <c r="J231" s="5" t="s">
        <v>26</v>
      </c>
      <c r="K231" s="7" t="n">
        <v>0.6</v>
      </c>
      <c r="L231" s="6"/>
      <c r="M231" s="4" t="s">
        <v>140</v>
      </c>
      <c r="N231" s="5" t="s">
        <v>569</v>
      </c>
    </row>
    <row r="232" customFormat="false" ht="35.05" hidden="false" customHeight="false" outlineLevel="0" collapsed="false">
      <c r="A232" s="4" t="s">
        <v>18</v>
      </c>
      <c r="B232" s="5" t="s">
        <v>570</v>
      </c>
      <c r="C232" s="6" t="s">
        <v>571</v>
      </c>
      <c r="D232" s="6"/>
      <c r="E232" s="4" t="s">
        <v>135</v>
      </c>
      <c r="F232" s="4" t="s">
        <v>264</v>
      </c>
      <c r="G232" s="6" t="s">
        <v>572</v>
      </c>
      <c r="H232" s="6" t="s">
        <v>138</v>
      </c>
      <c r="I232" s="5" t="s">
        <v>139</v>
      </c>
      <c r="J232" s="5" t="s">
        <v>26</v>
      </c>
      <c r="K232" s="7" t="n">
        <v>0.6</v>
      </c>
      <c r="L232" s="6"/>
      <c r="M232" s="4" t="s">
        <v>140</v>
      </c>
      <c r="N232" s="5" t="s">
        <v>573</v>
      </c>
    </row>
    <row r="233" customFormat="false" ht="23.85" hidden="false" customHeight="false" outlineLevel="0" collapsed="false">
      <c r="A233" s="4" t="s">
        <v>18</v>
      </c>
      <c r="B233" s="5" t="s">
        <v>574</v>
      </c>
      <c r="C233" s="6" t="s">
        <v>575</v>
      </c>
      <c r="D233" s="6"/>
      <c r="E233" s="4" t="s">
        <v>47</v>
      </c>
      <c r="F233" s="4" t="s">
        <v>358</v>
      </c>
      <c r="G233" s="6" t="s">
        <v>359</v>
      </c>
      <c r="H233" s="6" t="s">
        <v>50</v>
      </c>
      <c r="I233" s="5" t="s">
        <v>51</v>
      </c>
      <c r="J233" s="5" t="s">
        <v>26</v>
      </c>
      <c r="K233" s="7" t="n">
        <v>1</v>
      </c>
      <c r="L233" s="6"/>
      <c r="M233" s="4" t="s">
        <v>52</v>
      </c>
      <c r="N233" s="5" t="s">
        <v>576</v>
      </c>
    </row>
    <row r="234" customFormat="false" ht="247.75" hidden="false" customHeight="false" outlineLevel="0" collapsed="false">
      <c r="A234" s="4" t="s">
        <v>18</v>
      </c>
      <c r="B234" s="5" t="s">
        <v>577</v>
      </c>
      <c r="C234" s="6" t="s">
        <v>41</v>
      </c>
      <c r="D234" s="6"/>
      <c r="E234" s="4" t="s">
        <v>21</v>
      </c>
      <c r="F234" s="4" t="s">
        <v>239</v>
      </c>
      <c r="G234" s="6" t="s">
        <v>240</v>
      </c>
      <c r="H234" s="6" t="s">
        <v>24</v>
      </c>
      <c r="I234" s="5" t="s">
        <v>25</v>
      </c>
      <c r="J234" s="5" t="s">
        <v>26</v>
      </c>
      <c r="K234" s="7" t="n">
        <v>0.6</v>
      </c>
      <c r="L234" s="6"/>
      <c r="M234" s="4" t="s">
        <v>27</v>
      </c>
      <c r="N234" s="5" t="s">
        <v>578</v>
      </c>
    </row>
    <row r="235" customFormat="false" ht="23.85" hidden="false" customHeight="false" outlineLevel="0" collapsed="false">
      <c r="A235" s="4" t="s">
        <v>18</v>
      </c>
      <c r="B235" s="5" t="s">
        <v>579</v>
      </c>
      <c r="C235" s="6" t="s">
        <v>41</v>
      </c>
      <c r="D235" s="6"/>
      <c r="E235" s="4" t="s">
        <v>580</v>
      </c>
      <c r="F235" s="4" t="s">
        <v>581</v>
      </c>
      <c r="G235" s="6" t="s">
        <v>582</v>
      </c>
      <c r="H235" s="6" t="s">
        <v>583</v>
      </c>
      <c r="I235" s="5" t="s">
        <v>584</v>
      </c>
      <c r="J235" s="5" t="s">
        <v>26</v>
      </c>
      <c r="K235" s="7" t="n">
        <v>0.6</v>
      </c>
      <c r="L235" s="8" t="s">
        <v>585</v>
      </c>
      <c r="M235" s="4" t="s">
        <v>586</v>
      </c>
      <c r="N235" s="5" t="s">
        <v>587</v>
      </c>
    </row>
    <row r="236" customFormat="false" ht="23.85" hidden="false" customHeight="false" outlineLevel="0" collapsed="false">
      <c r="A236" s="4" t="s">
        <v>18</v>
      </c>
      <c r="B236" s="5" t="s">
        <v>579</v>
      </c>
      <c r="C236" s="6" t="s">
        <v>41</v>
      </c>
      <c r="D236" s="6"/>
      <c r="E236" s="4" t="s">
        <v>580</v>
      </c>
      <c r="F236" s="4" t="s">
        <v>581</v>
      </c>
      <c r="G236" s="6" t="s">
        <v>582</v>
      </c>
      <c r="H236" s="6" t="s">
        <v>588</v>
      </c>
      <c r="I236" s="5" t="s">
        <v>589</v>
      </c>
      <c r="J236" s="5" t="s">
        <v>26</v>
      </c>
      <c r="K236" s="7" t="n">
        <v>0.6</v>
      </c>
      <c r="L236" s="8" t="s">
        <v>590</v>
      </c>
      <c r="M236" s="4" t="s">
        <v>591</v>
      </c>
      <c r="N236" s="5" t="s">
        <v>587</v>
      </c>
    </row>
    <row r="237" customFormat="false" ht="23.85" hidden="false" customHeight="false" outlineLevel="0" collapsed="false">
      <c r="A237" s="4" t="s">
        <v>18</v>
      </c>
      <c r="B237" s="5" t="s">
        <v>592</v>
      </c>
      <c r="C237" s="6" t="s">
        <v>41</v>
      </c>
      <c r="D237" s="6"/>
      <c r="E237" s="4" t="s">
        <v>47</v>
      </c>
      <c r="F237" s="4" t="s">
        <v>593</v>
      </c>
      <c r="G237" s="6" t="s">
        <v>594</v>
      </c>
      <c r="H237" s="6" t="s">
        <v>50</v>
      </c>
      <c r="I237" s="5" t="s">
        <v>51</v>
      </c>
      <c r="J237" s="5" t="s">
        <v>26</v>
      </c>
      <c r="K237" s="7" t="n">
        <v>1</v>
      </c>
      <c r="L237" s="6"/>
      <c r="M237" s="4" t="s">
        <v>52</v>
      </c>
      <c r="N237" s="5" t="s">
        <v>595</v>
      </c>
    </row>
    <row r="238" customFormat="false" ht="35.05" hidden="false" customHeight="false" outlineLevel="0" collapsed="false">
      <c r="A238" s="4" t="s">
        <v>18</v>
      </c>
      <c r="B238" s="5" t="s">
        <v>592</v>
      </c>
      <c r="C238" s="6" t="s">
        <v>41</v>
      </c>
      <c r="D238" s="6"/>
      <c r="E238" s="4" t="s">
        <v>47</v>
      </c>
      <c r="F238" s="4" t="s">
        <v>251</v>
      </c>
      <c r="G238" s="6" t="s">
        <v>516</v>
      </c>
      <c r="H238" s="6" t="s">
        <v>50</v>
      </c>
      <c r="I238" s="5" t="s">
        <v>51</v>
      </c>
      <c r="J238" s="5" t="s">
        <v>26</v>
      </c>
      <c r="K238" s="7" t="n">
        <v>1</v>
      </c>
      <c r="L238" s="6"/>
      <c r="M238" s="4" t="s">
        <v>52</v>
      </c>
      <c r="N238" s="5" t="s">
        <v>595</v>
      </c>
    </row>
    <row r="239" customFormat="false" ht="23.85" hidden="false" customHeight="false" outlineLevel="0" collapsed="false">
      <c r="A239" s="4" t="s">
        <v>18</v>
      </c>
      <c r="B239" s="5" t="s">
        <v>592</v>
      </c>
      <c r="C239" s="6" t="s">
        <v>41</v>
      </c>
      <c r="D239" s="6"/>
      <c r="E239" s="4" t="s">
        <v>476</v>
      </c>
      <c r="F239" s="4" t="s">
        <v>596</v>
      </c>
      <c r="G239" s="6" t="s">
        <v>597</v>
      </c>
      <c r="H239" s="6" t="s">
        <v>479</v>
      </c>
      <c r="I239" s="5" t="s">
        <v>480</v>
      </c>
      <c r="J239" s="5" t="s">
        <v>26</v>
      </c>
      <c r="K239" s="7" t="n">
        <v>0.6</v>
      </c>
      <c r="L239" s="6"/>
      <c r="M239" s="4" t="s">
        <v>481</v>
      </c>
      <c r="N239" s="5" t="s">
        <v>595</v>
      </c>
    </row>
    <row r="240" customFormat="false" ht="23.85" hidden="false" customHeight="false" outlineLevel="0" collapsed="false">
      <c r="A240" s="4" t="s">
        <v>18</v>
      </c>
      <c r="B240" s="5" t="s">
        <v>592</v>
      </c>
      <c r="C240" s="6" t="s">
        <v>41</v>
      </c>
      <c r="D240" s="6"/>
      <c r="E240" s="4" t="s">
        <v>476</v>
      </c>
      <c r="F240" s="4" t="s">
        <v>598</v>
      </c>
      <c r="G240" s="6" t="s">
        <v>599</v>
      </c>
      <c r="H240" s="6" t="s">
        <v>479</v>
      </c>
      <c r="I240" s="5" t="s">
        <v>480</v>
      </c>
      <c r="J240" s="5" t="s">
        <v>26</v>
      </c>
      <c r="K240" s="7" t="n">
        <v>0.6</v>
      </c>
      <c r="L240" s="6"/>
      <c r="M240" s="4" t="s">
        <v>481</v>
      </c>
      <c r="N240" s="5" t="s">
        <v>595</v>
      </c>
    </row>
    <row r="241" customFormat="false" ht="23.85" hidden="false" customHeight="false" outlineLevel="0" collapsed="false">
      <c r="A241" s="4" t="s">
        <v>18</v>
      </c>
      <c r="B241" s="5" t="s">
        <v>592</v>
      </c>
      <c r="C241" s="6" t="s">
        <v>41</v>
      </c>
      <c r="D241" s="6"/>
      <c r="E241" s="4" t="s">
        <v>476</v>
      </c>
      <c r="F241" s="4" t="s">
        <v>600</v>
      </c>
      <c r="G241" s="6" t="s">
        <v>601</v>
      </c>
      <c r="H241" s="6" t="s">
        <v>479</v>
      </c>
      <c r="I241" s="5" t="s">
        <v>480</v>
      </c>
      <c r="J241" s="5" t="s">
        <v>26</v>
      </c>
      <c r="K241" s="7" t="n">
        <v>0.6</v>
      </c>
      <c r="L241" s="6"/>
      <c r="M241" s="4" t="s">
        <v>481</v>
      </c>
      <c r="N241" s="5" t="s">
        <v>595</v>
      </c>
    </row>
    <row r="242" customFormat="false" ht="23.85" hidden="false" customHeight="false" outlineLevel="0" collapsed="false">
      <c r="A242" s="4" t="s">
        <v>18</v>
      </c>
      <c r="B242" s="5" t="s">
        <v>592</v>
      </c>
      <c r="C242" s="6" t="s">
        <v>41</v>
      </c>
      <c r="D242" s="6"/>
      <c r="E242" s="4" t="s">
        <v>476</v>
      </c>
      <c r="F242" s="4" t="s">
        <v>602</v>
      </c>
      <c r="G242" s="6" t="s">
        <v>603</v>
      </c>
      <c r="H242" s="6" t="s">
        <v>479</v>
      </c>
      <c r="I242" s="5" t="s">
        <v>480</v>
      </c>
      <c r="J242" s="5" t="s">
        <v>26</v>
      </c>
      <c r="K242" s="7" t="n">
        <v>0.6</v>
      </c>
      <c r="L242" s="6"/>
      <c r="M242" s="4" t="s">
        <v>481</v>
      </c>
      <c r="N242" s="5" t="s">
        <v>595</v>
      </c>
    </row>
    <row r="243" customFormat="false" ht="23.85" hidden="false" customHeight="false" outlineLevel="0" collapsed="false">
      <c r="A243" s="4" t="s">
        <v>18</v>
      </c>
      <c r="B243" s="5" t="s">
        <v>592</v>
      </c>
      <c r="C243" s="6" t="s">
        <v>41</v>
      </c>
      <c r="D243" s="6"/>
      <c r="E243" s="4" t="s">
        <v>476</v>
      </c>
      <c r="F243" s="4" t="s">
        <v>604</v>
      </c>
      <c r="G243" s="6" t="s">
        <v>605</v>
      </c>
      <c r="H243" s="6" t="s">
        <v>479</v>
      </c>
      <c r="I243" s="5" t="s">
        <v>480</v>
      </c>
      <c r="J243" s="5" t="s">
        <v>26</v>
      </c>
      <c r="K243" s="7" t="n">
        <v>0.6</v>
      </c>
      <c r="L243" s="6"/>
      <c r="M243" s="4" t="s">
        <v>481</v>
      </c>
      <c r="N243" s="5" t="s">
        <v>595</v>
      </c>
    </row>
    <row r="244" customFormat="false" ht="23.85" hidden="false" customHeight="false" outlineLevel="0" collapsed="false">
      <c r="A244" s="4" t="s">
        <v>18</v>
      </c>
      <c r="B244" s="5" t="s">
        <v>592</v>
      </c>
      <c r="C244" s="6" t="s">
        <v>41</v>
      </c>
      <c r="D244" s="6"/>
      <c r="E244" s="4" t="s">
        <v>476</v>
      </c>
      <c r="F244" s="4" t="s">
        <v>606</v>
      </c>
      <c r="G244" s="6" t="s">
        <v>607</v>
      </c>
      <c r="H244" s="6" t="s">
        <v>479</v>
      </c>
      <c r="I244" s="5" t="s">
        <v>480</v>
      </c>
      <c r="J244" s="5" t="s">
        <v>26</v>
      </c>
      <c r="K244" s="7" t="n">
        <v>0.6</v>
      </c>
      <c r="L244" s="6"/>
      <c r="M244" s="4" t="s">
        <v>481</v>
      </c>
      <c r="N244" s="5" t="s">
        <v>595</v>
      </c>
    </row>
    <row r="245" customFormat="false" ht="23.85" hidden="false" customHeight="false" outlineLevel="0" collapsed="false">
      <c r="A245" s="4" t="s">
        <v>18</v>
      </c>
      <c r="B245" s="5" t="s">
        <v>592</v>
      </c>
      <c r="C245" s="6" t="s">
        <v>41</v>
      </c>
      <c r="D245" s="6"/>
      <c r="E245" s="4" t="s">
        <v>476</v>
      </c>
      <c r="F245" s="4" t="s">
        <v>608</v>
      </c>
      <c r="G245" s="6" t="s">
        <v>609</v>
      </c>
      <c r="H245" s="6" t="s">
        <v>479</v>
      </c>
      <c r="I245" s="5" t="s">
        <v>480</v>
      </c>
      <c r="J245" s="5" t="s">
        <v>26</v>
      </c>
      <c r="K245" s="7" t="n">
        <v>0.6</v>
      </c>
      <c r="L245" s="6"/>
      <c r="M245" s="4" t="s">
        <v>481</v>
      </c>
      <c r="N245" s="5" t="s">
        <v>595</v>
      </c>
    </row>
    <row r="246" customFormat="false" ht="23.85" hidden="false" customHeight="false" outlineLevel="0" collapsed="false">
      <c r="A246" s="4" t="s">
        <v>18</v>
      </c>
      <c r="B246" s="5" t="s">
        <v>592</v>
      </c>
      <c r="C246" s="6" t="s">
        <v>41</v>
      </c>
      <c r="D246" s="6"/>
      <c r="E246" s="4" t="s">
        <v>476</v>
      </c>
      <c r="F246" s="4" t="s">
        <v>610</v>
      </c>
      <c r="G246" s="6" t="s">
        <v>611</v>
      </c>
      <c r="H246" s="6" t="s">
        <v>479</v>
      </c>
      <c r="I246" s="5" t="s">
        <v>480</v>
      </c>
      <c r="J246" s="5" t="s">
        <v>26</v>
      </c>
      <c r="K246" s="7" t="n">
        <v>0.6</v>
      </c>
      <c r="L246" s="6"/>
      <c r="M246" s="4" t="s">
        <v>481</v>
      </c>
      <c r="N246" s="5" t="s">
        <v>595</v>
      </c>
    </row>
    <row r="247" customFormat="false" ht="35.05" hidden="false" customHeight="false" outlineLevel="0" collapsed="false">
      <c r="A247" s="4" t="s">
        <v>18</v>
      </c>
      <c r="B247" s="5" t="s">
        <v>592</v>
      </c>
      <c r="C247" s="6" t="s">
        <v>41</v>
      </c>
      <c r="D247" s="6"/>
      <c r="E247" s="4" t="s">
        <v>476</v>
      </c>
      <c r="F247" s="4" t="s">
        <v>596</v>
      </c>
      <c r="G247" s="6" t="s">
        <v>597</v>
      </c>
      <c r="H247" s="6" t="s">
        <v>483</v>
      </c>
      <c r="I247" s="5" t="s">
        <v>484</v>
      </c>
      <c r="J247" s="5" t="s">
        <v>26</v>
      </c>
      <c r="K247" s="7" t="n">
        <v>1</v>
      </c>
      <c r="L247" s="8" t="s">
        <v>485</v>
      </c>
      <c r="M247" s="4" t="s">
        <v>486</v>
      </c>
      <c r="N247" s="5" t="s">
        <v>595</v>
      </c>
    </row>
    <row r="248" customFormat="false" ht="35.05" hidden="false" customHeight="false" outlineLevel="0" collapsed="false">
      <c r="A248" s="4" t="s">
        <v>18</v>
      </c>
      <c r="B248" s="5" t="s">
        <v>592</v>
      </c>
      <c r="C248" s="6" t="s">
        <v>41</v>
      </c>
      <c r="D248" s="6"/>
      <c r="E248" s="4" t="s">
        <v>476</v>
      </c>
      <c r="F248" s="4" t="s">
        <v>598</v>
      </c>
      <c r="G248" s="6" t="s">
        <v>599</v>
      </c>
      <c r="H248" s="6" t="s">
        <v>483</v>
      </c>
      <c r="I248" s="5" t="s">
        <v>484</v>
      </c>
      <c r="J248" s="5" t="s">
        <v>26</v>
      </c>
      <c r="K248" s="7" t="n">
        <v>1</v>
      </c>
      <c r="L248" s="8" t="s">
        <v>485</v>
      </c>
      <c r="M248" s="4" t="s">
        <v>486</v>
      </c>
      <c r="N248" s="5" t="s">
        <v>595</v>
      </c>
    </row>
    <row r="249" customFormat="false" ht="35.05" hidden="false" customHeight="false" outlineLevel="0" collapsed="false">
      <c r="A249" s="4" t="s">
        <v>18</v>
      </c>
      <c r="B249" s="5" t="s">
        <v>592</v>
      </c>
      <c r="C249" s="6" t="s">
        <v>41</v>
      </c>
      <c r="D249" s="6"/>
      <c r="E249" s="4" t="s">
        <v>476</v>
      </c>
      <c r="F249" s="4" t="s">
        <v>600</v>
      </c>
      <c r="G249" s="6" t="s">
        <v>601</v>
      </c>
      <c r="H249" s="6" t="s">
        <v>483</v>
      </c>
      <c r="I249" s="5" t="s">
        <v>484</v>
      </c>
      <c r="J249" s="5" t="s">
        <v>26</v>
      </c>
      <c r="K249" s="7" t="n">
        <v>1</v>
      </c>
      <c r="L249" s="8" t="s">
        <v>485</v>
      </c>
      <c r="M249" s="4" t="s">
        <v>486</v>
      </c>
      <c r="N249" s="5" t="s">
        <v>595</v>
      </c>
    </row>
    <row r="250" customFormat="false" ht="35.05" hidden="false" customHeight="false" outlineLevel="0" collapsed="false">
      <c r="A250" s="4" t="s">
        <v>18</v>
      </c>
      <c r="B250" s="5" t="s">
        <v>592</v>
      </c>
      <c r="C250" s="6" t="s">
        <v>41</v>
      </c>
      <c r="D250" s="6"/>
      <c r="E250" s="4" t="s">
        <v>476</v>
      </c>
      <c r="F250" s="4" t="s">
        <v>602</v>
      </c>
      <c r="G250" s="6" t="s">
        <v>603</v>
      </c>
      <c r="H250" s="6" t="s">
        <v>483</v>
      </c>
      <c r="I250" s="5" t="s">
        <v>484</v>
      </c>
      <c r="J250" s="5" t="s">
        <v>26</v>
      </c>
      <c r="K250" s="7" t="n">
        <v>1</v>
      </c>
      <c r="L250" s="8" t="s">
        <v>485</v>
      </c>
      <c r="M250" s="4" t="s">
        <v>486</v>
      </c>
      <c r="N250" s="5" t="s">
        <v>595</v>
      </c>
    </row>
    <row r="251" customFormat="false" ht="35.05" hidden="false" customHeight="false" outlineLevel="0" collapsed="false">
      <c r="A251" s="4" t="s">
        <v>18</v>
      </c>
      <c r="B251" s="5" t="s">
        <v>592</v>
      </c>
      <c r="C251" s="6" t="s">
        <v>41</v>
      </c>
      <c r="D251" s="6"/>
      <c r="E251" s="4" t="s">
        <v>476</v>
      </c>
      <c r="F251" s="4" t="s">
        <v>604</v>
      </c>
      <c r="G251" s="6" t="s">
        <v>605</v>
      </c>
      <c r="H251" s="6" t="s">
        <v>483</v>
      </c>
      <c r="I251" s="5" t="s">
        <v>484</v>
      </c>
      <c r="J251" s="5" t="s">
        <v>26</v>
      </c>
      <c r="K251" s="7" t="n">
        <v>1</v>
      </c>
      <c r="L251" s="8" t="s">
        <v>485</v>
      </c>
      <c r="M251" s="4" t="s">
        <v>486</v>
      </c>
      <c r="N251" s="5" t="s">
        <v>595</v>
      </c>
    </row>
    <row r="252" customFormat="false" ht="35.05" hidden="false" customHeight="false" outlineLevel="0" collapsed="false">
      <c r="A252" s="4" t="s">
        <v>18</v>
      </c>
      <c r="B252" s="5" t="s">
        <v>592</v>
      </c>
      <c r="C252" s="6" t="s">
        <v>41</v>
      </c>
      <c r="D252" s="6"/>
      <c r="E252" s="4" t="s">
        <v>476</v>
      </c>
      <c r="F252" s="4" t="s">
        <v>606</v>
      </c>
      <c r="G252" s="6" t="s">
        <v>607</v>
      </c>
      <c r="H252" s="6" t="s">
        <v>483</v>
      </c>
      <c r="I252" s="5" t="s">
        <v>484</v>
      </c>
      <c r="J252" s="5" t="s">
        <v>26</v>
      </c>
      <c r="K252" s="7" t="n">
        <v>1</v>
      </c>
      <c r="L252" s="8" t="s">
        <v>485</v>
      </c>
      <c r="M252" s="4" t="s">
        <v>486</v>
      </c>
      <c r="N252" s="5" t="s">
        <v>595</v>
      </c>
    </row>
    <row r="253" customFormat="false" ht="35.05" hidden="false" customHeight="false" outlineLevel="0" collapsed="false">
      <c r="A253" s="4" t="s">
        <v>18</v>
      </c>
      <c r="B253" s="5" t="s">
        <v>592</v>
      </c>
      <c r="C253" s="6" t="s">
        <v>41</v>
      </c>
      <c r="D253" s="6"/>
      <c r="E253" s="4" t="s">
        <v>476</v>
      </c>
      <c r="F253" s="4" t="s">
        <v>608</v>
      </c>
      <c r="G253" s="6" t="s">
        <v>609</v>
      </c>
      <c r="H253" s="6" t="s">
        <v>483</v>
      </c>
      <c r="I253" s="5" t="s">
        <v>484</v>
      </c>
      <c r="J253" s="5" t="s">
        <v>26</v>
      </c>
      <c r="K253" s="7" t="n">
        <v>1</v>
      </c>
      <c r="L253" s="8" t="s">
        <v>485</v>
      </c>
      <c r="M253" s="4" t="s">
        <v>486</v>
      </c>
      <c r="N253" s="5" t="s">
        <v>595</v>
      </c>
    </row>
    <row r="254" customFormat="false" ht="35.05" hidden="false" customHeight="false" outlineLevel="0" collapsed="false">
      <c r="A254" s="4" t="s">
        <v>18</v>
      </c>
      <c r="B254" s="5" t="s">
        <v>592</v>
      </c>
      <c r="C254" s="6" t="s">
        <v>41</v>
      </c>
      <c r="D254" s="6"/>
      <c r="E254" s="4" t="s">
        <v>476</v>
      </c>
      <c r="F254" s="4" t="s">
        <v>610</v>
      </c>
      <c r="G254" s="6" t="s">
        <v>611</v>
      </c>
      <c r="H254" s="6" t="s">
        <v>483</v>
      </c>
      <c r="I254" s="5" t="s">
        <v>484</v>
      </c>
      <c r="J254" s="5" t="s">
        <v>26</v>
      </c>
      <c r="K254" s="7" t="n">
        <v>1</v>
      </c>
      <c r="L254" s="8" t="s">
        <v>485</v>
      </c>
      <c r="M254" s="4" t="s">
        <v>486</v>
      </c>
      <c r="N254" s="5" t="s">
        <v>595</v>
      </c>
    </row>
    <row r="255" customFormat="false" ht="23.85" hidden="false" customHeight="false" outlineLevel="0" collapsed="false">
      <c r="A255" s="4" t="s">
        <v>18</v>
      </c>
      <c r="B255" s="5" t="s">
        <v>612</v>
      </c>
      <c r="C255" s="6" t="s">
        <v>41</v>
      </c>
      <c r="D255" s="6"/>
      <c r="E255" s="4" t="s">
        <v>476</v>
      </c>
      <c r="F255" s="4" t="s">
        <v>613</v>
      </c>
      <c r="G255" s="6" t="s">
        <v>614</v>
      </c>
      <c r="H255" s="6" t="s">
        <v>479</v>
      </c>
      <c r="I255" s="5" t="s">
        <v>480</v>
      </c>
      <c r="J255" s="5" t="s">
        <v>26</v>
      </c>
      <c r="K255" s="7" t="n">
        <v>0.6</v>
      </c>
      <c r="L255" s="6"/>
      <c r="M255" s="4" t="s">
        <v>481</v>
      </c>
      <c r="N255" s="5" t="s">
        <v>615</v>
      </c>
    </row>
    <row r="256" customFormat="false" ht="23.85" hidden="false" customHeight="false" outlineLevel="0" collapsed="false">
      <c r="A256" s="4" t="s">
        <v>18</v>
      </c>
      <c r="B256" s="5" t="s">
        <v>612</v>
      </c>
      <c r="C256" s="6" t="s">
        <v>41</v>
      </c>
      <c r="D256" s="6"/>
      <c r="E256" s="4" t="s">
        <v>476</v>
      </c>
      <c r="F256" s="4" t="s">
        <v>616</v>
      </c>
      <c r="G256" s="6" t="s">
        <v>617</v>
      </c>
      <c r="H256" s="6" t="s">
        <v>479</v>
      </c>
      <c r="I256" s="5" t="s">
        <v>480</v>
      </c>
      <c r="J256" s="5" t="s">
        <v>26</v>
      </c>
      <c r="K256" s="7" t="n">
        <v>0.6</v>
      </c>
      <c r="L256" s="6"/>
      <c r="M256" s="4" t="s">
        <v>481</v>
      </c>
      <c r="N256" s="5" t="s">
        <v>615</v>
      </c>
    </row>
    <row r="257" customFormat="false" ht="46.25" hidden="false" customHeight="false" outlineLevel="0" collapsed="false">
      <c r="A257" s="4" t="s">
        <v>18</v>
      </c>
      <c r="B257" s="5" t="s">
        <v>612</v>
      </c>
      <c r="C257" s="6" t="s">
        <v>41</v>
      </c>
      <c r="D257" s="6"/>
      <c r="E257" s="4" t="s">
        <v>135</v>
      </c>
      <c r="F257" s="4" t="s">
        <v>172</v>
      </c>
      <c r="G257" s="6" t="s">
        <v>200</v>
      </c>
      <c r="H257" s="6" t="s">
        <v>138</v>
      </c>
      <c r="I257" s="5" t="s">
        <v>139</v>
      </c>
      <c r="J257" s="5" t="s">
        <v>26</v>
      </c>
      <c r="K257" s="7" t="n">
        <v>0.6</v>
      </c>
      <c r="L257" s="6"/>
      <c r="M257" s="4" t="s">
        <v>140</v>
      </c>
      <c r="N257" s="5" t="s">
        <v>615</v>
      </c>
    </row>
    <row r="258" customFormat="false" ht="35.05" hidden="false" customHeight="false" outlineLevel="0" collapsed="false">
      <c r="A258" s="4" t="s">
        <v>18</v>
      </c>
      <c r="B258" s="5" t="s">
        <v>612</v>
      </c>
      <c r="C258" s="6" t="s">
        <v>41</v>
      </c>
      <c r="D258" s="6"/>
      <c r="E258" s="4" t="s">
        <v>476</v>
      </c>
      <c r="F258" s="4" t="s">
        <v>613</v>
      </c>
      <c r="G258" s="6" t="s">
        <v>614</v>
      </c>
      <c r="H258" s="6" t="s">
        <v>483</v>
      </c>
      <c r="I258" s="5" t="s">
        <v>484</v>
      </c>
      <c r="J258" s="5" t="s">
        <v>26</v>
      </c>
      <c r="K258" s="7" t="n">
        <v>1</v>
      </c>
      <c r="L258" s="8" t="s">
        <v>485</v>
      </c>
      <c r="M258" s="4" t="s">
        <v>486</v>
      </c>
      <c r="N258" s="5" t="s">
        <v>615</v>
      </c>
    </row>
    <row r="259" customFormat="false" ht="35.05" hidden="false" customHeight="false" outlineLevel="0" collapsed="false">
      <c r="A259" s="4" t="s">
        <v>18</v>
      </c>
      <c r="B259" s="5" t="s">
        <v>612</v>
      </c>
      <c r="C259" s="6" t="s">
        <v>41</v>
      </c>
      <c r="D259" s="6"/>
      <c r="E259" s="4" t="s">
        <v>476</v>
      </c>
      <c r="F259" s="4" t="s">
        <v>616</v>
      </c>
      <c r="G259" s="6" t="s">
        <v>617</v>
      </c>
      <c r="H259" s="6" t="s">
        <v>483</v>
      </c>
      <c r="I259" s="5" t="s">
        <v>484</v>
      </c>
      <c r="J259" s="5" t="s">
        <v>26</v>
      </c>
      <c r="K259" s="7" t="n">
        <v>1</v>
      </c>
      <c r="L259" s="8" t="s">
        <v>485</v>
      </c>
      <c r="M259" s="4" t="s">
        <v>486</v>
      </c>
      <c r="N259" s="5" t="s">
        <v>615</v>
      </c>
    </row>
    <row r="260" customFormat="false" ht="57.45" hidden="false" customHeight="false" outlineLevel="0" collapsed="false">
      <c r="A260" s="4" t="s">
        <v>18</v>
      </c>
      <c r="B260" s="5" t="s">
        <v>618</v>
      </c>
      <c r="C260" s="6" t="s">
        <v>619</v>
      </c>
      <c r="D260" s="6"/>
      <c r="E260" s="4" t="s">
        <v>21</v>
      </c>
      <c r="F260" s="4" t="s">
        <v>107</v>
      </c>
      <c r="G260" s="6" t="s">
        <v>620</v>
      </c>
      <c r="H260" s="6" t="s">
        <v>24</v>
      </c>
      <c r="I260" s="5" t="s">
        <v>25</v>
      </c>
      <c r="J260" s="5" t="s">
        <v>26</v>
      </c>
      <c r="K260" s="7" t="n">
        <v>0.6</v>
      </c>
      <c r="L260" s="6"/>
      <c r="M260" s="4" t="s">
        <v>27</v>
      </c>
      <c r="N260" s="5" t="s">
        <v>621</v>
      </c>
    </row>
    <row r="261" customFormat="false" ht="57.45" hidden="false" customHeight="false" outlineLevel="0" collapsed="false">
      <c r="A261" s="4" t="s">
        <v>18</v>
      </c>
      <c r="B261" s="5" t="s">
        <v>622</v>
      </c>
      <c r="C261" s="6" t="s">
        <v>623</v>
      </c>
      <c r="D261" s="6"/>
      <c r="E261" s="4" t="s">
        <v>21</v>
      </c>
      <c r="F261" s="4" t="s">
        <v>107</v>
      </c>
      <c r="G261" s="6" t="s">
        <v>620</v>
      </c>
      <c r="H261" s="6" t="s">
        <v>24</v>
      </c>
      <c r="I261" s="5" t="s">
        <v>25</v>
      </c>
      <c r="J261" s="5" t="s">
        <v>26</v>
      </c>
      <c r="K261" s="7" t="n">
        <v>0.6</v>
      </c>
      <c r="L261" s="6"/>
      <c r="M261" s="4" t="s">
        <v>27</v>
      </c>
      <c r="N261" s="5" t="s">
        <v>624</v>
      </c>
    </row>
    <row r="262" customFormat="false" ht="247.75" hidden="false" customHeight="false" outlineLevel="0" collapsed="false">
      <c r="A262" s="4" t="s">
        <v>18</v>
      </c>
      <c r="B262" s="5" t="s">
        <v>622</v>
      </c>
      <c r="C262" s="6" t="s">
        <v>623</v>
      </c>
      <c r="D262" s="6"/>
      <c r="E262" s="4" t="s">
        <v>21</v>
      </c>
      <c r="F262" s="4" t="s">
        <v>239</v>
      </c>
      <c r="G262" s="6" t="s">
        <v>240</v>
      </c>
      <c r="H262" s="6" t="s">
        <v>24</v>
      </c>
      <c r="I262" s="5" t="s">
        <v>25</v>
      </c>
      <c r="J262" s="5" t="s">
        <v>26</v>
      </c>
      <c r="K262" s="7" t="n">
        <v>0.6</v>
      </c>
      <c r="L262" s="6"/>
      <c r="M262" s="4" t="s">
        <v>27</v>
      </c>
      <c r="N262" s="5" t="s">
        <v>624</v>
      </c>
    </row>
    <row r="263" customFormat="false" ht="57.45" hidden="false" customHeight="false" outlineLevel="0" collapsed="false">
      <c r="A263" s="4" t="s">
        <v>18</v>
      </c>
      <c r="B263" s="5" t="s">
        <v>625</v>
      </c>
      <c r="C263" s="6" t="s">
        <v>626</v>
      </c>
      <c r="D263" s="6"/>
      <c r="E263" s="4" t="s">
        <v>21</v>
      </c>
      <c r="F263" s="4" t="s">
        <v>107</v>
      </c>
      <c r="G263" s="6" t="s">
        <v>620</v>
      </c>
      <c r="H263" s="6" t="s">
        <v>24</v>
      </c>
      <c r="I263" s="5" t="s">
        <v>25</v>
      </c>
      <c r="J263" s="5" t="s">
        <v>26</v>
      </c>
      <c r="K263" s="7" t="n">
        <v>0.6</v>
      </c>
      <c r="L263" s="6"/>
      <c r="M263" s="4" t="s">
        <v>27</v>
      </c>
      <c r="N263" s="5" t="s">
        <v>627</v>
      </c>
    </row>
    <row r="264" customFormat="false" ht="247.75" hidden="false" customHeight="false" outlineLevel="0" collapsed="false">
      <c r="A264" s="4" t="s">
        <v>18</v>
      </c>
      <c r="B264" s="5" t="s">
        <v>625</v>
      </c>
      <c r="C264" s="6" t="s">
        <v>626</v>
      </c>
      <c r="D264" s="6"/>
      <c r="E264" s="4" t="s">
        <v>21</v>
      </c>
      <c r="F264" s="4" t="s">
        <v>239</v>
      </c>
      <c r="G264" s="6" t="s">
        <v>240</v>
      </c>
      <c r="H264" s="6" t="s">
        <v>24</v>
      </c>
      <c r="I264" s="5" t="s">
        <v>25</v>
      </c>
      <c r="J264" s="5" t="s">
        <v>26</v>
      </c>
      <c r="K264" s="7" t="n">
        <v>0.6</v>
      </c>
      <c r="L264" s="6"/>
      <c r="M264" s="4" t="s">
        <v>27</v>
      </c>
      <c r="N264" s="5" t="s">
        <v>627</v>
      </c>
    </row>
    <row r="265" customFormat="false" ht="23.85" hidden="false" customHeight="false" outlineLevel="0" collapsed="false">
      <c r="A265" s="4" t="s">
        <v>18</v>
      </c>
      <c r="B265" s="5" t="s">
        <v>628</v>
      </c>
      <c r="C265" s="6" t="s">
        <v>41</v>
      </c>
      <c r="D265" s="6"/>
      <c r="E265" s="4" t="s">
        <v>629</v>
      </c>
      <c r="F265" s="4" t="s">
        <v>256</v>
      </c>
      <c r="G265" s="6" t="s">
        <v>630</v>
      </c>
      <c r="H265" s="6" t="s">
        <v>24</v>
      </c>
      <c r="I265" s="5" t="s">
        <v>25</v>
      </c>
      <c r="J265" s="5" t="s">
        <v>26</v>
      </c>
      <c r="K265" s="7" t="n">
        <v>0.6</v>
      </c>
      <c r="L265" s="6"/>
      <c r="M265" s="4" t="s">
        <v>27</v>
      </c>
      <c r="N265" s="5" t="s">
        <v>631</v>
      </c>
    </row>
    <row r="266" customFormat="false" ht="23.85" hidden="false" customHeight="false" outlineLevel="0" collapsed="false">
      <c r="A266" s="4" t="s">
        <v>18</v>
      </c>
      <c r="B266" s="5" t="s">
        <v>632</v>
      </c>
      <c r="C266" s="6" t="s">
        <v>41</v>
      </c>
      <c r="D266" s="6"/>
      <c r="E266" s="4" t="s">
        <v>629</v>
      </c>
      <c r="F266" s="4" t="s">
        <v>256</v>
      </c>
      <c r="G266" s="6" t="s">
        <v>630</v>
      </c>
      <c r="H266" s="6" t="s">
        <v>24</v>
      </c>
      <c r="I266" s="5" t="s">
        <v>25</v>
      </c>
      <c r="J266" s="5" t="s">
        <v>26</v>
      </c>
      <c r="K266" s="7" t="n">
        <v>0.6</v>
      </c>
      <c r="L266" s="6"/>
      <c r="M266" s="4" t="s">
        <v>27</v>
      </c>
      <c r="N266" s="5" t="s">
        <v>633</v>
      </c>
    </row>
    <row r="267" customFormat="false" ht="57.45" hidden="false" customHeight="false" outlineLevel="0" collapsed="false">
      <c r="A267" s="4" t="s">
        <v>18</v>
      </c>
      <c r="B267" s="5" t="s">
        <v>634</v>
      </c>
      <c r="C267" s="6" t="s">
        <v>635</v>
      </c>
      <c r="D267" s="6"/>
      <c r="E267" s="4" t="s">
        <v>21</v>
      </c>
      <c r="F267" s="4" t="s">
        <v>107</v>
      </c>
      <c r="G267" s="6" t="s">
        <v>620</v>
      </c>
      <c r="H267" s="6" t="s">
        <v>24</v>
      </c>
      <c r="I267" s="5" t="s">
        <v>25</v>
      </c>
      <c r="J267" s="5" t="s">
        <v>26</v>
      </c>
      <c r="K267" s="7" t="n">
        <v>0.6</v>
      </c>
      <c r="L267" s="6"/>
      <c r="M267" s="4" t="s">
        <v>27</v>
      </c>
      <c r="N267" s="5" t="s">
        <v>636</v>
      </c>
    </row>
    <row r="268" customFormat="false" ht="247.75" hidden="false" customHeight="false" outlineLevel="0" collapsed="false">
      <c r="A268" s="4" t="s">
        <v>18</v>
      </c>
      <c r="B268" s="5" t="s">
        <v>634</v>
      </c>
      <c r="C268" s="6" t="s">
        <v>635</v>
      </c>
      <c r="D268" s="6"/>
      <c r="E268" s="4" t="s">
        <v>21</v>
      </c>
      <c r="F268" s="4" t="s">
        <v>239</v>
      </c>
      <c r="G268" s="6" t="s">
        <v>240</v>
      </c>
      <c r="H268" s="6" t="s">
        <v>24</v>
      </c>
      <c r="I268" s="5" t="s">
        <v>25</v>
      </c>
      <c r="J268" s="5" t="s">
        <v>26</v>
      </c>
      <c r="K268" s="7" t="n">
        <v>0.6</v>
      </c>
      <c r="L268" s="6"/>
      <c r="M268" s="4" t="s">
        <v>27</v>
      </c>
      <c r="N268" s="5" t="s">
        <v>636</v>
      </c>
    </row>
    <row r="269" customFormat="false" ht="57.45" hidden="false" customHeight="false" outlineLevel="0" collapsed="false">
      <c r="A269" s="4" t="s">
        <v>18</v>
      </c>
      <c r="B269" s="5" t="s">
        <v>637</v>
      </c>
      <c r="C269" s="6" t="s">
        <v>638</v>
      </c>
      <c r="D269" s="6"/>
      <c r="E269" s="4" t="s">
        <v>21</v>
      </c>
      <c r="F269" s="4" t="s">
        <v>107</v>
      </c>
      <c r="G269" s="6" t="s">
        <v>620</v>
      </c>
      <c r="H269" s="6" t="s">
        <v>24</v>
      </c>
      <c r="I269" s="5" t="s">
        <v>25</v>
      </c>
      <c r="J269" s="5" t="s">
        <v>26</v>
      </c>
      <c r="K269" s="7" t="n">
        <v>0.6</v>
      </c>
      <c r="L269" s="6"/>
      <c r="M269" s="4" t="s">
        <v>27</v>
      </c>
      <c r="N269" s="5" t="s">
        <v>639</v>
      </c>
    </row>
    <row r="270" customFormat="false" ht="247.75" hidden="false" customHeight="false" outlineLevel="0" collapsed="false">
      <c r="A270" s="4" t="s">
        <v>18</v>
      </c>
      <c r="B270" s="5" t="s">
        <v>640</v>
      </c>
      <c r="C270" s="6" t="s">
        <v>41</v>
      </c>
      <c r="D270" s="6"/>
      <c r="E270" s="4" t="s">
        <v>21</v>
      </c>
      <c r="F270" s="4" t="s">
        <v>239</v>
      </c>
      <c r="G270" s="6" t="s">
        <v>240</v>
      </c>
      <c r="H270" s="6" t="s">
        <v>24</v>
      </c>
      <c r="I270" s="5" t="s">
        <v>25</v>
      </c>
      <c r="J270" s="5" t="s">
        <v>26</v>
      </c>
      <c r="K270" s="7" t="n">
        <v>0.6</v>
      </c>
      <c r="L270" s="6"/>
      <c r="M270" s="4" t="s">
        <v>27</v>
      </c>
      <c r="N270" s="5" t="s">
        <v>641</v>
      </c>
    </row>
    <row r="271" customFormat="false" ht="57.45" hidden="false" customHeight="false" outlineLevel="0" collapsed="false">
      <c r="A271" s="4" t="s">
        <v>18</v>
      </c>
      <c r="B271" s="5" t="s">
        <v>642</v>
      </c>
      <c r="C271" s="6" t="s">
        <v>643</v>
      </c>
      <c r="D271" s="6"/>
      <c r="E271" s="4" t="s">
        <v>21</v>
      </c>
      <c r="F271" s="4" t="s">
        <v>107</v>
      </c>
      <c r="G271" s="6" t="s">
        <v>620</v>
      </c>
      <c r="H271" s="6" t="s">
        <v>24</v>
      </c>
      <c r="I271" s="5" t="s">
        <v>25</v>
      </c>
      <c r="J271" s="5" t="s">
        <v>26</v>
      </c>
      <c r="K271" s="7" t="n">
        <v>0.6</v>
      </c>
      <c r="L271" s="6"/>
      <c r="M271" s="4" t="s">
        <v>27</v>
      </c>
      <c r="N271" s="5" t="s">
        <v>644</v>
      </c>
    </row>
    <row r="272" customFormat="false" ht="247.75" hidden="false" customHeight="false" outlineLevel="0" collapsed="false">
      <c r="A272" s="4" t="s">
        <v>18</v>
      </c>
      <c r="B272" s="5" t="s">
        <v>642</v>
      </c>
      <c r="C272" s="6" t="s">
        <v>643</v>
      </c>
      <c r="D272" s="6"/>
      <c r="E272" s="4" t="s">
        <v>21</v>
      </c>
      <c r="F272" s="4" t="s">
        <v>239</v>
      </c>
      <c r="G272" s="6" t="s">
        <v>240</v>
      </c>
      <c r="H272" s="6" t="s">
        <v>24</v>
      </c>
      <c r="I272" s="5" t="s">
        <v>25</v>
      </c>
      <c r="J272" s="5" t="s">
        <v>26</v>
      </c>
      <c r="K272" s="7" t="n">
        <v>0.6</v>
      </c>
      <c r="L272" s="6"/>
      <c r="M272" s="4" t="s">
        <v>27</v>
      </c>
      <c r="N272" s="5" t="s">
        <v>644</v>
      </c>
    </row>
    <row r="273" customFormat="false" ht="57.45" hidden="false" customHeight="false" outlineLevel="0" collapsed="false">
      <c r="A273" s="4" t="s">
        <v>18</v>
      </c>
      <c r="B273" s="5" t="s">
        <v>645</v>
      </c>
      <c r="C273" s="6" t="s">
        <v>41</v>
      </c>
      <c r="D273" s="6"/>
      <c r="E273" s="4" t="s">
        <v>21</v>
      </c>
      <c r="F273" s="4" t="s">
        <v>107</v>
      </c>
      <c r="G273" s="6" t="s">
        <v>620</v>
      </c>
      <c r="H273" s="6" t="s">
        <v>24</v>
      </c>
      <c r="I273" s="5" t="s">
        <v>25</v>
      </c>
      <c r="J273" s="5" t="s">
        <v>26</v>
      </c>
      <c r="K273" s="7" t="n">
        <v>0.6</v>
      </c>
      <c r="L273" s="6"/>
      <c r="M273" s="4" t="s">
        <v>27</v>
      </c>
      <c r="N273" s="5" t="s">
        <v>646</v>
      </c>
    </row>
    <row r="274" customFormat="false" ht="247.75" hidden="false" customHeight="false" outlineLevel="0" collapsed="false">
      <c r="A274" s="4" t="s">
        <v>18</v>
      </c>
      <c r="B274" s="5" t="s">
        <v>645</v>
      </c>
      <c r="C274" s="6" t="s">
        <v>41</v>
      </c>
      <c r="D274" s="6"/>
      <c r="E274" s="4" t="s">
        <v>21</v>
      </c>
      <c r="F274" s="4" t="s">
        <v>239</v>
      </c>
      <c r="G274" s="6" t="s">
        <v>240</v>
      </c>
      <c r="H274" s="6" t="s">
        <v>24</v>
      </c>
      <c r="I274" s="5" t="s">
        <v>25</v>
      </c>
      <c r="J274" s="5" t="s">
        <v>26</v>
      </c>
      <c r="K274" s="7" t="n">
        <v>0.6</v>
      </c>
      <c r="L274" s="6"/>
      <c r="M274" s="4" t="s">
        <v>27</v>
      </c>
      <c r="N274" s="5" t="s">
        <v>646</v>
      </c>
    </row>
    <row r="275" customFormat="false" ht="35.05" hidden="false" customHeight="false" outlineLevel="0" collapsed="false">
      <c r="A275" s="4" t="s">
        <v>18</v>
      </c>
      <c r="B275" s="5" t="s">
        <v>647</v>
      </c>
      <c r="C275" s="6" t="s">
        <v>648</v>
      </c>
      <c r="D275" s="6"/>
      <c r="E275" s="4" t="s">
        <v>21</v>
      </c>
      <c r="F275" s="4" t="s">
        <v>395</v>
      </c>
      <c r="G275" s="6" t="s">
        <v>649</v>
      </c>
      <c r="H275" s="6" t="s">
        <v>24</v>
      </c>
      <c r="I275" s="5" t="s">
        <v>25</v>
      </c>
      <c r="J275" s="5" t="s">
        <v>26</v>
      </c>
      <c r="K275" s="7" t="n">
        <v>0.6</v>
      </c>
      <c r="L275" s="6"/>
      <c r="M275" s="4" t="s">
        <v>27</v>
      </c>
      <c r="N275" s="5" t="s">
        <v>650</v>
      </c>
    </row>
    <row r="276" customFormat="false" ht="46.25" hidden="false" customHeight="false" outlineLevel="0" collapsed="false">
      <c r="A276" s="4" t="s">
        <v>18</v>
      </c>
      <c r="B276" s="5" t="s">
        <v>534</v>
      </c>
      <c r="C276" s="6" t="s">
        <v>651</v>
      </c>
      <c r="D276" s="6"/>
      <c r="E276" s="4" t="s">
        <v>21</v>
      </c>
      <c r="F276" s="4" t="s">
        <v>186</v>
      </c>
      <c r="G276" s="6" t="s">
        <v>652</v>
      </c>
      <c r="H276" s="6" t="s">
        <v>24</v>
      </c>
      <c r="I276" s="5" t="s">
        <v>25</v>
      </c>
      <c r="J276" s="5" t="s">
        <v>26</v>
      </c>
      <c r="K276" s="7" t="n">
        <v>0.6</v>
      </c>
      <c r="L276" s="6"/>
      <c r="M276" s="4" t="s">
        <v>27</v>
      </c>
      <c r="N276" s="5" t="s">
        <v>653</v>
      </c>
    </row>
    <row r="277" customFormat="false" ht="91" hidden="false" customHeight="false" outlineLevel="0" collapsed="false">
      <c r="A277" s="4" t="s">
        <v>18</v>
      </c>
      <c r="B277" s="5" t="s">
        <v>654</v>
      </c>
      <c r="C277" s="6" t="s">
        <v>655</v>
      </c>
      <c r="D277" s="6"/>
      <c r="E277" s="4" t="s">
        <v>21</v>
      </c>
      <c r="F277" s="4" t="s">
        <v>89</v>
      </c>
      <c r="G277" s="6" t="s">
        <v>90</v>
      </c>
      <c r="H277" s="6" t="s">
        <v>24</v>
      </c>
      <c r="I277" s="5" t="s">
        <v>25</v>
      </c>
      <c r="J277" s="5" t="s">
        <v>26</v>
      </c>
      <c r="K277" s="7" t="n">
        <v>0.6</v>
      </c>
      <c r="L277" s="6"/>
      <c r="M277" s="4" t="s">
        <v>27</v>
      </c>
      <c r="N277" s="5" t="s">
        <v>656</v>
      </c>
    </row>
    <row r="278" customFormat="false" ht="46.25" hidden="false" customHeight="false" outlineLevel="0" collapsed="false">
      <c r="A278" s="4" t="s">
        <v>18</v>
      </c>
      <c r="B278" s="5" t="s">
        <v>657</v>
      </c>
      <c r="C278" s="6" t="s">
        <v>41</v>
      </c>
      <c r="D278" s="6"/>
      <c r="E278" s="4" t="s">
        <v>47</v>
      </c>
      <c r="F278" s="4" t="s">
        <v>658</v>
      </c>
      <c r="G278" s="6" t="s">
        <v>659</v>
      </c>
      <c r="H278" s="6" t="s">
        <v>50</v>
      </c>
      <c r="I278" s="5" t="s">
        <v>51</v>
      </c>
      <c r="J278" s="5" t="s">
        <v>26</v>
      </c>
      <c r="K278" s="7" t="n">
        <v>1</v>
      </c>
      <c r="L278" s="6"/>
      <c r="M278" s="4" t="s">
        <v>52</v>
      </c>
      <c r="N278" s="5" t="s">
        <v>660</v>
      </c>
    </row>
    <row r="279" customFormat="false" ht="46.25" hidden="false" customHeight="false" outlineLevel="0" collapsed="false">
      <c r="A279" s="4" t="s">
        <v>18</v>
      </c>
      <c r="B279" s="5" t="s">
        <v>661</v>
      </c>
      <c r="C279" s="6" t="s">
        <v>41</v>
      </c>
      <c r="D279" s="6"/>
      <c r="E279" s="4" t="s">
        <v>47</v>
      </c>
      <c r="F279" s="4" t="s">
        <v>658</v>
      </c>
      <c r="G279" s="6" t="s">
        <v>659</v>
      </c>
      <c r="H279" s="6" t="s">
        <v>50</v>
      </c>
      <c r="I279" s="5" t="s">
        <v>51</v>
      </c>
      <c r="J279" s="5" t="s">
        <v>26</v>
      </c>
      <c r="K279" s="7" t="n">
        <v>1</v>
      </c>
      <c r="L279" s="6"/>
      <c r="M279" s="4" t="s">
        <v>52</v>
      </c>
      <c r="N279" s="5" t="s">
        <v>662</v>
      </c>
    </row>
    <row r="280" customFormat="false" ht="23.85" hidden="false" customHeight="false" outlineLevel="0" collapsed="false">
      <c r="A280" s="4" t="s">
        <v>18</v>
      </c>
      <c r="B280" s="5" t="s">
        <v>661</v>
      </c>
      <c r="C280" s="6" t="s">
        <v>41</v>
      </c>
      <c r="D280" s="6"/>
      <c r="E280" s="4" t="s">
        <v>476</v>
      </c>
      <c r="F280" s="4" t="s">
        <v>663</v>
      </c>
      <c r="G280" s="6" t="s">
        <v>664</v>
      </c>
      <c r="H280" s="6" t="s">
        <v>479</v>
      </c>
      <c r="I280" s="5" t="s">
        <v>480</v>
      </c>
      <c r="J280" s="5" t="s">
        <v>26</v>
      </c>
      <c r="K280" s="7" t="n">
        <v>0.6</v>
      </c>
      <c r="L280" s="6"/>
      <c r="M280" s="4" t="s">
        <v>481</v>
      </c>
      <c r="N280" s="5" t="s">
        <v>662</v>
      </c>
    </row>
    <row r="281" customFormat="false" ht="35.05" hidden="false" customHeight="false" outlineLevel="0" collapsed="false">
      <c r="A281" s="4" t="s">
        <v>18</v>
      </c>
      <c r="B281" s="5" t="s">
        <v>661</v>
      </c>
      <c r="C281" s="6" t="s">
        <v>41</v>
      </c>
      <c r="D281" s="6"/>
      <c r="E281" s="4" t="s">
        <v>476</v>
      </c>
      <c r="F281" s="4" t="s">
        <v>663</v>
      </c>
      <c r="G281" s="6" t="s">
        <v>664</v>
      </c>
      <c r="H281" s="6" t="s">
        <v>483</v>
      </c>
      <c r="I281" s="5" t="s">
        <v>484</v>
      </c>
      <c r="J281" s="5" t="s">
        <v>26</v>
      </c>
      <c r="K281" s="7" t="n">
        <v>1</v>
      </c>
      <c r="L281" s="8" t="s">
        <v>485</v>
      </c>
      <c r="M281" s="4" t="s">
        <v>486</v>
      </c>
      <c r="N281" s="5" t="s">
        <v>662</v>
      </c>
    </row>
    <row r="282" customFormat="false" ht="46.25" hidden="false" customHeight="false" outlineLevel="0" collapsed="false">
      <c r="A282" s="4" t="s">
        <v>18</v>
      </c>
      <c r="B282" s="5" t="s">
        <v>665</v>
      </c>
      <c r="C282" s="6" t="s">
        <v>41</v>
      </c>
      <c r="D282" s="6"/>
      <c r="E282" s="4" t="s">
        <v>21</v>
      </c>
      <c r="F282" s="4" t="s">
        <v>358</v>
      </c>
      <c r="G282" s="6" t="s">
        <v>666</v>
      </c>
      <c r="H282" s="6" t="s">
        <v>24</v>
      </c>
      <c r="I282" s="5" t="s">
        <v>25</v>
      </c>
      <c r="J282" s="5" t="s">
        <v>26</v>
      </c>
      <c r="K282" s="7" t="n">
        <v>0.6</v>
      </c>
      <c r="L282" s="6"/>
      <c r="M282" s="4" t="s">
        <v>27</v>
      </c>
      <c r="N282" s="5" t="s">
        <v>667</v>
      </c>
    </row>
    <row r="283" customFormat="false" ht="46.25" hidden="false" customHeight="false" outlineLevel="0" collapsed="false">
      <c r="A283" s="4" t="s">
        <v>18</v>
      </c>
      <c r="B283" s="5" t="s">
        <v>668</v>
      </c>
      <c r="C283" s="6" t="s">
        <v>41</v>
      </c>
      <c r="D283" s="6"/>
      <c r="E283" s="4" t="s">
        <v>21</v>
      </c>
      <c r="F283" s="4" t="s">
        <v>358</v>
      </c>
      <c r="G283" s="6" t="s">
        <v>666</v>
      </c>
      <c r="H283" s="6" t="s">
        <v>24</v>
      </c>
      <c r="I283" s="5" t="s">
        <v>25</v>
      </c>
      <c r="J283" s="5" t="s">
        <v>26</v>
      </c>
      <c r="K283" s="7" t="n">
        <v>0.6</v>
      </c>
      <c r="L283" s="6"/>
      <c r="M283" s="4" t="s">
        <v>27</v>
      </c>
      <c r="N283" s="5" t="s">
        <v>669</v>
      </c>
    </row>
    <row r="284" customFormat="false" ht="46.25" hidden="false" customHeight="false" outlineLevel="0" collapsed="false">
      <c r="A284" s="4" t="s">
        <v>18</v>
      </c>
      <c r="B284" s="5" t="s">
        <v>670</v>
      </c>
      <c r="C284" s="6" t="s">
        <v>41</v>
      </c>
      <c r="D284" s="6"/>
      <c r="E284" s="4" t="s">
        <v>21</v>
      </c>
      <c r="F284" s="4" t="s">
        <v>358</v>
      </c>
      <c r="G284" s="6" t="s">
        <v>666</v>
      </c>
      <c r="H284" s="6" t="s">
        <v>24</v>
      </c>
      <c r="I284" s="5" t="s">
        <v>25</v>
      </c>
      <c r="J284" s="5" t="s">
        <v>26</v>
      </c>
      <c r="K284" s="7" t="n">
        <v>0.6</v>
      </c>
      <c r="L284" s="6"/>
      <c r="M284" s="4" t="s">
        <v>27</v>
      </c>
      <c r="N284" s="5" t="s">
        <v>671</v>
      </c>
    </row>
    <row r="285" customFormat="false" ht="46.25" hidden="false" customHeight="false" outlineLevel="0" collapsed="false">
      <c r="A285" s="4" t="s">
        <v>18</v>
      </c>
      <c r="B285" s="5" t="s">
        <v>672</v>
      </c>
      <c r="C285" s="6" t="s">
        <v>41</v>
      </c>
      <c r="D285" s="6"/>
      <c r="E285" s="4" t="s">
        <v>21</v>
      </c>
      <c r="F285" s="4" t="s">
        <v>358</v>
      </c>
      <c r="G285" s="6" t="s">
        <v>666</v>
      </c>
      <c r="H285" s="6" t="s">
        <v>24</v>
      </c>
      <c r="I285" s="5" t="s">
        <v>25</v>
      </c>
      <c r="J285" s="5" t="s">
        <v>26</v>
      </c>
      <c r="K285" s="7" t="n">
        <v>0.6</v>
      </c>
      <c r="L285" s="6"/>
      <c r="M285" s="4" t="s">
        <v>27</v>
      </c>
      <c r="N285" s="5" t="s">
        <v>673</v>
      </c>
    </row>
    <row r="286" customFormat="false" ht="46.25" hidden="false" customHeight="false" outlineLevel="0" collapsed="false">
      <c r="A286" s="4" t="s">
        <v>18</v>
      </c>
      <c r="B286" s="5" t="s">
        <v>674</v>
      </c>
      <c r="C286" s="6" t="s">
        <v>41</v>
      </c>
      <c r="D286" s="6"/>
      <c r="E286" s="4" t="s">
        <v>21</v>
      </c>
      <c r="F286" s="4" t="s">
        <v>358</v>
      </c>
      <c r="G286" s="6" t="s">
        <v>666</v>
      </c>
      <c r="H286" s="6" t="s">
        <v>24</v>
      </c>
      <c r="I286" s="5" t="s">
        <v>25</v>
      </c>
      <c r="J286" s="5" t="s">
        <v>26</v>
      </c>
      <c r="K286" s="7" t="n">
        <v>0.6</v>
      </c>
      <c r="L286" s="6"/>
      <c r="M286" s="4" t="s">
        <v>27</v>
      </c>
      <c r="N286" s="5" t="s">
        <v>675</v>
      </c>
    </row>
    <row r="287" customFormat="false" ht="46.25" hidden="false" customHeight="false" outlineLevel="0" collapsed="false">
      <c r="A287" s="4" t="s">
        <v>18</v>
      </c>
      <c r="B287" s="5" t="s">
        <v>676</v>
      </c>
      <c r="C287" s="6" t="s">
        <v>41</v>
      </c>
      <c r="D287" s="6"/>
      <c r="E287" s="4" t="s">
        <v>21</v>
      </c>
      <c r="F287" s="4" t="s">
        <v>358</v>
      </c>
      <c r="G287" s="6" t="s">
        <v>666</v>
      </c>
      <c r="H287" s="6" t="s">
        <v>24</v>
      </c>
      <c r="I287" s="5" t="s">
        <v>25</v>
      </c>
      <c r="J287" s="5" t="s">
        <v>26</v>
      </c>
      <c r="K287" s="7" t="n">
        <v>0.6</v>
      </c>
      <c r="L287" s="6"/>
      <c r="M287" s="4" t="s">
        <v>27</v>
      </c>
      <c r="N287" s="5" t="s">
        <v>677</v>
      </c>
    </row>
    <row r="288" customFormat="false" ht="91" hidden="false" customHeight="false" outlineLevel="0" collapsed="false">
      <c r="A288" s="4" t="s">
        <v>18</v>
      </c>
      <c r="B288" s="5" t="s">
        <v>678</v>
      </c>
      <c r="C288" s="6" t="s">
        <v>41</v>
      </c>
      <c r="D288" s="6"/>
      <c r="E288" s="4" t="s">
        <v>21</v>
      </c>
      <c r="F288" s="4" t="s">
        <v>89</v>
      </c>
      <c r="G288" s="6" t="s">
        <v>90</v>
      </c>
      <c r="H288" s="6" t="s">
        <v>24</v>
      </c>
      <c r="I288" s="5" t="s">
        <v>25</v>
      </c>
      <c r="J288" s="5" t="s">
        <v>26</v>
      </c>
      <c r="K288" s="7" t="n">
        <v>0.6</v>
      </c>
      <c r="L288" s="6"/>
      <c r="M288" s="4" t="s">
        <v>27</v>
      </c>
      <c r="N288" s="5" t="s">
        <v>679</v>
      </c>
    </row>
    <row r="289" customFormat="false" ht="247.75" hidden="false" customHeight="false" outlineLevel="0" collapsed="false">
      <c r="A289" s="4" t="s">
        <v>18</v>
      </c>
      <c r="B289" s="5" t="s">
        <v>680</v>
      </c>
      <c r="C289" s="6" t="s">
        <v>41</v>
      </c>
      <c r="D289" s="6"/>
      <c r="E289" s="4" t="s">
        <v>21</v>
      </c>
      <c r="F289" s="4" t="s">
        <v>239</v>
      </c>
      <c r="G289" s="6" t="s">
        <v>240</v>
      </c>
      <c r="H289" s="6" t="s">
        <v>24</v>
      </c>
      <c r="I289" s="5" t="s">
        <v>25</v>
      </c>
      <c r="J289" s="5" t="s">
        <v>26</v>
      </c>
      <c r="K289" s="7" t="n">
        <v>0.6</v>
      </c>
      <c r="L289" s="6"/>
      <c r="M289" s="4" t="s">
        <v>27</v>
      </c>
      <c r="N289" s="5" t="s">
        <v>681</v>
      </c>
    </row>
    <row r="290" customFormat="false" ht="46.25" hidden="false" customHeight="false" outlineLevel="0" collapsed="false">
      <c r="A290" s="4" t="s">
        <v>18</v>
      </c>
      <c r="B290" s="5" t="s">
        <v>682</v>
      </c>
      <c r="C290" s="6" t="s">
        <v>41</v>
      </c>
      <c r="D290" s="6"/>
      <c r="E290" s="4" t="s">
        <v>21</v>
      </c>
      <c r="F290" s="4" t="s">
        <v>358</v>
      </c>
      <c r="G290" s="6" t="s">
        <v>666</v>
      </c>
      <c r="H290" s="6" t="s">
        <v>24</v>
      </c>
      <c r="I290" s="5" t="s">
        <v>25</v>
      </c>
      <c r="J290" s="5" t="s">
        <v>26</v>
      </c>
      <c r="K290" s="7" t="n">
        <v>0.6</v>
      </c>
      <c r="L290" s="6"/>
      <c r="M290" s="4" t="s">
        <v>27</v>
      </c>
      <c r="N290" s="5" t="s">
        <v>683</v>
      </c>
    </row>
    <row r="291" customFormat="false" ht="46.25" hidden="false" customHeight="false" outlineLevel="0" collapsed="false">
      <c r="A291" s="4" t="s">
        <v>18</v>
      </c>
      <c r="B291" s="5" t="s">
        <v>684</v>
      </c>
      <c r="C291" s="6" t="s">
        <v>41</v>
      </c>
      <c r="D291" s="6"/>
      <c r="E291" s="4" t="s">
        <v>21</v>
      </c>
      <c r="F291" s="4" t="s">
        <v>358</v>
      </c>
      <c r="G291" s="6" t="s">
        <v>666</v>
      </c>
      <c r="H291" s="6" t="s">
        <v>24</v>
      </c>
      <c r="I291" s="5" t="s">
        <v>25</v>
      </c>
      <c r="J291" s="5" t="s">
        <v>26</v>
      </c>
      <c r="K291" s="7" t="n">
        <v>0.6</v>
      </c>
      <c r="L291" s="6"/>
      <c r="M291" s="4" t="s">
        <v>27</v>
      </c>
      <c r="N291" s="5" t="s">
        <v>685</v>
      </c>
    </row>
    <row r="292" customFormat="false" ht="46.25" hidden="false" customHeight="false" outlineLevel="0" collapsed="false">
      <c r="A292" s="4" t="s">
        <v>18</v>
      </c>
      <c r="B292" s="5" t="s">
        <v>686</v>
      </c>
      <c r="C292" s="6" t="s">
        <v>41</v>
      </c>
      <c r="D292" s="6"/>
      <c r="E292" s="4" t="s">
        <v>21</v>
      </c>
      <c r="F292" s="4" t="s">
        <v>358</v>
      </c>
      <c r="G292" s="6" t="s">
        <v>666</v>
      </c>
      <c r="H292" s="6" t="s">
        <v>24</v>
      </c>
      <c r="I292" s="5" t="s">
        <v>25</v>
      </c>
      <c r="J292" s="5" t="s">
        <v>26</v>
      </c>
      <c r="K292" s="7" t="n">
        <v>0.6</v>
      </c>
      <c r="L292" s="6"/>
      <c r="M292" s="4" t="s">
        <v>27</v>
      </c>
      <c r="N292" s="5" t="s">
        <v>687</v>
      </c>
    </row>
    <row r="293" customFormat="false" ht="46.25" hidden="false" customHeight="false" outlineLevel="0" collapsed="false">
      <c r="A293" s="4" t="s">
        <v>18</v>
      </c>
      <c r="B293" s="5" t="s">
        <v>688</v>
      </c>
      <c r="C293" s="6" t="s">
        <v>41</v>
      </c>
      <c r="D293" s="6"/>
      <c r="E293" s="4" t="s">
        <v>21</v>
      </c>
      <c r="F293" s="4" t="s">
        <v>358</v>
      </c>
      <c r="G293" s="6" t="s">
        <v>666</v>
      </c>
      <c r="H293" s="6" t="s">
        <v>24</v>
      </c>
      <c r="I293" s="5" t="s">
        <v>25</v>
      </c>
      <c r="J293" s="5" t="s">
        <v>26</v>
      </c>
      <c r="K293" s="7" t="n">
        <v>0.6</v>
      </c>
      <c r="L293" s="6"/>
      <c r="M293" s="4" t="s">
        <v>27</v>
      </c>
      <c r="N293" s="5" t="s">
        <v>689</v>
      </c>
    </row>
    <row r="294" customFormat="false" ht="46.25" hidden="false" customHeight="false" outlineLevel="0" collapsed="false">
      <c r="A294" s="4" t="s">
        <v>18</v>
      </c>
      <c r="B294" s="5" t="s">
        <v>690</v>
      </c>
      <c r="C294" s="6" t="s">
        <v>41</v>
      </c>
      <c r="D294" s="6"/>
      <c r="E294" s="4" t="s">
        <v>21</v>
      </c>
      <c r="F294" s="4" t="s">
        <v>358</v>
      </c>
      <c r="G294" s="6" t="s">
        <v>666</v>
      </c>
      <c r="H294" s="6" t="s">
        <v>24</v>
      </c>
      <c r="I294" s="5" t="s">
        <v>25</v>
      </c>
      <c r="J294" s="5" t="s">
        <v>26</v>
      </c>
      <c r="K294" s="7" t="n">
        <v>0.6</v>
      </c>
      <c r="L294" s="6"/>
      <c r="M294" s="4" t="s">
        <v>27</v>
      </c>
      <c r="N294" s="5" t="s">
        <v>691</v>
      </c>
    </row>
    <row r="295" customFormat="false" ht="46.25" hidden="false" customHeight="false" outlineLevel="0" collapsed="false">
      <c r="A295" s="4" t="s">
        <v>18</v>
      </c>
      <c r="B295" s="5" t="s">
        <v>692</v>
      </c>
      <c r="C295" s="6" t="s">
        <v>41</v>
      </c>
      <c r="D295" s="6"/>
      <c r="E295" s="4" t="s">
        <v>21</v>
      </c>
      <c r="F295" s="4" t="s">
        <v>358</v>
      </c>
      <c r="G295" s="6" t="s">
        <v>666</v>
      </c>
      <c r="H295" s="6" t="s">
        <v>24</v>
      </c>
      <c r="I295" s="5" t="s">
        <v>25</v>
      </c>
      <c r="J295" s="5" t="s">
        <v>26</v>
      </c>
      <c r="K295" s="7" t="n">
        <v>0.6</v>
      </c>
      <c r="L295" s="6"/>
      <c r="M295" s="4" t="s">
        <v>27</v>
      </c>
      <c r="N295" s="5" t="s">
        <v>693</v>
      </c>
    </row>
    <row r="296" customFormat="false" ht="46.25" hidden="false" customHeight="false" outlineLevel="0" collapsed="false">
      <c r="A296" s="4" t="s">
        <v>18</v>
      </c>
      <c r="B296" s="5" t="s">
        <v>694</v>
      </c>
      <c r="C296" s="6" t="s">
        <v>41</v>
      </c>
      <c r="D296" s="6"/>
      <c r="E296" s="4" t="s">
        <v>21</v>
      </c>
      <c r="F296" s="4" t="s">
        <v>358</v>
      </c>
      <c r="G296" s="6" t="s">
        <v>666</v>
      </c>
      <c r="H296" s="6" t="s">
        <v>24</v>
      </c>
      <c r="I296" s="5" t="s">
        <v>25</v>
      </c>
      <c r="J296" s="5" t="s">
        <v>26</v>
      </c>
      <c r="K296" s="7" t="n">
        <v>0.6</v>
      </c>
      <c r="L296" s="6"/>
      <c r="M296" s="4" t="s">
        <v>27</v>
      </c>
      <c r="N296" s="5" t="s">
        <v>695</v>
      </c>
    </row>
    <row r="297" customFormat="false" ht="23.85" hidden="false" customHeight="false" outlineLevel="0" collapsed="false">
      <c r="A297" s="4" t="s">
        <v>18</v>
      </c>
      <c r="B297" s="5" t="s">
        <v>696</v>
      </c>
      <c r="C297" s="6" t="s">
        <v>41</v>
      </c>
      <c r="D297" s="6"/>
      <c r="E297" s="4" t="s">
        <v>476</v>
      </c>
      <c r="F297" s="4" t="s">
        <v>243</v>
      </c>
      <c r="G297" s="6" t="s">
        <v>697</v>
      </c>
      <c r="H297" s="6" t="s">
        <v>479</v>
      </c>
      <c r="I297" s="5" t="s">
        <v>480</v>
      </c>
      <c r="J297" s="5" t="s">
        <v>26</v>
      </c>
      <c r="K297" s="7" t="n">
        <v>0.6</v>
      </c>
      <c r="L297" s="6"/>
      <c r="M297" s="4" t="s">
        <v>481</v>
      </c>
      <c r="N297" s="5" t="s">
        <v>698</v>
      </c>
    </row>
    <row r="298" customFormat="false" ht="35.05" hidden="false" customHeight="false" outlineLevel="0" collapsed="false">
      <c r="A298" s="4" t="s">
        <v>18</v>
      </c>
      <c r="B298" s="5" t="s">
        <v>696</v>
      </c>
      <c r="C298" s="6" t="s">
        <v>41</v>
      </c>
      <c r="D298" s="6"/>
      <c r="E298" s="4" t="s">
        <v>476</v>
      </c>
      <c r="F298" s="4" t="s">
        <v>243</v>
      </c>
      <c r="G298" s="6" t="s">
        <v>697</v>
      </c>
      <c r="H298" s="6" t="s">
        <v>483</v>
      </c>
      <c r="I298" s="5" t="s">
        <v>484</v>
      </c>
      <c r="J298" s="5" t="s">
        <v>26</v>
      </c>
      <c r="K298" s="7" t="n">
        <v>1</v>
      </c>
      <c r="L298" s="8" t="s">
        <v>485</v>
      </c>
      <c r="M298" s="4" t="s">
        <v>486</v>
      </c>
      <c r="N298" s="5" t="s">
        <v>698</v>
      </c>
    </row>
    <row r="299" customFormat="false" ht="46.25" hidden="false" customHeight="false" outlineLevel="0" collapsed="false">
      <c r="A299" s="4" t="s">
        <v>18</v>
      </c>
      <c r="B299" s="5" t="s">
        <v>699</v>
      </c>
      <c r="C299" s="6" t="s">
        <v>41</v>
      </c>
      <c r="D299" s="6"/>
      <c r="E299" s="4" t="s">
        <v>21</v>
      </c>
      <c r="F299" s="4" t="s">
        <v>358</v>
      </c>
      <c r="G299" s="6" t="s">
        <v>666</v>
      </c>
      <c r="H299" s="6" t="s">
        <v>24</v>
      </c>
      <c r="I299" s="5" t="s">
        <v>25</v>
      </c>
      <c r="J299" s="5" t="s">
        <v>26</v>
      </c>
      <c r="K299" s="7" t="n">
        <v>0.6</v>
      </c>
      <c r="L299" s="6"/>
      <c r="M299" s="4" t="s">
        <v>27</v>
      </c>
      <c r="N299" s="5" t="s">
        <v>700</v>
      </c>
    </row>
    <row r="300" customFormat="false" ht="46.25" hidden="false" customHeight="false" outlineLevel="0" collapsed="false">
      <c r="A300" s="4" t="s">
        <v>18</v>
      </c>
      <c r="B300" s="5" t="s">
        <v>701</v>
      </c>
      <c r="C300" s="6" t="s">
        <v>41</v>
      </c>
      <c r="D300" s="6"/>
      <c r="E300" s="4" t="s">
        <v>21</v>
      </c>
      <c r="F300" s="4" t="s">
        <v>358</v>
      </c>
      <c r="G300" s="6" t="s">
        <v>666</v>
      </c>
      <c r="H300" s="6" t="s">
        <v>24</v>
      </c>
      <c r="I300" s="5" t="s">
        <v>25</v>
      </c>
      <c r="J300" s="5" t="s">
        <v>26</v>
      </c>
      <c r="K300" s="7" t="n">
        <v>0.6</v>
      </c>
      <c r="L300" s="6"/>
      <c r="M300" s="4" t="s">
        <v>27</v>
      </c>
      <c r="N300" s="5" t="s">
        <v>702</v>
      </c>
    </row>
    <row r="301" customFormat="false" ht="23.85" hidden="false" customHeight="false" outlineLevel="0" collapsed="false">
      <c r="A301" s="4" t="s">
        <v>18</v>
      </c>
      <c r="B301" s="5" t="s">
        <v>703</v>
      </c>
      <c r="C301" s="6" t="s">
        <v>41</v>
      </c>
      <c r="D301" s="6"/>
      <c r="E301" s="4" t="s">
        <v>476</v>
      </c>
      <c r="F301" s="4" t="s">
        <v>593</v>
      </c>
      <c r="G301" s="6" t="s">
        <v>704</v>
      </c>
      <c r="H301" s="6" t="s">
        <v>479</v>
      </c>
      <c r="I301" s="5" t="s">
        <v>480</v>
      </c>
      <c r="J301" s="5" t="s">
        <v>26</v>
      </c>
      <c r="K301" s="7" t="n">
        <v>0.6</v>
      </c>
      <c r="L301" s="6"/>
      <c r="M301" s="4" t="s">
        <v>481</v>
      </c>
      <c r="N301" s="5" t="s">
        <v>705</v>
      </c>
    </row>
    <row r="302" customFormat="false" ht="35.05" hidden="false" customHeight="false" outlineLevel="0" collapsed="false">
      <c r="A302" s="4" t="s">
        <v>18</v>
      </c>
      <c r="B302" s="5" t="s">
        <v>703</v>
      </c>
      <c r="C302" s="6" t="s">
        <v>41</v>
      </c>
      <c r="D302" s="6"/>
      <c r="E302" s="4" t="s">
        <v>476</v>
      </c>
      <c r="F302" s="4" t="s">
        <v>593</v>
      </c>
      <c r="G302" s="6" t="s">
        <v>704</v>
      </c>
      <c r="H302" s="6" t="s">
        <v>483</v>
      </c>
      <c r="I302" s="5" t="s">
        <v>484</v>
      </c>
      <c r="J302" s="5" t="s">
        <v>26</v>
      </c>
      <c r="K302" s="7" t="n">
        <v>1</v>
      </c>
      <c r="L302" s="8" t="s">
        <v>485</v>
      </c>
      <c r="M302" s="4" t="s">
        <v>486</v>
      </c>
      <c r="N302" s="5" t="s">
        <v>705</v>
      </c>
    </row>
    <row r="303" customFormat="false" ht="23.85" hidden="false" customHeight="false" outlineLevel="0" collapsed="false">
      <c r="A303" s="4" t="s">
        <v>18</v>
      </c>
      <c r="B303" s="5" t="s">
        <v>706</v>
      </c>
      <c r="C303" s="6" t="s">
        <v>41</v>
      </c>
      <c r="D303" s="6"/>
      <c r="E303" s="4" t="s">
        <v>476</v>
      </c>
      <c r="F303" s="4" t="s">
        <v>593</v>
      </c>
      <c r="G303" s="6" t="s">
        <v>704</v>
      </c>
      <c r="H303" s="6" t="s">
        <v>479</v>
      </c>
      <c r="I303" s="5" t="s">
        <v>480</v>
      </c>
      <c r="J303" s="5" t="s">
        <v>26</v>
      </c>
      <c r="K303" s="7" t="n">
        <v>0.6</v>
      </c>
      <c r="L303" s="6"/>
      <c r="M303" s="4" t="s">
        <v>481</v>
      </c>
      <c r="N303" s="5" t="s">
        <v>707</v>
      </c>
    </row>
    <row r="304" customFormat="false" ht="35.05" hidden="false" customHeight="false" outlineLevel="0" collapsed="false">
      <c r="A304" s="4" t="s">
        <v>18</v>
      </c>
      <c r="B304" s="5" t="s">
        <v>706</v>
      </c>
      <c r="C304" s="6" t="s">
        <v>41</v>
      </c>
      <c r="D304" s="6"/>
      <c r="E304" s="4" t="s">
        <v>476</v>
      </c>
      <c r="F304" s="4" t="s">
        <v>593</v>
      </c>
      <c r="G304" s="6" t="s">
        <v>704</v>
      </c>
      <c r="H304" s="6" t="s">
        <v>483</v>
      </c>
      <c r="I304" s="5" t="s">
        <v>484</v>
      </c>
      <c r="J304" s="5" t="s">
        <v>26</v>
      </c>
      <c r="K304" s="7" t="n">
        <v>1</v>
      </c>
      <c r="L304" s="8" t="s">
        <v>485</v>
      </c>
      <c r="M304" s="4" t="s">
        <v>486</v>
      </c>
      <c r="N304" s="5" t="s">
        <v>707</v>
      </c>
    </row>
    <row r="305" customFormat="false" ht="23.85" hidden="false" customHeight="false" outlineLevel="0" collapsed="false">
      <c r="A305" s="4" t="s">
        <v>18</v>
      </c>
      <c r="B305" s="5" t="s">
        <v>708</v>
      </c>
      <c r="C305" s="6" t="s">
        <v>41</v>
      </c>
      <c r="D305" s="6"/>
      <c r="E305" s="4" t="s">
        <v>476</v>
      </c>
      <c r="F305" s="4" t="s">
        <v>709</v>
      </c>
      <c r="G305" s="6" t="s">
        <v>710</v>
      </c>
      <c r="H305" s="6" t="s">
        <v>479</v>
      </c>
      <c r="I305" s="5" t="s">
        <v>480</v>
      </c>
      <c r="J305" s="5" t="s">
        <v>26</v>
      </c>
      <c r="K305" s="7" t="n">
        <v>0.6</v>
      </c>
      <c r="L305" s="6"/>
      <c r="M305" s="4" t="s">
        <v>481</v>
      </c>
      <c r="N305" s="5" t="s">
        <v>711</v>
      </c>
    </row>
    <row r="306" customFormat="false" ht="35.05" hidden="false" customHeight="false" outlineLevel="0" collapsed="false">
      <c r="A306" s="4" t="s">
        <v>18</v>
      </c>
      <c r="B306" s="5" t="s">
        <v>708</v>
      </c>
      <c r="C306" s="6" t="s">
        <v>41</v>
      </c>
      <c r="D306" s="6"/>
      <c r="E306" s="4" t="s">
        <v>476</v>
      </c>
      <c r="F306" s="4" t="s">
        <v>709</v>
      </c>
      <c r="G306" s="6" t="s">
        <v>710</v>
      </c>
      <c r="H306" s="6" t="s">
        <v>483</v>
      </c>
      <c r="I306" s="5" t="s">
        <v>484</v>
      </c>
      <c r="J306" s="5" t="s">
        <v>26</v>
      </c>
      <c r="K306" s="7" t="n">
        <v>1</v>
      </c>
      <c r="L306" s="8" t="s">
        <v>485</v>
      </c>
      <c r="M306" s="4" t="s">
        <v>486</v>
      </c>
      <c r="N306" s="5" t="s">
        <v>711</v>
      </c>
    </row>
    <row r="307" customFormat="false" ht="23.85" hidden="false" customHeight="false" outlineLevel="0" collapsed="false">
      <c r="A307" s="4" t="s">
        <v>18</v>
      </c>
      <c r="B307" s="5" t="s">
        <v>712</v>
      </c>
      <c r="C307" s="6" t="s">
        <v>41</v>
      </c>
      <c r="D307" s="6"/>
      <c r="E307" s="4" t="s">
        <v>476</v>
      </c>
      <c r="F307" s="4" t="s">
        <v>709</v>
      </c>
      <c r="G307" s="6" t="s">
        <v>710</v>
      </c>
      <c r="H307" s="6" t="s">
        <v>479</v>
      </c>
      <c r="I307" s="5" t="s">
        <v>480</v>
      </c>
      <c r="J307" s="5" t="s">
        <v>26</v>
      </c>
      <c r="K307" s="7" t="n">
        <v>0.6</v>
      </c>
      <c r="L307" s="6"/>
      <c r="M307" s="4" t="s">
        <v>481</v>
      </c>
      <c r="N307" s="5" t="s">
        <v>713</v>
      </c>
    </row>
    <row r="308" customFormat="false" ht="35.05" hidden="false" customHeight="false" outlineLevel="0" collapsed="false">
      <c r="A308" s="4" t="s">
        <v>18</v>
      </c>
      <c r="B308" s="5" t="s">
        <v>712</v>
      </c>
      <c r="C308" s="6" t="s">
        <v>41</v>
      </c>
      <c r="D308" s="6"/>
      <c r="E308" s="4" t="s">
        <v>476</v>
      </c>
      <c r="F308" s="4" t="s">
        <v>709</v>
      </c>
      <c r="G308" s="6" t="s">
        <v>710</v>
      </c>
      <c r="H308" s="6" t="s">
        <v>483</v>
      </c>
      <c r="I308" s="5" t="s">
        <v>484</v>
      </c>
      <c r="J308" s="5" t="s">
        <v>26</v>
      </c>
      <c r="K308" s="7" t="n">
        <v>1</v>
      </c>
      <c r="L308" s="8" t="s">
        <v>485</v>
      </c>
      <c r="M308" s="4" t="s">
        <v>486</v>
      </c>
      <c r="N308" s="5" t="s">
        <v>713</v>
      </c>
    </row>
    <row r="309" customFormat="false" ht="23.85" hidden="false" customHeight="false" outlineLevel="0" collapsed="false">
      <c r="A309" s="4" t="s">
        <v>18</v>
      </c>
      <c r="B309" s="5" t="s">
        <v>714</v>
      </c>
      <c r="C309" s="6" t="s">
        <v>41</v>
      </c>
      <c r="D309" s="6"/>
      <c r="E309" s="4" t="s">
        <v>476</v>
      </c>
      <c r="F309" s="4" t="s">
        <v>534</v>
      </c>
      <c r="G309" s="6" t="s">
        <v>715</v>
      </c>
      <c r="H309" s="6" t="s">
        <v>479</v>
      </c>
      <c r="I309" s="5" t="s">
        <v>480</v>
      </c>
      <c r="J309" s="5" t="s">
        <v>26</v>
      </c>
      <c r="K309" s="7" t="n">
        <v>0.6</v>
      </c>
      <c r="L309" s="6"/>
      <c r="M309" s="4" t="s">
        <v>481</v>
      </c>
      <c r="N309" s="5" t="s">
        <v>716</v>
      </c>
    </row>
    <row r="310" customFormat="false" ht="35.05" hidden="false" customHeight="false" outlineLevel="0" collapsed="false">
      <c r="A310" s="4" t="s">
        <v>18</v>
      </c>
      <c r="B310" s="5" t="s">
        <v>714</v>
      </c>
      <c r="C310" s="6" t="s">
        <v>41</v>
      </c>
      <c r="D310" s="6"/>
      <c r="E310" s="4" t="s">
        <v>476</v>
      </c>
      <c r="F310" s="4" t="s">
        <v>534</v>
      </c>
      <c r="G310" s="6" t="s">
        <v>715</v>
      </c>
      <c r="H310" s="6" t="s">
        <v>483</v>
      </c>
      <c r="I310" s="5" t="s">
        <v>484</v>
      </c>
      <c r="J310" s="5" t="s">
        <v>26</v>
      </c>
      <c r="K310" s="7" t="n">
        <v>1</v>
      </c>
      <c r="L310" s="8" t="s">
        <v>485</v>
      </c>
      <c r="M310" s="4" t="s">
        <v>486</v>
      </c>
      <c r="N310" s="5" t="s">
        <v>716</v>
      </c>
    </row>
    <row r="311" customFormat="false" ht="23.85" hidden="false" customHeight="false" outlineLevel="0" collapsed="false">
      <c r="A311" s="4" t="s">
        <v>18</v>
      </c>
      <c r="B311" s="5" t="s">
        <v>717</v>
      </c>
      <c r="C311" s="6" t="s">
        <v>41</v>
      </c>
      <c r="D311" s="6"/>
      <c r="E311" s="4" t="s">
        <v>476</v>
      </c>
      <c r="F311" s="4" t="s">
        <v>718</v>
      </c>
      <c r="G311" s="6" t="s">
        <v>719</v>
      </c>
      <c r="H311" s="6" t="s">
        <v>479</v>
      </c>
      <c r="I311" s="5" t="s">
        <v>480</v>
      </c>
      <c r="J311" s="5" t="s">
        <v>26</v>
      </c>
      <c r="K311" s="7" t="n">
        <v>0.6</v>
      </c>
      <c r="L311" s="6"/>
      <c r="M311" s="4" t="s">
        <v>481</v>
      </c>
      <c r="N311" s="5" t="s">
        <v>720</v>
      </c>
    </row>
    <row r="312" customFormat="false" ht="35.05" hidden="false" customHeight="false" outlineLevel="0" collapsed="false">
      <c r="A312" s="4" t="s">
        <v>18</v>
      </c>
      <c r="B312" s="5" t="s">
        <v>717</v>
      </c>
      <c r="C312" s="6" t="s">
        <v>41</v>
      </c>
      <c r="D312" s="6"/>
      <c r="E312" s="4" t="s">
        <v>476</v>
      </c>
      <c r="F312" s="4" t="s">
        <v>718</v>
      </c>
      <c r="G312" s="6" t="s">
        <v>719</v>
      </c>
      <c r="H312" s="6" t="s">
        <v>483</v>
      </c>
      <c r="I312" s="5" t="s">
        <v>484</v>
      </c>
      <c r="J312" s="5" t="s">
        <v>26</v>
      </c>
      <c r="K312" s="7" t="n">
        <v>1</v>
      </c>
      <c r="L312" s="8" t="s">
        <v>485</v>
      </c>
      <c r="M312" s="4" t="s">
        <v>486</v>
      </c>
      <c r="N312" s="5" t="s">
        <v>720</v>
      </c>
    </row>
    <row r="313" customFormat="false" ht="23.85" hidden="false" customHeight="false" outlineLevel="0" collapsed="false">
      <c r="A313" s="4" t="s">
        <v>18</v>
      </c>
      <c r="B313" s="5" t="s">
        <v>721</v>
      </c>
      <c r="C313" s="6" t="s">
        <v>41</v>
      </c>
      <c r="D313" s="6"/>
      <c r="E313" s="4" t="s">
        <v>476</v>
      </c>
      <c r="F313" s="4" t="s">
        <v>722</v>
      </c>
      <c r="G313" s="6" t="s">
        <v>723</v>
      </c>
      <c r="H313" s="6" t="s">
        <v>479</v>
      </c>
      <c r="I313" s="5" t="s">
        <v>480</v>
      </c>
      <c r="J313" s="5" t="s">
        <v>26</v>
      </c>
      <c r="K313" s="7" t="n">
        <v>0.6</v>
      </c>
      <c r="L313" s="6"/>
      <c r="M313" s="4" t="s">
        <v>481</v>
      </c>
      <c r="N313" s="5" t="s">
        <v>724</v>
      </c>
    </row>
    <row r="314" customFormat="false" ht="35.05" hidden="false" customHeight="false" outlineLevel="0" collapsed="false">
      <c r="A314" s="4" t="s">
        <v>18</v>
      </c>
      <c r="B314" s="5" t="s">
        <v>721</v>
      </c>
      <c r="C314" s="6" t="s">
        <v>41</v>
      </c>
      <c r="D314" s="6"/>
      <c r="E314" s="4" t="s">
        <v>476</v>
      </c>
      <c r="F314" s="4" t="s">
        <v>722</v>
      </c>
      <c r="G314" s="6" t="s">
        <v>723</v>
      </c>
      <c r="H314" s="6" t="s">
        <v>483</v>
      </c>
      <c r="I314" s="5" t="s">
        <v>484</v>
      </c>
      <c r="J314" s="5" t="s">
        <v>26</v>
      </c>
      <c r="K314" s="7" t="n">
        <v>1</v>
      </c>
      <c r="L314" s="8" t="s">
        <v>485</v>
      </c>
      <c r="M314" s="4" t="s">
        <v>486</v>
      </c>
      <c r="N314" s="5" t="s">
        <v>724</v>
      </c>
    </row>
    <row r="315" customFormat="false" ht="23.85" hidden="false" customHeight="false" outlineLevel="0" collapsed="false">
      <c r="A315" s="4" t="s">
        <v>18</v>
      </c>
      <c r="B315" s="5" t="s">
        <v>725</v>
      </c>
      <c r="C315" s="6" t="s">
        <v>41</v>
      </c>
      <c r="D315" s="6"/>
      <c r="E315" s="4" t="s">
        <v>476</v>
      </c>
      <c r="F315" s="4" t="s">
        <v>726</v>
      </c>
      <c r="G315" s="6" t="s">
        <v>727</v>
      </c>
      <c r="H315" s="6" t="s">
        <v>479</v>
      </c>
      <c r="I315" s="5" t="s">
        <v>480</v>
      </c>
      <c r="J315" s="5" t="s">
        <v>26</v>
      </c>
      <c r="K315" s="7" t="n">
        <v>0.6</v>
      </c>
      <c r="L315" s="6"/>
      <c r="M315" s="4" t="s">
        <v>481</v>
      </c>
      <c r="N315" s="5" t="s">
        <v>728</v>
      </c>
    </row>
    <row r="316" customFormat="false" ht="35.05" hidden="false" customHeight="false" outlineLevel="0" collapsed="false">
      <c r="A316" s="4" t="s">
        <v>18</v>
      </c>
      <c r="B316" s="5" t="s">
        <v>725</v>
      </c>
      <c r="C316" s="6" t="s">
        <v>41</v>
      </c>
      <c r="D316" s="6"/>
      <c r="E316" s="4" t="s">
        <v>476</v>
      </c>
      <c r="F316" s="4" t="s">
        <v>726</v>
      </c>
      <c r="G316" s="6" t="s">
        <v>727</v>
      </c>
      <c r="H316" s="6" t="s">
        <v>483</v>
      </c>
      <c r="I316" s="5" t="s">
        <v>484</v>
      </c>
      <c r="J316" s="5" t="s">
        <v>26</v>
      </c>
      <c r="K316" s="7" t="n">
        <v>1</v>
      </c>
      <c r="L316" s="8" t="s">
        <v>485</v>
      </c>
      <c r="M316" s="4" t="s">
        <v>486</v>
      </c>
      <c r="N316" s="5" t="s">
        <v>728</v>
      </c>
    </row>
    <row r="317" customFormat="false" ht="23.85" hidden="false" customHeight="false" outlineLevel="0" collapsed="false">
      <c r="A317" s="4" t="s">
        <v>18</v>
      </c>
      <c r="B317" s="5" t="s">
        <v>729</v>
      </c>
      <c r="C317" s="6" t="s">
        <v>41</v>
      </c>
      <c r="D317" s="6"/>
      <c r="E317" s="4" t="s">
        <v>476</v>
      </c>
      <c r="F317" s="4" t="s">
        <v>730</v>
      </c>
      <c r="G317" s="6" t="s">
        <v>731</v>
      </c>
      <c r="H317" s="6" t="s">
        <v>479</v>
      </c>
      <c r="I317" s="5" t="s">
        <v>480</v>
      </c>
      <c r="J317" s="5" t="s">
        <v>26</v>
      </c>
      <c r="K317" s="7" t="n">
        <v>0.6</v>
      </c>
      <c r="L317" s="6"/>
      <c r="M317" s="4" t="s">
        <v>481</v>
      </c>
      <c r="N317" s="5" t="s">
        <v>732</v>
      </c>
    </row>
    <row r="318" customFormat="false" ht="35.05" hidden="false" customHeight="false" outlineLevel="0" collapsed="false">
      <c r="A318" s="4" t="s">
        <v>18</v>
      </c>
      <c r="B318" s="5" t="s">
        <v>729</v>
      </c>
      <c r="C318" s="6" t="s">
        <v>41</v>
      </c>
      <c r="D318" s="6"/>
      <c r="E318" s="4" t="s">
        <v>476</v>
      </c>
      <c r="F318" s="4" t="s">
        <v>730</v>
      </c>
      <c r="G318" s="6" t="s">
        <v>731</v>
      </c>
      <c r="H318" s="6" t="s">
        <v>483</v>
      </c>
      <c r="I318" s="5" t="s">
        <v>484</v>
      </c>
      <c r="J318" s="5" t="s">
        <v>26</v>
      </c>
      <c r="K318" s="7" t="n">
        <v>1</v>
      </c>
      <c r="L318" s="8" t="s">
        <v>485</v>
      </c>
      <c r="M318" s="4" t="s">
        <v>486</v>
      </c>
      <c r="N318" s="5" t="s">
        <v>732</v>
      </c>
    </row>
    <row r="319" customFormat="false" ht="23.85" hidden="false" customHeight="false" outlineLevel="0" collapsed="false">
      <c r="A319" s="4" t="s">
        <v>18</v>
      </c>
      <c r="B319" s="5" t="s">
        <v>733</v>
      </c>
      <c r="C319" s="6" t="s">
        <v>41</v>
      </c>
      <c r="D319" s="6"/>
      <c r="E319" s="4" t="s">
        <v>476</v>
      </c>
      <c r="F319" s="4" t="s">
        <v>734</v>
      </c>
      <c r="G319" s="6" t="s">
        <v>735</v>
      </c>
      <c r="H319" s="6" t="s">
        <v>479</v>
      </c>
      <c r="I319" s="5" t="s">
        <v>480</v>
      </c>
      <c r="J319" s="5" t="s">
        <v>26</v>
      </c>
      <c r="K319" s="7" t="n">
        <v>0.6</v>
      </c>
      <c r="L319" s="6"/>
      <c r="M319" s="4" t="s">
        <v>481</v>
      </c>
      <c r="N319" s="5" t="s">
        <v>736</v>
      </c>
    </row>
    <row r="320" customFormat="false" ht="35.05" hidden="false" customHeight="false" outlineLevel="0" collapsed="false">
      <c r="A320" s="4" t="s">
        <v>18</v>
      </c>
      <c r="B320" s="5" t="s">
        <v>733</v>
      </c>
      <c r="C320" s="6" t="s">
        <v>41</v>
      </c>
      <c r="D320" s="6"/>
      <c r="E320" s="4" t="s">
        <v>476</v>
      </c>
      <c r="F320" s="4" t="s">
        <v>734</v>
      </c>
      <c r="G320" s="6" t="s">
        <v>735</v>
      </c>
      <c r="H320" s="6" t="s">
        <v>483</v>
      </c>
      <c r="I320" s="5" t="s">
        <v>484</v>
      </c>
      <c r="J320" s="5" t="s">
        <v>26</v>
      </c>
      <c r="K320" s="7" t="n">
        <v>1</v>
      </c>
      <c r="L320" s="8" t="s">
        <v>485</v>
      </c>
      <c r="M320" s="4" t="s">
        <v>486</v>
      </c>
      <c r="N320" s="5" t="s">
        <v>736</v>
      </c>
    </row>
    <row r="321" customFormat="false" ht="23.85" hidden="false" customHeight="false" outlineLevel="0" collapsed="false">
      <c r="A321" s="4" t="s">
        <v>18</v>
      </c>
      <c r="B321" s="5" t="s">
        <v>737</v>
      </c>
      <c r="C321" s="6" t="s">
        <v>41</v>
      </c>
      <c r="D321" s="6"/>
      <c r="E321" s="4" t="s">
        <v>476</v>
      </c>
      <c r="F321" s="4" t="s">
        <v>738</v>
      </c>
      <c r="G321" s="6" t="s">
        <v>739</v>
      </c>
      <c r="H321" s="6" t="s">
        <v>479</v>
      </c>
      <c r="I321" s="5" t="s">
        <v>480</v>
      </c>
      <c r="J321" s="5" t="s">
        <v>26</v>
      </c>
      <c r="K321" s="7" t="n">
        <v>0.6</v>
      </c>
      <c r="L321" s="6"/>
      <c r="M321" s="4" t="s">
        <v>481</v>
      </c>
      <c r="N321" s="5" t="s">
        <v>740</v>
      </c>
    </row>
    <row r="322" customFormat="false" ht="35.05" hidden="false" customHeight="false" outlineLevel="0" collapsed="false">
      <c r="A322" s="4" t="s">
        <v>18</v>
      </c>
      <c r="B322" s="5" t="s">
        <v>737</v>
      </c>
      <c r="C322" s="6" t="s">
        <v>41</v>
      </c>
      <c r="D322" s="6"/>
      <c r="E322" s="4" t="s">
        <v>476</v>
      </c>
      <c r="F322" s="4" t="s">
        <v>738</v>
      </c>
      <c r="G322" s="6" t="s">
        <v>739</v>
      </c>
      <c r="H322" s="6" t="s">
        <v>483</v>
      </c>
      <c r="I322" s="5" t="s">
        <v>484</v>
      </c>
      <c r="J322" s="5" t="s">
        <v>26</v>
      </c>
      <c r="K322" s="7" t="n">
        <v>1</v>
      </c>
      <c r="L322" s="8" t="s">
        <v>485</v>
      </c>
      <c r="M322" s="4" t="s">
        <v>486</v>
      </c>
      <c r="N322" s="5" t="s">
        <v>740</v>
      </c>
    </row>
    <row r="323" customFormat="false" ht="23.85" hidden="false" customHeight="false" outlineLevel="0" collapsed="false">
      <c r="A323" s="4" t="s">
        <v>18</v>
      </c>
      <c r="B323" s="5" t="s">
        <v>741</v>
      </c>
      <c r="C323" s="6" t="s">
        <v>41</v>
      </c>
      <c r="D323" s="6"/>
      <c r="E323" s="4" t="s">
        <v>476</v>
      </c>
      <c r="F323" s="4" t="s">
        <v>742</v>
      </c>
      <c r="G323" s="6" t="s">
        <v>743</v>
      </c>
      <c r="H323" s="6" t="s">
        <v>479</v>
      </c>
      <c r="I323" s="5" t="s">
        <v>480</v>
      </c>
      <c r="J323" s="5" t="s">
        <v>26</v>
      </c>
      <c r="K323" s="7" t="n">
        <v>0.6</v>
      </c>
      <c r="L323" s="6"/>
      <c r="M323" s="4" t="s">
        <v>481</v>
      </c>
      <c r="N323" s="5" t="s">
        <v>744</v>
      </c>
    </row>
    <row r="324" customFormat="false" ht="23.85" hidden="false" customHeight="false" outlineLevel="0" collapsed="false">
      <c r="A324" s="4" t="s">
        <v>18</v>
      </c>
      <c r="B324" s="5" t="s">
        <v>741</v>
      </c>
      <c r="C324" s="6" t="s">
        <v>41</v>
      </c>
      <c r="D324" s="6"/>
      <c r="E324" s="4" t="s">
        <v>476</v>
      </c>
      <c r="F324" s="4" t="s">
        <v>745</v>
      </c>
      <c r="G324" s="6" t="s">
        <v>746</v>
      </c>
      <c r="H324" s="6" t="s">
        <v>479</v>
      </c>
      <c r="I324" s="5" t="s">
        <v>480</v>
      </c>
      <c r="J324" s="5" t="s">
        <v>26</v>
      </c>
      <c r="K324" s="7" t="n">
        <v>0.6</v>
      </c>
      <c r="L324" s="6"/>
      <c r="M324" s="4" t="s">
        <v>481</v>
      </c>
      <c r="N324" s="5" t="s">
        <v>744</v>
      </c>
    </row>
    <row r="325" customFormat="false" ht="35.05" hidden="false" customHeight="false" outlineLevel="0" collapsed="false">
      <c r="A325" s="4" t="s">
        <v>18</v>
      </c>
      <c r="B325" s="5" t="s">
        <v>741</v>
      </c>
      <c r="C325" s="6" t="s">
        <v>41</v>
      </c>
      <c r="D325" s="6"/>
      <c r="E325" s="4" t="s">
        <v>476</v>
      </c>
      <c r="F325" s="4" t="s">
        <v>742</v>
      </c>
      <c r="G325" s="6" t="s">
        <v>743</v>
      </c>
      <c r="H325" s="6" t="s">
        <v>483</v>
      </c>
      <c r="I325" s="5" t="s">
        <v>484</v>
      </c>
      <c r="J325" s="5" t="s">
        <v>26</v>
      </c>
      <c r="K325" s="7" t="n">
        <v>1</v>
      </c>
      <c r="L325" s="8" t="s">
        <v>485</v>
      </c>
      <c r="M325" s="4" t="s">
        <v>486</v>
      </c>
      <c r="N325" s="5" t="s">
        <v>744</v>
      </c>
    </row>
    <row r="326" customFormat="false" ht="35.05" hidden="false" customHeight="false" outlineLevel="0" collapsed="false">
      <c r="A326" s="4" t="s">
        <v>18</v>
      </c>
      <c r="B326" s="5" t="s">
        <v>741</v>
      </c>
      <c r="C326" s="6" t="s">
        <v>41</v>
      </c>
      <c r="D326" s="6"/>
      <c r="E326" s="4" t="s">
        <v>476</v>
      </c>
      <c r="F326" s="4" t="s">
        <v>745</v>
      </c>
      <c r="G326" s="6" t="s">
        <v>746</v>
      </c>
      <c r="H326" s="6" t="s">
        <v>483</v>
      </c>
      <c r="I326" s="5" t="s">
        <v>484</v>
      </c>
      <c r="J326" s="5" t="s">
        <v>26</v>
      </c>
      <c r="K326" s="7" t="n">
        <v>1</v>
      </c>
      <c r="L326" s="8" t="s">
        <v>485</v>
      </c>
      <c r="M326" s="4" t="s">
        <v>486</v>
      </c>
      <c r="N326" s="5" t="s">
        <v>744</v>
      </c>
    </row>
    <row r="327" customFormat="false" ht="46.25" hidden="false" customHeight="false" outlineLevel="0" collapsed="false">
      <c r="A327" s="4" t="s">
        <v>18</v>
      </c>
      <c r="B327" s="5" t="s">
        <v>747</v>
      </c>
      <c r="C327" s="6" t="s">
        <v>41</v>
      </c>
      <c r="D327" s="6"/>
      <c r="E327" s="4" t="s">
        <v>21</v>
      </c>
      <c r="F327" s="4" t="s">
        <v>358</v>
      </c>
      <c r="G327" s="6" t="s">
        <v>666</v>
      </c>
      <c r="H327" s="6" t="s">
        <v>24</v>
      </c>
      <c r="I327" s="5" t="s">
        <v>25</v>
      </c>
      <c r="J327" s="5" t="s">
        <v>26</v>
      </c>
      <c r="K327" s="7" t="n">
        <v>0.6</v>
      </c>
      <c r="L327" s="6"/>
      <c r="M327" s="4" t="s">
        <v>27</v>
      </c>
      <c r="N327" s="5" t="s">
        <v>748</v>
      </c>
    </row>
    <row r="328" customFormat="false" ht="46.25" hidden="false" customHeight="false" outlineLevel="0" collapsed="false">
      <c r="A328" s="4" t="s">
        <v>18</v>
      </c>
      <c r="B328" s="5" t="s">
        <v>749</v>
      </c>
      <c r="C328" s="6" t="s">
        <v>41</v>
      </c>
      <c r="D328" s="6"/>
      <c r="E328" s="4" t="s">
        <v>21</v>
      </c>
      <c r="F328" s="4" t="s">
        <v>358</v>
      </c>
      <c r="G328" s="6" t="s">
        <v>666</v>
      </c>
      <c r="H328" s="6" t="s">
        <v>24</v>
      </c>
      <c r="I328" s="5" t="s">
        <v>25</v>
      </c>
      <c r="J328" s="5" t="s">
        <v>26</v>
      </c>
      <c r="K328" s="7" t="n">
        <v>0.6</v>
      </c>
      <c r="L328" s="6"/>
      <c r="M328" s="4" t="s">
        <v>27</v>
      </c>
      <c r="N328" s="5" t="s">
        <v>750</v>
      </c>
    </row>
    <row r="329" customFormat="false" ht="23.85" hidden="false" customHeight="false" outlineLevel="0" collapsed="false">
      <c r="A329" s="4" t="s">
        <v>18</v>
      </c>
      <c r="B329" s="5" t="s">
        <v>751</v>
      </c>
      <c r="C329" s="6" t="s">
        <v>41</v>
      </c>
      <c r="D329" s="6"/>
      <c r="E329" s="4" t="s">
        <v>476</v>
      </c>
      <c r="F329" s="4" t="s">
        <v>89</v>
      </c>
      <c r="G329" s="6" t="s">
        <v>752</v>
      </c>
      <c r="H329" s="6" t="s">
        <v>479</v>
      </c>
      <c r="I329" s="5" t="s">
        <v>480</v>
      </c>
      <c r="J329" s="5" t="s">
        <v>26</v>
      </c>
      <c r="K329" s="7" t="n">
        <v>0.6</v>
      </c>
      <c r="L329" s="6"/>
      <c r="M329" s="4" t="s">
        <v>481</v>
      </c>
      <c r="N329" s="5" t="s">
        <v>753</v>
      </c>
    </row>
    <row r="330" customFormat="false" ht="35.05" hidden="false" customHeight="false" outlineLevel="0" collapsed="false">
      <c r="A330" s="4" t="s">
        <v>18</v>
      </c>
      <c r="B330" s="5" t="s">
        <v>751</v>
      </c>
      <c r="C330" s="6" t="s">
        <v>41</v>
      </c>
      <c r="D330" s="6"/>
      <c r="E330" s="4" t="s">
        <v>476</v>
      </c>
      <c r="F330" s="4" t="s">
        <v>89</v>
      </c>
      <c r="G330" s="6" t="s">
        <v>752</v>
      </c>
      <c r="H330" s="6" t="s">
        <v>483</v>
      </c>
      <c r="I330" s="5" t="s">
        <v>484</v>
      </c>
      <c r="J330" s="5" t="s">
        <v>26</v>
      </c>
      <c r="K330" s="7" t="n">
        <v>1</v>
      </c>
      <c r="L330" s="8" t="s">
        <v>485</v>
      </c>
      <c r="M330" s="4" t="s">
        <v>486</v>
      </c>
      <c r="N330" s="5" t="s">
        <v>753</v>
      </c>
    </row>
    <row r="331" customFormat="false" ht="247.75" hidden="false" customHeight="false" outlineLevel="0" collapsed="false">
      <c r="A331" s="4" t="s">
        <v>18</v>
      </c>
      <c r="B331" s="5" t="s">
        <v>754</v>
      </c>
      <c r="C331" s="6" t="s">
        <v>41</v>
      </c>
      <c r="D331" s="6"/>
      <c r="E331" s="4" t="s">
        <v>21</v>
      </c>
      <c r="F331" s="4" t="s">
        <v>239</v>
      </c>
      <c r="G331" s="6" t="s">
        <v>240</v>
      </c>
      <c r="H331" s="6" t="s">
        <v>24</v>
      </c>
      <c r="I331" s="5" t="s">
        <v>25</v>
      </c>
      <c r="J331" s="5" t="s">
        <v>26</v>
      </c>
      <c r="K331" s="7" t="n">
        <v>0.6</v>
      </c>
      <c r="L331" s="6"/>
      <c r="M331" s="4" t="s">
        <v>27</v>
      </c>
      <c r="N331" s="5" t="s">
        <v>755</v>
      </c>
    </row>
    <row r="332" customFormat="false" ht="247.75" hidden="false" customHeight="false" outlineLevel="0" collapsed="false">
      <c r="A332" s="4" t="s">
        <v>18</v>
      </c>
      <c r="B332" s="5" t="s">
        <v>756</v>
      </c>
      <c r="C332" s="6" t="s">
        <v>41</v>
      </c>
      <c r="D332" s="6"/>
      <c r="E332" s="4" t="s">
        <v>21</v>
      </c>
      <c r="F332" s="4" t="s">
        <v>239</v>
      </c>
      <c r="G332" s="6" t="s">
        <v>240</v>
      </c>
      <c r="H332" s="6" t="s">
        <v>24</v>
      </c>
      <c r="I332" s="5" t="s">
        <v>25</v>
      </c>
      <c r="J332" s="5" t="s">
        <v>26</v>
      </c>
      <c r="K332" s="7" t="n">
        <v>0.6</v>
      </c>
      <c r="L332" s="6"/>
      <c r="M332" s="4" t="s">
        <v>27</v>
      </c>
      <c r="N332" s="5" t="s">
        <v>757</v>
      </c>
    </row>
    <row r="333" customFormat="false" ht="23.85" hidden="false" customHeight="false" outlineLevel="0" collapsed="false">
      <c r="A333" s="4" t="s">
        <v>18</v>
      </c>
      <c r="B333" s="5" t="s">
        <v>758</v>
      </c>
      <c r="C333" s="6" t="s">
        <v>41</v>
      </c>
      <c r="D333" s="6"/>
      <c r="E333" s="4" t="s">
        <v>476</v>
      </c>
      <c r="F333" s="4" t="s">
        <v>759</v>
      </c>
      <c r="G333" s="6" t="s">
        <v>760</v>
      </c>
      <c r="H333" s="6" t="s">
        <v>479</v>
      </c>
      <c r="I333" s="5" t="s">
        <v>480</v>
      </c>
      <c r="J333" s="5" t="s">
        <v>26</v>
      </c>
      <c r="K333" s="7" t="n">
        <v>0.6</v>
      </c>
      <c r="L333" s="6"/>
      <c r="M333" s="4" t="s">
        <v>481</v>
      </c>
      <c r="N333" s="5" t="s">
        <v>761</v>
      </c>
    </row>
    <row r="334" customFormat="false" ht="35.05" hidden="false" customHeight="false" outlineLevel="0" collapsed="false">
      <c r="A334" s="4" t="s">
        <v>18</v>
      </c>
      <c r="B334" s="5" t="s">
        <v>758</v>
      </c>
      <c r="C334" s="6" t="s">
        <v>41</v>
      </c>
      <c r="D334" s="6"/>
      <c r="E334" s="4" t="s">
        <v>476</v>
      </c>
      <c r="F334" s="4" t="s">
        <v>759</v>
      </c>
      <c r="G334" s="6" t="s">
        <v>760</v>
      </c>
      <c r="H334" s="6" t="s">
        <v>483</v>
      </c>
      <c r="I334" s="5" t="s">
        <v>484</v>
      </c>
      <c r="J334" s="5" t="s">
        <v>26</v>
      </c>
      <c r="K334" s="7" t="n">
        <v>1</v>
      </c>
      <c r="L334" s="8" t="s">
        <v>485</v>
      </c>
      <c r="M334" s="4" t="s">
        <v>486</v>
      </c>
      <c r="N334" s="5" t="s">
        <v>761</v>
      </c>
    </row>
    <row r="335" customFormat="false" ht="23.85" hidden="false" customHeight="false" outlineLevel="0" collapsed="false">
      <c r="A335" s="4" t="s">
        <v>18</v>
      </c>
      <c r="B335" s="5" t="s">
        <v>762</v>
      </c>
      <c r="C335" s="6" t="s">
        <v>41</v>
      </c>
      <c r="D335" s="6"/>
      <c r="E335" s="4" t="s">
        <v>763</v>
      </c>
      <c r="F335" s="4" t="s">
        <v>596</v>
      </c>
      <c r="G335" s="6" t="s">
        <v>764</v>
      </c>
      <c r="H335" s="6" t="s">
        <v>765</v>
      </c>
      <c r="I335" s="5" t="s">
        <v>766</v>
      </c>
      <c r="J335" s="5" t="s">
        <v>26</v>
      </c>
      <c r="K335" s="7" t="n">
        <v>0.6</v>
      </c>
      <c r="L335" s="6"/>
      <c r="M335" s="4" t="s">
        <v>767</v>
      </c>
      <c r="N335" s="5" t="s">
        <v>768</v>
      </c>
    </row>
    <row r="336" customFormat="false" ht="46.25" hidden="false" customHeight="false" outlineLevel="0" collapsed="false">
      <c r="A336" s="4" t="s">
        <v>18</v>
      </c>
      <c r="B336" s="5" t="s">
        <v>762</v>
      </c>
      <c r="C336" s="6" t="s">
        <v>41</v>
      </c>
      <c r="D336" s="6"/>
      <c r="E336" s="4" t="s">
        <v>763</v>
      </c>
      <c r="F336" s="4" t="s">
        <v>596</v>
      </c>
      <c r="G336" s="6" t="s">
        <v>764</v>
      </c>
      <c r="H336" s="6" t="s">
        <v>769</v>
      </c>
      <c r="I336" s="5" t="s">
        <v>770</v>
      </c>
      <c r="J336" s="5" t="s">
        <v>26</v>
      </c>
      <c r="K336" s="7" t="n">
        <v>1</v>
      </c>
      <c r="L336" s="8" t="s">
        <v>771</v>
      </c>
      <c r="M336" s="4" t="s">
        <v>772</v>
      </c>
      <c r="N336" s="5" t="s">
        <v>768</v>
      </c>
    </row>
    <row r="337" customFormat="false" ht="23.85" hidden="false" customHeight="false" outlineLevel="0" collapsed="false">
      <c r="A337" s="4" t="s">
        <v>18</v>
      </c>
      <c r="B337" s="5" t="s">
        <v>773</v>
      </c>
      <c r="C337" s="6" t="s">
        <v>41</v>
      </c>
      <c r="D337" s="6"/>
      <c r="E337" s="4" t="s">
        <v>476</v>
      </c>
      <c r="F337" s="4" t="s">
        <v>774</v>
      </c>
      <c r="G337" s="6" t="s">
        <v>775</v>
      </c>
      <c r="H337" s="6" t="s">
        <v>479</v>
      </c>
      <c r="I337" s="5" t="s">
        <v>480</v>
      </c>
      <c r="J337" s="5" t="s">
        <v>26</v>
      </c>
      <c r="K337" s="7" t="n">
        <v>0.6</v>
      </c>
      <c r="L337" s="6"/>
      <c r="M337" s="4" t="s">
        <v>481</v>
      </c>
      <c r="N337" s="5" t="s">
        <v>776</v>
      </c>
    </row>
    <row r="338" customFormat="false" ht="35.05" hidden="false" customHeight="false" outlineLevel="0" collapsed="false">
      <c r="A338" s="4" t="s">
        <v>18</v>
      </c>
      <c r="B338" s="5" t="s">
        <v>773</v>
      </c>
      <c r="C338" s="6" t="s">
        <v>41</v>
      </c>
      <c r="D338" s="6"/>
      <c r="E338" s="4" t="s">
        <v>476</v>
      </c>
      <c r="F338" s="4" t="s">
        <v>774</v>
      </c>
      <c r="G338" s="6" t="s">
        <v>775</v>
      </c>
      <c r="H338" s="6" t="s">
        <v>483</v>
      </c>
      <c r="I338" s="5" t="s">
        <v>484</v>
      </c>
      <c r="J338" s="5" t="s">
        <v>26</v>
      </c>
      <c r="K338" s="7" t="n">
        <v>1</v>
      </c>
      <c r="L338" s="8" t="s">
        <v>485</v>
      </c>
      <c r="M338" s="4" t="s">
        <v>486</v>
      </c>
      <c r="N338" s="5" t="s">
        <v>776</v>
      </c>
    </row>
    <row r="339" customFormat="false" ht="46.25" hidden="false" customHeight="false" outlineLevel="0" collapsed="false">
      <c r="A339" s="4" t="s">
        <v>18</v>
      </c>
      <c r="B339" s="5" t="s">
        <v>777</v>
      </c>
      <c r="C339" s="6" t="s">
        <v>41</v>
      </c>
      <c r="D339" s="6"/>
      <c r="E339" s="4" t="s">
        <v>21</v>
      </c>
      <c r="F339" s="4" t="s">
        <v>358</v>
      </c>
      <c r="G339" s="6" t="s">
        <v>666</v>
      </c>
      <c r="H339" s="6" t="s">
        <v>24</v>
      </c>
      <c r="I339" s="5" t="s">
        <v>25</v>
      </c>
      <c r="J339" s="5" t="s">
        <v>26</v>
      </c>
      <c r="K339" s="7" t="n">
        <v>0.6</v>
      </c>
      <c r="L339" s="6"/>
      <c r="M339" s="4" t="s">
        <v>27</v>
      </c>
      <c r="N339" s="5" t="s">
        <v>778</v>
      </c>
    </row>
    <row r="340" customFormat="false" ht="23.85" hidden="false" customHeight="false" outlineLevel="0" collapsed="false">
      <c r="A340" s="4" t="s">
        <v>18</v>
      </c>
      <c r="B340" s="5" t="s">
        <v>777</v>
      </c>
      <c r="C340" s="6" t="s">
        <v>41</v>
      </c>
      <c r="D340" s="6"/>
      <c r="E340" s="4" t="s">
        <v>476</v>
      </c>
      <c r="F340" s="4" t="s">
        <v>239</v>
      </c>
      <c r="G340" s="6" t="s">
        <v>779</v>
      </c>
      <c r="H340" s="6" t="s">
        <v>479</v>
      </c>
      <c r="I340" s="5" t="s">
        <v>480</v>
      </c>
      <c r="J340" s="5" t="s">
        <v>26</v>
      </c>
      <c r="K340" s="7" t="n">
        <v>0.6</v>
      </c>
      <c r="L340" s="6"/>
      <c r="M340" s="4" t="s">
        <v>481</v>
      </c>
      <c r="N340" s="5" t="s">
        <v>778</v>
      </c>
    </row>
    <row r="341" customFormat="false" ht="35.05" hidden="false" customHeight="false" outlineLevel="0" collapsed="false">
      <c r="A341" s="4" t="s">
        <v>18</v>
      </c>
      <c r="B341" s="5" t="s">
        <v>777</v>
      </c>
      <c r="C341" s="6" t="s">
        <v>41</v>
      </c>
      <c r="D341" s="6"/>
      <c r="E341" s="4" t="s">
        <v>476</v>
      </c>
      <c r="F341" s="4" t="s">
        <v>239</v>
      </c>
      <c r="G341" s="6" t="s">
        <v>779</v>
      </c>
      <c r="H341" s="6" t="s">
        <v>483</v>
      </c>
      <c r="I341" s="5" t="s">
        <v>484</v>
      </c>
      <c r="J341" s="5" t="s">
        <v>26</v>
      </c>
      <c r="K341" s="7" t="n">
        <v>1</v>
      </c>
      <c r="L341" s="8" t="s">
        <v>485</v>
      </c>
      <c r="M341" s="4" t="s">
        <v>486</v>
      </c>
      <c r="N341" s="5" t="s">
        <v>778</v>
      </c>
    </row>
    <row r="342" customFormat="false" ht="23.85" hidden="false" customHeight="false" outlineLevel="0" collapsed="false">
      <c r="A342" s="4" t="s">
        <v>18</v>
      </c>
      <c r="B342" s="5" t="s">
        <v>780</v>
      </c>
      <c r="C342" s="6" t="s">
        <v>41</v>
      </c>
      <c r="D342" s="6"/>
      <c r="E342" s="4" t="s">
        <v>476</v>
      </c>
      <c r="F342" s="4" t="s">
        <v>251</v>
      </c>
      <c r="G342" s="6" t="s">
        <v>781</v>
      </c>
      <c r="H342" s="6" t="s">
        <v>479</v>
      </c>
      <c r="I342" s="5" t="s">
        <v>480</v>
      </c>
      <c r="J342" s="5" t="s">
        <v>26</v>
      </c>
      <c r="K342" s="7" t="n">
        <v>0.6</v>
      </c>
      <c r="L342" s="6"/>
      <c r="M342" s="4" t="s">
        <v>481</v>
      </c>
      <c r="N342" s="5" t="s">
        <v>782</v>
      </c>
    </row>
    <row r="343" customFormat="false" ht="35.05" hidden="false" customHeight="false" outlineLevel="0" collapsed="false">
      <c r="A343" s="4" t="s">
        <v>18</v>
      </c>
      <c r="B343" s="5" t="s">
        <v>780</v>
      </c>
      <c r="C343" s="6" t="s">
        <v>41</v>
      </c>
      <c r="D343" s="6"/>
      <c r="E343" s="4" t="s">
        <v>476</v>
      </c>
      <c r="F343" s="4" t="s">
        <v>251</v>
      </c>
      <c r="G343" s="6" t="s">
        <v>781</v>
      </c>
      <c r="H343" s="6" t="s">
        <v>483</v>
      </c>
      <c r="I343" s="5" t="s">
        <v>484</v>
      </c>
      <c r="J343" s="5" t="s">
        <v>26</v>
      </c>
      <c r="K343" s="7" t="n">
        <v>1</v>
      </c>
      <c r="L343" s="8" t="s">
        <v>485</v>
      </c>
      <c r="M343" s="4" t="s">
        <v>486</v>
      </c>
      <c r="N343" s="5" t="s">
        <v>782</v>
      </c>
    </row>
    <row r="344" customFormat="false" ht="23.85" hidden="false" customHeight="false" outlineLevel="0" collapsed="false">
      <c r="A344" s="4" t="s">
        <v>18</v>
      </c>
      <c r="B344" s="5" t="s">
        <v>783</v>
      </c>
      <c r="C344" s="6" t="s">
        <v>41</v>
      </c>
      <c r="D344" s="6"/>
      <c r="E344" s="4" t="s">
        <v>476</v>
      </c>
      <c r="F344" s="4" t="s">
        <v>186</v>
      </c>
      <c r="G344" s="6" t="s">
        <v>784</v>
      </c>
      <c r="H344" s="6" t="s">
        <v>479</v>
      </c>
      <c r="I344" s="5" t="s">
        <v>480</v>
      </c>
      <c r="J344" s="5" t="s">
        <v>26</v>
      </c>
      <c r="K344" s="7" t="n">
        <v>0.6</v>
      </c>
      <c r="L344" s="6"/>
      <c r="M344" s="4" t="s">
        <v>481</v>
      </c>
      <c r="N344" s="5" t="s">
        <v>785</v>
      </c>
    </row>
    <row r="345" customFormat="false" ht="23.85" hidden="false" customHeight="false" outlineLevel="0" collapsed="false">
      <c r="A345" s="4" t="s">
        <v>18</v>
      </c>
      <c r="B345" s="5" t="s">
        <v>783</v>
      </c>
      <c r="C345" s="6" t="s">
        <v>41</v>
      </c>
      <c r="D345" s="6"/>
      <c r="E345" s="4" t="s">
        <v>476</v>
      </c>
      <c r="F345" s="4" t="s">
        <v>205</v>
      </c>
      <c r="G345" s="6" t="s">
        <v>786</v>
      </c>
      <c r="H345" s="6" t="s">
        <v>479</v>
      </c>
      <c r="I345" s="5" t="s">
        <v>480</v>
      </c>
      <c r="J345" s="5" t="s">
        <v>26</v>
      </c>
      <c r="K345" s="7" t="n">
        <v>0.6</v>
      </c>
      <c r="L345" s="6"/>
      <c r="M345" s="4" t="s">
        <v>481</v>
      </c>
      <c r="N345" s="5" t="s">
        <v>785</v>
      </c>
    </row>
    <row r="346" customFormat="false" ht="35.05" hidden="false" customHeight="false" outlineLevel="0" collapsed="false">
      <c r="A346" s="4" t="s">
        <v>18</v>
      </c>
      <c r="B346" s="5" t="s">
        <v>783</v>
      </c>
      <c r="C346" s="6" t="s">
        <v>41</v>
      </c>
      <c r="D346" s="6"/>
      <c r="E346" s="4" t="s">
        <v>476</v>
      </c>
      <c r="F346" s="4" t="s">
        <v>186</v>
      </c>
      <c r="G346" s="6" t="s">
        <v>784</v>
      </c>
      <c r="H346" s="6" t="s">
        <v>483</v>
      </c>
      <c r="I346" s="5" t="s">
        <v>484</v>
      </c>
      <c r="J346" s="5" t="s">
        <v>26</v>
      </c>
      <c r="K346" s="7" t="n">
        <v>1</v>
      </c>
      <c r="L346" s="8" t="s">
        <v>485</v>
      </c>
      <c r="M346" s="4" t="s">
        <v>486</v>
      </c>
      <c r="N346" s="5" t="s">
        <v>785</v>
      </c>
    </row>
    <row r="347" customFormat="false" ht="35.05" hidden="false" customHeight="false" outlineLevel="0" collapsed="false">
      <c r="A347" s="4" t="s">
        <v>18</v>
      </c>
      <c r="B347" s="5" t="s">
        <v>783</v>
      </c>
      <c r="C347" s="6" t="s">
        <v>41</v>
      </c>
      <c r="D347" s="6"/>
      <c r="E347" s="4" t="s">
        <v>476</v>
      </c>
      <c r="F347" s="4" t="s">
        <v>205</v>
      </c>
      <c r="G347" s="6" t="s">
        <v>786</v>
      </c>
      <c r="H347" s="6" t="s">
        <v>483</v>
      </c>
      <c r="I347" s="5" t="s">
        <v>484</v>
      </c>
      <c r="J347" s="5" t="s">
        <v>26</v>
      </c>
      <c r="K347" s="7" t="n">
        <v>1</v>
      </c>
      <c r="L347" s="8" t="s">
        <v>485</v>
      </c>
      <c r="M347" s="4" t="s">
        <v>486</v>
      </c>
      <c r="N347" s="5" t="s">
        <v>785</v>
      </c>
    </row>
    <row r="348" customFormat="false" ht="23.85" hidden="false" customHeight="false" outlineLevel="0" collapsed="false">
      <c r="A348" s="4" t="s">
        <v>18</v>
      </c>
      <c r="B348" s="5" t="s">
        <v>787</v>
      </c>
      <c r="C348" s="6" t="s">
        <v>41</v>
      </c>
      <c r="D348" s="6"/>
      <c r="E348" s="4" t="s">
        <v>476</v>
      </c>
      <c r="F348" s="4" t="s">
        <v>264</v>
      </c>
      <c r="G348" s="6" t="s">
        <v>788</v>
      </c>
      <c r="H348" s="6" t="s">
        <v>479</v>
      </c>
      <c r="I348" s="5" t="s">
        <v>480</v>
      </c>
      <c r="J348" s="5" t="s">
        <v>26</v>
      </c>
      <c r="K348" s="7" t="n">
        <v>0.6</v>
      </c>
      <c r="L348" s="6"/>
      <c r="M348" s="4" t="s">
        <v>481</v>
      </c>
      <c r="N348" s="5" t="s">
        <v>789</v>
      </c>
    </row>
    <row r="349" customFormat="false" ht="35.05" hidden="false" customHeight="false" outlineLevel="0" collapsed="false">
      <c r="A349" s="4" t="s">
        <v>18</v>
      </c>
      <c r="B349" s="5" t="s">
        <v>787</v>
      </c>
      <c r="C349" s="6" t="s">
        <v>41</v>
      </c>
      <c r="D349" s="6"/>
      <c r="E349" s="4" t="s">
        <v>476</v>
      </c>
      <c r="F349" s="4" t="s">
        <v>264</v>
      </c>
      <c r="G349" s="6" t="s">
        <v>788</v>
      </c>
      <c r="H349" s="6" t="s">
        <v>483</v>
      </c>
      <c r="I349" s="5" t="s">
        <v>484</v>
      </c>
      <c r="J349" s="5" t="s">
        <v>26</v>
      </c>
      <c r="K349" s="7" t="n">
        <v>1</v>
      </c>
      <c r="L349" s="8" t="s">
        <v>485</v>
      </c>
      <c r="M349" s="4" t="s">
        <v>486</v>
      </c>
      <c r="N349" s="5" t="s">
        <v>789</v>
      </c>
    </row>
    <row r="350" customFormat="false" ht="23.85" hidden="false" customHeight="false" outlineLevel="0" collapsed="false">
      <c r="A350" s="4" t="s">
        <v>18</v>
      </c>
      <c r="B350" s="5" t="s">
        <v>790</v>
      </c>
      <c r="C350" s="6" t="s">
        <v>41</v>
      </c>
      <c r="D350" s="6"/>
      <c r="E350" s="4" t="s">
        <v>476</v>
      </c>
      <c r="F350" s="4" t="s">
        <v>791</v>
      </c>
      <c r="G350" s="6" t="s">
        <v>792</v>
      </c>
      <c r="H350" s="6" t="s">
        <v>479</v>
      </c>
      <c r="I350" s="5" t="s">
        <v>480</v>
      </c>
      <c r="J350" s="5" t="s">
        <v>26</v>
      </c>
      <c r="K350" s="7" t="n">
        <v>0.6</v>
      </c>
      <c r="L350" s="6"/>
      <c r="M350" s="4" t="s">
        <v>481</v>
      </c>
      <c r="N350" s="5" t="s">
        <v>793</v>
      </c>
    </row>
    <row r="351" customFormat="false" ht="35.05" hidden="false" customHeight="false" outlineLevel="0" collapsed="false">
      <c r="A351" s="4" t="s">
        <v>18</v>
      </c>
      <c r="B351" s="5" t="s">
        <v>790</v>
      </c>
      <c r="C351" s="6" t="s">
        <v>41</v>
      </c>
      <c r="D351" s="6"/>
      <c r="E351" s="4" t="s">
        <v>476</v>
      </c>
      <c r="F351" s="4" t="s">
        <v>791</v>
      </c>
      <c r="G351" s="6" t="s">
        <v>792</v>
      </c>
      <c r="H351" s="6" t="s">
        <v>483</v>
      </c>
      <c r="I351" s="5" t="s">
        <v>484</v>
      </c>
      <c r="J351" s="5" t="s">
        <v>26</v>
      </c>
      <c r="K351" s="7" t="n">
        <v>1</v>
      </c>
      <c r="L351" s="8" t="s">
        <v>485</v>
      </c>
      <c r="M351" s="4" t="s">
        <v>486</v>
      </c>
      <c r="N351" s="5" t="s">
        <v>793</v>
      </c>
    </row>
    <row r="352" customFormat="false" ht="23.85" hidden="false" customHeight="false" outlineLevel="0" collapsed="false">
      <c r="A352" s="4" t="s">
        <v>18</v>
      </c>
      <c r="B352" s="5" t="s">
        <v>794</v>
      </c>
      <c r="C352" s="6" t="s">
        <v>41</v>
      </c>
      <c r="D352" s="6"/>
      <c r="E352" s="4" t="s">
        <v>476</v>
      </c>
      <c r="F352" s="4" t="s">
        <v>37</v>
      </c>
      <c r="G352" s="6" t="s">
        <v>795</v>
      </c>
      <c r="H352" s="6" t="s">
        <v>479</v>
      </c>
      <c r="I352" s="5" t="s">
        <v>480</v>
      </c>
      <c r="J352" s="5" t="s">
        <v>26</v>
      </c>
      <c r="K352" s="7" t="n">
        <v>0.6</v>
      </c>
      <c r="L352" s="6"/>
      <c r="M352" s="4" t="s">
        <v>481</v>
      </c>
      <c r="N352" s="5" t="s">
        <v>796</v>
      </c>
    </row>
    <row r="353" customFormat="false" ht="35.05" hidden="false" customHeight="false" outlineLevel="0" collapsed="false">
      <c r="A353" s="4" t="s">
        <v>18</v>
      </c>
      <c r="B353" s="5" t="s">
        <v>794</v>
      </c>
      <c r="C353" s="6" t="s">
        <v>41</v>
      </c>
      <c r="D353" s="6"/>
      <c r="E353" s="4" t="s">
        <v>476</v>
      </c>
      <c r="F353" s="4" t="s">
        <v>37</v>
      </c>
      <c r="G353" s="6" t="s">
        <v>795</v>
      </c>
      <c r="H353" s="6" t="s">
        <v>483</v>
      </c>
      <c r="I353" s="5" t="s">
        <v>484</v>
      </c>
      <c r="J353" s="5" t="s">
        <v>26</v>
      </c>
      <c r="K353" s="7" t="n">
        <v>1</v>
      </c>
      <c r="L353" s="8" t="s">
        <v>485</v>
      </c>
      <c r="M353" s="4" t="s">
        <v>486</v>
      </c>
      <c r="N353" s="5" t="s">
        <v>796</v>
      </c>
    </row>
    <row r="354" customFormat="false" ht="23.85" hidden="false" customHeight="false" outlineLevel="0" collapsed="false">
      <c r="A354" s="4" t="s">
        <v>18</v>
      </c>
      <c r="B354" s="5" t="s">
        <v>797</v>
      </c>
      <c r="C354" s="6" t="s">
        <v>41</v>
      </c>
      <c r="D354" s="6"/>
      <c r="E354" s="4" t="s">
        <v>476</v>
      </c>
      <c r="F354" s="4" t="s">
        <v>798</v>
      </c>
      <c r="G354" s="6" t="s">
        <v>799</v>
      </c>
      <c r="H354" s="6" t="s">
        <v>479</v>
      </c>
      <c r="I354" s="5" t="s">
        <v>480</v>
      </c>
      <c r="J354" s="5" t="s">
        <v>26</v>
      </c>
      <c r="K354" s="7" t="n">
        <v>0.6</v>
      </c>
      <c r="L354" s="6"/>
      <c r="M354" s="4" t="s">
        <v>481</v>
      </c>
      <c r="N354" s="5" t="s">
        <v>800</v>
      </c>
    </row>
    <row r="355" customFormat="false" ht="35.05" hidden="false" customHeight="false" outlineLevel="0" collapsed="false">
      <c r="A355" s="4" t="s">
        <v>18</v>
      </c>
      <c r="B355" s="5" t="s">
        <v>797</v>
      </c>
      <c r="C355" s="6" t="s">
        <v>41</v>
      </c>
      <c r="D355" s="6"/>
      <c r="E355" s="4" t="s">
        <v>476</v>
      </c>
      <c r="F355" s="4" t="s">
        <v>798</v>
      </c>
      <c r="G355" s="6" t="s">
        <v>799</v>
      </c>
      <c r="H355" s="6" t="s">
        <v>483</v>
      </c>
      <c r="I355" s="5" t="s">
        <v>484</v>
      </c>
      <c r="J355" s="5" t="s">
        <v>26</v>
      </c>
      <c r="K355" s="7" t="n">
        <v>1</v>
      </c>
      <c r="L355" s="8" t="s">
        <v>485</v>
      </c>
      <c r="M355" s="4" t="s">
        <v>486</v>
      </c>
      <c r="N355" s="5" t="s">
        <v>800</v>
      </c>
    </row>
    <row r="356" customFormat="false" ht="247.75" hidden="false" customHeight="false" outlineLevel="0" collapsed="false">
      <c r="A356" s="4" t="s">
        <v>18</v>
      </c>
      <c r="B356" s="5" t="s">
        <v>801</v>
      </c>
      <c r="C356" s="6" t="s">
        <v>802</v>
      </c>
      <c r="D356" s="6"/>
      <c r="E356" s="4" t="s">
        <v>21</v>
      </c>
      <c r="F356" s="4" t="s">
        <v>239</v>
      </c>
      <c r="G356" s="6" t="s">
        <v>240</v>
      </c>
      <c r="H356" s="6" t="s">
        <v>24</v>
      </c>
      <c r="I356" s="5" t="s">
        <v>25</v>
      </c>
      <c r="J356" s="5" t="s">
        <v>26</v>
      </c>
      <c r="K356" s="7" t="n">
        <v>0.6</v>
      </c>
      <c r="L356" s="6"/>
      <c r="M356" s="4" t="s">
        <v>27</v>
      </c>
      <c r="N356" s="5" t="s">
        <v>803</v>
      </c>
    </row>
    <row r="357" customFormat="false" ht="23.85" hidden="false" customHeight="false" outlineLevel="0" collapsed="false">
      <c r="A357" s="4" t="s">
        <v>18</v>
      </c>
      <c r="B357" s="5" t="s">
        <v>804</v>
      </c>
      <c r="C357" s="6" t="s">
        <v>41</v>
      </c>
      <c r="D357" s="6"/>
      <c r="E357" s="4" t="s">
        <v>476</v>
      </c>
      <c r="F357" s="4" t="s">
        <v>805</v>
      </c>
      <c r="G357" s="6" t="s">
        <v>806</v>
      </c>
      <c r="H357" s="6" t="s">
        <v>479</v>
      </c>
      <c r="I357" s="5" t="s">
        <v>480</v>
      </c>
      <c r="J357" s="5" t="s">
        <v>26</v>
      </c>
      <c r="K357" s="7" t="n">
        <v>0.6</v>
      </c>
      <c r="L357" s="6"/>
      <c r="M357" s="4" t="s">
        <v>481</v>
      </c>
      <c r="N357" s="5" t="s">
        <v>807</v>
      </c>
    </row>
    <row r="358" customFormat="false" ht="35.05" hidden="false" customHeight="false" outlineLevel="0" collapsed="false">
      <c r="A358" s="4" t="s">
        <v>18</v>
      </c>
      <c r="B358" s="5" t="s">
        <v>804</v>
      </c>
      <c r="C358" s="6" t="s">
        <v>41</v>
      </c>
      <c r="D358" s="6"/>
      <c r="E358" s="4" t="s">
        <v>476</v>
      </c>
      <c r="F358" s="4" t="s">
        <v>805</v>
      </c>
      <c r="G358" s="6" t="s">
        <v>806</v>
      </c>
      <c r="H358" s="6" t="s">
        <v>483</v>
      </c>
      <c r="I358" s="5" t="s">
        <v>484</v>
      </c>
      <c r="J358" s="5" t="s">
        <v>26</v>
      </c>
      <c r="K358" s="7" t="n">
        <v>1</v>
      </c>
      <c r="L358" s="8" t="s">
        <v>485</v>
      </c>
      <c r="M358" s="4" t="s">
        <v>486</v>
      </c>
      <c r="N358" s="5" t="s">
        <v>807</v>
      </c>
    </row>
    <row r="359" customFormat="false" ht="23.85" hidden="false" customHeight="false" outlineLevel="0" collapsed="false">
      <c r="A359" s="4" t="s">
        <v>18</v>
      </c>
      <c r="B359" s="5" t="s">
        <v>808</v>
      </c>
      <c r="C359" s="6" t="s">
        <v>41</v>
      </c>
      <c r="D359" s="6"/>
      <c r="E359" s="4" t="s">
        <v>476</v>
      </c>
      <c r="F359" s="4" t="s">
        <v>172</v>
      </c>
      <c r="G359" s="6" t="s">
        <v>809</v>
      </c>
      <c r="H359" s="6" t="s">
        <v>479</v>
      </c>
      <c r="I359" s="5" t="s">
        <v>480</v>
      </c>
      <c r="J359" s="5" t="s">
        <v>26</v>
      </c>
      <c r="K359" s="7" t="n">
        <v>0.6</v>
      </c>
      <c r="L359" s="6"/>
      <c r="M359" s="4" t="s">
        <v>481</v>
      </c>
      <c r="N359" s="5" t="s">
        <v>810</v>
      </c>
    </row>
    <row r="360" customFormat="false" ht="35.05" hidden="false" customHeight="false" outlineLevel="0" collapsed="false">
      <c r="A360" s="4" t="s">
        <v>18</v>
      </c>
      <c r="B360" s="5" t="s">
        <v>808</v>
      </c>
      <c r="C360" s="6" t="s">
        <v>41</v>
      </c>
      <c r="D360" s="6"/>
      <c r="E360" s="4" t="s">
        <v>476</v>
      </c>
      <c r="F360" s="4" t="s">
        <v>172</v>
      </c>
      <c r="G360" s="6" t="s">
        <v>809</v>
      </c>
      <c r="H360" s="6" t="s">
        <v>483</v>
      </c>
      <c r="I360" s="5" t="s">
        <v>484</v>
      </c>
      <c r="J360" s="5" t="s">
        <v>26</v>
      </c>
      <c r="K360" s="7" t="n">
        <v>1</v>
      </c>
      <c r="L360" s="8" t="s">
        <v>485</v>
      </c>
      <c r="M360" s="4" t="s">
        <v>486</v>
      </c>
      <c r="N360" s="5" t="s">
        <v>810</v>
      </c>
    </row>
    <row r="361" customFormat="false" ht="23.85" hidden="false" customHeight="false" outlineLevel="0" collapsed="false">
      <c r="A361" s="4" t="s">
        <v>18</v>
      </c>
      <c r="B361" s="5" t="s">
        <v>811</v>
      </c>
      <c r="C361" s="6" t="s">
        <v>41</v>
      </c>
      <c r="D361" s="6"/>
      <c r="E361" s="4" t="s">
        <v>476</v>
      </c>
      <c r="F361" s="4" t="s">
        <v>413</v>
      </c>
      <c r="G361" s="6" t="s">
        <v>812</v>
      </c>
      <c r="H361" s="6" t="s">
        <v>479</v>
      </c>
      <c r="I361" s="5" t="s">
        <v>480</v>
      </c>
      <c r="J361" s="5" t="s">
        <v>26</v>
      </c>
      <c r="K361" s="7" t="n">
        <v>0.6</v>
      </c>
      <c r="L361" s="6"/>
      <c r="M361" s="4" t="s">
        <v>481</v>
      </c>
      <c r="N361" s="5" t="s">
        <v>813</v>
      </c>
    </row>
    <row r="362" customFormat="false" ht="35.05" hidden="false" customHeight="false" outlineLevel="0" collapsed="false">
      <c r="A362" s="4" t="s">
        <v>18</v>
      </c>
      <c r="B362" s="5" t="s">
        <v>811</v>
      </c>
      <c r="C362" s="6" t="s">
        <v>41</v>
      </c>
      <c r="D362" s="6"/>
      <c r="E362" s="4" t="s">
        <v>476</v>
      </c>
      <c r="F362" s="4" t="s">
        <v>413</v>
      </c>
      <c r="G362" s="6" t="s">
        <v>812</v>
      </c>
      <c r="H362" s="6" t="s">
        <v>483</v>
      </c>
      <c r="I362" s="5" t="s">
        <v>484</v>
      </c>
      <c r="J362" s="5" t="s">
        <v>26</v>
      </c>
      <c r="K362" s="7" t="n">
        <v>1</v>
      </c>
      <c r="L362" s="8" t="s">
        <v>485</v>
      </c>
      <c r="M362" s="4" t="s">
        <v>486</v>
      </c>
      <c r="N362" s="5" t="s">
        <v>813</v>
      </c>
    </row>
    <row r="363" customFormat="false" ht="23.85" hidden="false" customHeight="false" outlineLevel="0" collapsed="false">
      <c r="A363" s="4" t="s">
        <v>18</v>
      </c>
      <c r="B363" s="5" t="s">
        <v>814</v>
      </c>
      <c r="C363" s="6" t="s">
        <v>41</v>
      </c>
      <c r="D363" s="6"/>
      <c r="E363" s="4" t="s">
        <v>476</v>
      </c>
      <c r="F363" s="4" t="s">
        <v>815</v>
      </c>
      <c r="G363" s="6" t="s">
        <v>816</v>
      </c>
      <c r="H363" s="6" t="s">
        <v>479</v>
      </c>
      <c r="I363" s="5" t="s">
        <v>480</v>
      </c>
      <c r="J363" s="5" t="s">
        <v>26</v>
      </c>
      <c r="K363" s="7" t="n">
        <v>0.6</v>
      </c>
      <c r="L363" s="6"/>
      <c r="M363" s="4" t="s">
        <v>481</v>
      </c>
      <c r="N363" s="5" t="s">
        <v>817</v>
      </c>
    </row>
    <row r="364" customFormat="false" ht="35.05" hidden="false" customHeight="false" outlineLevel="0" collapsed="false">
      <c r="A364" s="4" t="s">
        <v>18</v>
      </c>
      <c r="B364" s="5" t="s">
        <v>814</v>
      </c>
      <c r="C364" s="6" t="s">
        <v>41</v>
      </c>
      <c r="D364" s="6"/>
      <c r="E364" s="4" t="s">
        <v>476</v>
      </c>
      <c r="F364" s="4" t="s">
        <v>815</v>
      </c>
      <c r="G364" s="6" t="s">
        <v>816</v>
      </c>
      <c r="H364" s="6" t="s">
        <v>483</v>
      </c>
      <c r="I364" s="5" t="s">
        <v>484</v>
      </c>
      <c r="J364" s="5" t="s">
        <v>26</v>
      </c>
      <c r="K364" s="7" t="n">
        <v>1</v>
      </c>
      <c r="L364" s="8" t="s">
        <v>485</v>
      </c>
      <c r="M364" s="4" t="s">
        <v>486</v>
      </c>
      <c r="N364" s="5" t="s">
        <v>817</v>
      </c>
    </row>
    <row r="365" customFormat="false" ht="23.85" hidden="false" customHeight="false" outlineLevel="0" collapsed="false">
      <c r="A365" s="4" t="s">
        <v>18</v>
      </c>
      <c r="B365" s="5" t="s">
        <v>818</v>
      </c>
      <c r="C365" s="6" t="s">
        <v>41</v>
      </c>
      <c r="D365" s="6"/>
      <c r="E365" s="4" t="s">
        <v>476</v>
      </c>
      <c r="F365" s="4" t="s">
        <v>223</v>
      </c>
      <c r="G365" s="6" t="s">
        <v>819</v>
      </c>
      <c r="H365" s="6" t="s">
        <v>479</v>
      </c>
      <c r="I365" s="5" t="s">
        <v>480</v>
      </c>
      <c r="J365" s="5" t="s">
        <v>26</v>
      </c>
      <c r="K365" s="7" t="n">
        <v>0.6</v>
      </c>
      <c r="L365" s="6"/>
      <c r="M365" s="4" t="s">
        <v>481</v>
      </c>
      <c r="N365" s="5" t="s">
        <v>820</v>
      </c>
    </row>
    <row r="366" customFormat="false" ht="23.85" hidden="false" customHeight="false" outlineLevel="0" collapsed="false">
      <c r="A366" s="4" t="s">
        <v>18</v>
      </c>
      <c r="B366" s="5" t="s">
        <v>818</v>
      </c>
      <c r="C366" s="6" t="s">
        <v>41</v>
      </c>
      <c r="D366" s="6"/>
      <c r="E366" s="4" t="s">
        <v>476</v>
      </c>
      <c r="F366" s="4" t="s">
        <v>42</v>
      </c>
      <c r="G366" s="6" t="s">
        <v>821</v>
      </c>
      <c r="H366" s="6" t="s">
        <v>479</v>
      </c>
      <c r="I366" s="5" t="s">
        <v>480</v>
      </c>
      <c r="J366" s="5" t="s">
        <v>26</v>
      </c>
      <c r="K366" s="7" t="n">
        <v>0.6</v>
      </c>
      <c r="L366" s="6"/>
      <c r="M366" s="4" t="s">
        <v>481</v>
      </c>
      <c r="N366" s="5" t="s">
        <v>820</v>
      </c>
    </row>
    <row r="367" customFormat="false" ht="23.85" hidden="false" customHeight="false" outlineLevel="0" collapsed="false">
      <c r="A367" s="4" t="s">
        <v>18</v>
      </c>
      <c r="B367" s="5" t="s">
        <v>818</v>
      </c>
      <c r="C367" s="6" t="s">
        <v>41</v>
      </c>
      <c r="D367" s="6"/>
      <c r="E367" s="4" t="s">
        <v>476</v>
      </c>
      <c r="F367" s="4" t="s">
        <v>107</v>
      </c>
      <c r="G367" s="6" t="s">
        <v>822</v>
      </c>
      <c r="H367" s="6" t="s">
        <v>479</v>
      </c>
      <c r="I367" s="5" t="s">
        <v>480</v>
      </c>
      <c r="J367" s="5" t="s">
        <v>26</v>
      </c>
      <c r="K367" s="7" t="n">
        <v>0.6</v>
      </c>
      <c r="L367" s="6"/>
      <c r="M367" s="4" t="s">
        <v>481</v>
      </c>
      <c r="N367" s="5" t="s">
        <v>820</v>
      </c>
    </row>
    <row r="368" customFormat="false" ht="23.85" hidden="false" customHeight="false" outlineLevel="0" collapsed="false">
      <c r="A368" s="4" t="s">
        <v>18</v>
      </c>
      <c r="B368" s="5" t="s">
        <v>818</v>
      </c>
      <c r="C368" s="6" t="s">
        <v>41</v>
      </c>
      <c r="D368" s="6"/>
      <c r="E368" s="4" t="s">
        <v>476</v>
      </c>
      <c r="F368" s="4" t="s">
        <v>823</v>
      </c>
      <c r="G368" s="6" t="s">
        <v>824</v>
      </c>
      <c r="H368" s="6" t="s">
        <v>479</v>
      </c>
      <c r="I368" s="5" t="s">
        <v>480</v>
      </c>
      <c r="J368" s="5" t="s">
        <v>26</v>
      </c>
      <c r="K368" s="7" t="n">
        <v>0.6</v>
      </c>
      <c r="L368" s="6"/>
      <c r="M368" s="4" t="s">
        <v>481</v>
      </c>
      <c r="N368" s="5" t="s">
        <v>820</v>
      </c>
    </row>
    <row r="369" customFormat="false" ht="23.85" hidden="false" customHeight="false" outlineLevel="0" collapsed="false">
      <c r="A369" s="4" t="s">
        <v>18</v>
      </c>
      <c r="B369" s="5" t="s">
        <v>818</v>
      </c>
      <c r="C369" s="6" t="s">
        <v>41</v>
      </c>
      <c r="D369" s="6"/>
      <c r="E369" s="4" t="s">
        <v>476</v>
      </c>
      <c r="F369" s="4" t="s">
        <v>825</v>
      </c>
      <c r="G369" s="6" t="s">
        <v>826</v>
      </c>
      <c r="H369" s="6" t="s">
        <v>479</v>
      </c>
      <c r="I369" s="5" t="s">
        <v>480</v>
      </c>
      <c r="J369" s="5" t="s">
        <v>26</v>
      </c>
      <c r="K369" s="7" t="n">
        <v>0.6</v>
      </c>
      <c r="L369" s="6"/>
      <c r="M369" s="4" t="s">
        <v>481</v>
      </c>
      <c r="N369" s="5" t="s">
        <v>820</v>
      </c>
    </row>
    <row r="370" customFormat="false" ht="23.85" hidden="false" customHeight="false" outlineLevel="0" collapsed="false">
      <c r="A370" s="4" t="s">
        <v>18</v>
      </c>
      <c r="B370" s="5" t="s">
        <v>818</v>
      </c>
      <c r="C370" s="6" t="s">
        <v>41</v>
      </c>
      <c r="D370" s="6"/>
      <c r="E370" s="4" t="s">
        <v>476</v>
      </c>
      <c r="F370" s="4" t="s">
        <v>827</v>
      </c>
      <c r="G370" s="6" t="s">
        <v>828</v>
      </c>
      <c r="H370" s="6" t="s">
        <v>479</v>
      </c>
      <c r="I370" s="5" t="s">
        <v>480</v>
      </c>
      <c r="J370" s="5" t="s">
        <v>26</v>
      </c>
      <c r="K370" s="7" t="n">
        <v>0.6</v>
      </c>
      <c r="L370" s="6"/>
      <c r="M370" s="4" t="s">
        <v>481</v>
      </c>
      <c r="N370" s="5" t="s">
        <v>820</v>
      </c>
    </row>
    <row r="371" customFormat="false" ht="23.85" hidden="false" customHeight="false" outlineLevel="0" collapsed="false">
      <c r="A371" s="4" t="s">
        <v>18</v>
      </c>
      <c r="B371" s="5" t="s">
        <v>818</v>
      </c>
      <c r="C371" s="6" t="s">
        <v>41</v>
      </c>
      <c r="D371" s="6"/>
      <c r="E371" s="4" t="s">
        <v>476</v>
      </c>
      <c r="F371" s="4" t="s">
        <v>829</v>
      </c>
      <c r="G371" s="6" t="s">
        <v>830</v>
      </c>
      <c r="H371" s="6" t="s">
        <v>479</v>
      </c>
      <c r="I371" s="5" t="s">
        <v>480</v>
      </c>
      <c r="J371" s="5" t="s">
        <v>26</v>
      </c>
      <c r="K371" s="7" t="n">
        <v>0.6</v>
      </c>
      <c r="L371" s="6"/>
      <c r="M371" s="4" t="s">
        <v>481</v>
      </c>
      <c r="N371" s="5" t="s">
        <v>820</v>
      </c>
    </row>
    <row r="372" customFormat="false" ht="23.85" hidden="false" customHeight="false" outlineLevel="0" collapsed="false">
      <c r="A372" s="4" t="s">
        <v>18</v>
      </c>
      <c r="B372" s="5" t="s">
        <v>818</v>
      </c>
      <c r="C372" s="6" t="s">
        <v>41</v>
      </c>
      <c r="D372" s="6"/>
      <c r="E372" s="4" t="s">
        <v>476</v>
      </c>
      <c r="F372" s="4" t="s">
        <v>831</v>
      </c>
      <c r="G372" s="6" t="s">
        <v>832</v>
      </c>
      <c r="H372" s="6" t="s">
        <v>479</v>
      </c>
      <c r="I372" s="5" t="s">
        <v>480</v>
      </c>
      <c r="J372" s="5" t="s">
        <v>26</v>
      </c>
      <c r="K372" s="7" t="n">
        <v>0.6</v>
      </c>
      <c r="L372" s="6"/>
      <c r="M372" s="4" t="s">
        <v>481</v>
      </c>
      <c r="N372" s="5" t="s">
        <v>820</v>
      </c>
    </row>
    <row r="373" customFormat="false" ht="23.85" hidden="false" customHeight="false" outlineLevel="0" collapsed="false">
      <c r="A373" s="4" t="s">
        <v>18</v>
      </c>
      <c r="B373" s="5" t="s">
        <v>818</v>
      </c>
      <c r="C373" s="6" t="s">
        <v>41</v>
      </c>
      <c r="D373" s="6"/>
      <c r="E373" s="4" t="s">
        <v>476</v>
      </c>
      <c r="F373" s="4" t="s">
        <v>833</v>
      </c>
      <c r="G373" s="6" t="s">
        <v>834</v>
      </c>
      <c r="H373" s="6" t="s">
        <v>479</v>
      </c>
      <c r="I373" s="5" t="s">
        <v>480</v>
      </c>
      <c r="J373" s="5" t="s">
        <v>26</v>
      </c>
      <c r="K373" s="7" t="n">
        <v>0.6</v>
      </c>
      <c r="L373" s="6"/>
      <c r="M373" s="4" t="s">
        <v>481</v>
      </c>
      <c r="N373" s="5" t="s">
        <v>820</v>
      </c>
    </row>
    <row r="374" customFormat="false" ht="23.85" hidden="false" customHeight="false" outlineLevel="0" collapsed="false">
      <c r="A374" s="4" t="s">
        <v>18</v>
      </c>
      <c r="B374" s="5" t="s">
        <v>818</v>
      </c>
      <c r="C374" s="6" t="s">
        <v>41</v>
      </c>
      <c r="D374" s="6"/>
      <c r="E374" s="4" t="s">
        <v>476</v>
      </c>
      <c r="F374" s="4" t="s">
        <v>488</v>
      </c>
      <c r="G374" s="6" t="s">
        <v>835</v>
      </c>
      <c r="H374" s="6" t="s">
        <v>479</v>
      </c>
      <c r="I374" s="5" t="s">
        <v>480</v>
      </c>
      <c r="J374" s="5" t="s">
        <v>26</v>
      </c>
      <c r="K374" s="7" t="n">
        <v>0.6</v>
      </c>
      <c r="L374" s="6"/>
      <c r="M374" s="4" t="s">
        <v>481</v>
      </c>
      <c r="N374" s="5" t="s">
        <v>820</v>
      </c>
    </row>
    <row r="375" customFormat="false" ht="35.05" hidden="false" customHeight="false" outlineLevel="0" collapsed="false">
      <c r="A375" s="4" t="s">
        <v>18</v>
      </c>
      <c r="B375" s="5" t="s">
        <v>818</v>
      </c>
      <c r="C375" s="6" t="s">
        <v>41</v>
      </c>
      <c r="D375" s="6"/>
      <c r="E375" s="4" t="s">
        <v>476</v>
      </c>
      <c r="F375" s="4" t="s">
        <v>223</v>
      </c>
      <c r="G375" s="6" t="s">
        <v>819</v>
      </c>
      <c r="H375" s="6" t="s">
        <v>483</v>
      </c>
      <c r="I375" s="5" t="s">
        <v>484</v>
      </c>
      <c r="J375" s="5" t="s">
        <v>26</v>
      </c>
      <c r="K375" s="7" t="n">
        <v>1</v>
      </c>
      <c r="L375" s="8" t="s">
        <v>485</v>
      </c>
      <c r="M375" s="4" t="s">
        <v>486</v>
      </c>
      <c r="N375" s="5" t="s">
        <v>820</v>
      </c>
    </row>
    <row r="376" customFormat="false" ht="35.05" hidden="false" customHeight="false" outlineLevel="0" collapsed="false">
      <c r="A376" s="4" t="s">
        <v>18</v>
      </c>
      <c r="B376" s="5" t="s">
        <v>818</v>
      </c>
      <c r="C376" s="6" t="s">
        <v>41</v>
      </c>
      <c r="D376" s="6"/>
      <c r="E376" s="4" t="s">
        <v>476</v>
      </c>
      <c r="F376" s="4" t="s">
        <v>42</v>
      </c>
      <c r="G376" s="6" t="s">
        <v>821</v>
      </c>
      <c r="H376" s="6" t="s">
        <v>483</v>
      </c>
      <c r="I376" s="5" t="s">
        <v>484</v>
      </c>
      <c r="J376" s="5" t="s">
        <v>26</v>
      </c>
      <c r="K376" s="7" t="n">
        <v>1</v>
      </c>
      <c r="L376" s="8" t="s">
        <v>485</v>
      </c>
      <c r="M376" s="4" t="s">
        <v>486</v>
      </c>
      <c r="N376" s="5" t="s">
        <v>820</v>
      </c>
    </row>
    <row r="377" customFormat="false" ht="35.05" hidden="false" customHeight="false" outlineLevel="0" collapsed="false">
      <c r="A377" s="4" t="s">
        <v>18</v>
      </c>
      <c r="B377" s="5" t="s">
        <v>818</v>
      </c>
      <c r="C377" s="6" t="s">
        <v>41</v>
      </c>
      <c r="D377" s="6"/>
      <c r="E377" s="4" t="s">
        <v>476</v>
      </c>
      <c r="F377" s="4" t="s">
        <v>107</v>
      </c>
      <c r="G377" s="6" t="s">
        <v>822</v>
      </c>
      <c r="H377" s="6" t="s">
        <v>483</v>
      </c>
      <c r="I377" s="5" t="s">
        <v>484</v>
      </c>
      <c r="J377" s="5" t="s">
        <v>26</v>
      </c>
      <c r="K377" s="7" t="n">
        <v>1</v>
      </c>
      <c r="L377" s="8" t="s">
        <v>485</v>
      </c>
      <c r="M377" s="4" t="s">
        <v>486</v>
      </c>
      <c r="N377" s="5" t="s">
        <v>820</v>
      </c>
    </row>
    <row r="378" customFormat="false" ht="35.05" hidden="false" customHeight="false" outlineLevel="0" collapsed="false">
      <c r="A378" s="4" t="s">
        <v>18</v>
      </c>
      <c r="B378" s="5" t="s">
        <v>818</v>
      </c>
      <c r="C378" s="6" t="s">
        <v>41</v>
      </c>
      <c r="D378" s="6"/>
      <c r="E378" s="4" t="s">
        <v>476</v>
      </c>
      <c r="F378" s="4" t="s">
        <v>823</v>
      </c>
      <c r="G378" s="6" t="s">
        <v>824</v>
      </c>
      <c r="H378" s="6" t="s">
        <v>483</v>
      </c>
      <c r="I378" s="5" t="s">
        <v>484</v>
      </c>
      <c r="J378" s="5" t="s">
        <v>26</v>
      </c>
      <c r="K378" s="7" t="n">
        <v>1</v>
      </c>
      <c r="L378" s="8" t="s">
        <v>485</v>
      </c>
      <c r="M378" s="4" t="s">
        <v>486</v>
      </c>
      <c r="N378" s="5" t="s">
        <v>820</v>
      </c>
    </row>
    <row r="379" customFormat="false" ht="35.05" hidden="false" customHeight="false" outlineLevel="0" collapsed="false">
      <c r="A379" s="4" t="s">
        <v>18</v>
      </c>
      <c r="B379" s="5" t="s">
        <v>818</v>
      </c>
      <c r="C379" s="6" t="s">
        <v>41</v>
      </c>
      <c r="D379" s="6"/>
      <c r="E379" s="4" t="s">
        <v>476</v>
      </c>
      <c r="F379" s="4" t="s">
        <v>825</v>
      </c>
      <c r="G379" s="6" t="s">
        <v>826</v>
      </c>
      <c r="H379" s="6" t="s">
        <v>483</v>
      </c>
      <c r="I379" s="5" t="s">
        <v>484</v>
      </c>
      <c r="J379" s="5" t="s">
        <v>26</v>
      </c>
      <c r="K379" s="7" t="n">
        <v>1</v>
      </c>
      <c r="L379" s="8" t="s">
        <v>485</v>
      </c>
      <c r="M379" s="4" t="s">
        <v>486</v>
      </c>
      <c r="N379" s="5" t="s">
        <v>820</v>
      </c>
    </row>
    <row r="380" customFormat="false" ht="35.05" hidden="false" customHeight="false" outlineLevel="0" collapsed="false">
      <c r="A380" s="4" t="s">
        <v>18</v>
      </c>
      <c r="B380" s="5" t="s">
        <v>818</v>
      </c>
      <c r="C380" s="6" t="s">
        <v>41</v>
      </c>
      <c r="D380" s="6"/>
      <c r="E380" s="4" t="s">
        <v>476</v>
      </c>
      <c r="F380" s="4" t="s">
        <v>827</v>
      </c>
      <c r="G380" s="6" t="s">
        <v>828</v>
      </c>
      <c r="H380" s="6" t="s">
        <v>483</v>
      </c>
      <c r="I380" s="5" t="s">
        <v>484</v>
      </c>
      <c r="J380" s="5" t="s">
        <v>26</v>
      </c>
      <c r="K380" s="7" t="n">
        <v>1</v>
      </c>
      <c r="L380" s="8" t="s">
        <v>485</v>
      </c>
      <c r="M380" s="4" t="s">
        <v>486</v>
      </c>
      <c r="N380" s="5" t="s">
        <v>820</v>
      </c>
    </row>
    <row r="381" customFormat="false" ht="35.05" hidden="false" customHeight="false" outlineLevel="0" collapsed="false">
      <c r="A381" s="4" t="s">
        <v>18</v>
      </c>
      <c r="B381" s="5" t="s">
        <v>818</v>
      </c>
      <c r="C381" s="6" t="s">
        <v>41</v>
      </c>
      <c r="D381" s="6"/>
      <c r="E381" s="4" t="s">
        <v>476</v>
      </c>
      <c r="F381" s="4" t="s">
        <v>829</v>
      </c>
      <c r="G381" s="6" t="s">
        <v>830</v>
      </c>
      <c r="H381" s="6" t="s">
        <v>483</v>
      </c>
      <c r="I381" s="5" t="s">
        <v>484</v>
      </c>
      <c r="J381" s="5" t="s">
        <v>26</v>
      </c>
      <c r="K381" s="7" t="n">
        <v>1</v>
      </c>
      <c r="L381" s="8" t="s">
        <v>485</v>
      </c>
      <c r="M381" s="4" t="s">
        <v>486</v>
      </c>
      <c r="N381" s="5" t="s">
        <v>820</v>
      </c>
    </row>
    <row r="382" customFormat="false" ht="35.05" hidden="false" customHeight="false" outlineLevel="0" collapsed="false">
      <c r="A382" s="4" t="s">
        <v>18</v>
      </c>
      <c r="B382" s="5" t="s">
        <v>818</v>
      </c>
      <c r="C382" s="6" t="s">
        <v>41</v>
      </c>
      <c r="D382" s="6"/>
      <c r="E382" s="4" t="s">
        <v>476</v>
      </c>
      <c r="F382" s="4" t="s">
        <v>831</v>
      </c>
      <c r="G382" s="6" t="s">
        <v>832</v>
      </c>
      <c r="H382" s="6" t="s">
        <v>483</v>
      </c>
      <c r="I382" s="5" t="s">
        <v>484</v>
      </c>
      <c r="J382" s="5" t="s">
        <v>26</v>
      </c>
      <c r="K382" s="7" t="n">
        <v>1</v>
      </c>
      <c r="L382" s="8" t="s">
        <v>485</v>
      </c>
      <c r="M382" s="4" t="s">
        <v>486</v>
      </c>
      <c r="N382" s="5" t="s">
        <v>820</v>
      </c>
    </row>
    <row r="383" customFormat="false" ht="35.05" hidden="false" customHeight="false" outlineLevel="0" collapsed="false">
      <c r="A383" s="4" t="s">
        <v>18</v>
      </c>
      <c r="B383" s="5" t="s">
        <v>818</v>
      </c>
      <c r="C383" s="6" t="s">
        <v>41</v>
      </c>
      <c r="D383" s="6"/>
      <c r="E383" s="4" t="s">
        <v>476</v>
      </c>
      <c r="F383" s="4" t="s">
        <v>833</v>
      </c>
      <c r="G383" s="6" t="s">
        <v>834</v>
      </c>
      <c r="H383" s="6" t="s">
        <v>483</v>
      </c>
      <c r="I383" s="5" t="s">
        <v>484</v>
      </c>
      <c r="J383" s="5" t="s">
        <v>26</v>
      </c>
      <c r="K383" s="7" t="n">
        <v>1</v>
      </c>
      <c r="L383" s="8" t="s">
        <v>485</v>
      </c>
      <c r="M383" s="4" t="s">
        <v>486</v>
      </c>
      <c r="N383" s="5" t="s">
        <v>820</v>
      </c>
    </row>
    <row r="384" customFormat="false" ht="35.05" hidden="false" customHeight="false" outlineLevel="0" collapsed="false">
      <c r="A384" s="4" t="s">
        <v>18</v>
      </c>
      <c r="B384" s="5" t="s">
        <v>818</v>
      </c>
      <c r="C384" s="6" t="s">
        <v>41</v>
      </c>
      <c r="D384" s="6"/>
      <c r="E384" s="4" t="s">
        <v>476</v>
      </c>
      <c r="F384" s="4" t="s">
        <v>488</v>
      </c>
      <c r="G384" s="6" t="s">
        <v>835</v>
      </c>
      <c r="H384" s="6" t="s">
        <v>483</v>
      </c>
      <c r="I384" s="5" t="s">
        <v>484</v>
      </c>
      <c r="J384" s="5" t="s">
        <v>26</v>
      </c>
      <c r="K384" s="7" t="n">
        <v>1</v>
      </c>
      <c r="L384" s="8" t="s">
        <v>485</v>
      </c>
      <c r="M384" s="4" t="s">
        <v>486</v>
      </c>
      <c r="N384" s="5" t="s">
        <v>820</v>
      </c>
    </row>
    <row r="385" customFormat="false" ht="23.85" hidden="false" customHeight="false" outlineLevel="0" collapsed="false">
      <c r="A385" s="4" t="s">
        <v>18</v>
      </c>
      <c r="B385" s="5" t="s">
        <v>836</v>
      </c>
      <c r="C385" s="6" t="s">
        <v>41</v>
      </c>
      <c r="D385" s="6"/>
      <c r="E385" s="4" t="s">
        <v>476</v>
      </c>
      <c r="F385" s="4" t="s">
        <v>334</v>
      </c>
      <c r="G385" s="6" t="s">
        <v>837</v>
      </c>
      <c r="H385" s="6" t="s">
        <v>479</v>
      </c>
      <c r="I385" s="5" t="s">
        <v>480</v>
      </c>
      <c r="J385" s="5" t="s">
        <v>26</v>
      </c>
      <c r="K385" s="7" t="n">
        <v>0.6</v>
      </c>
      <c r="L385" s="6"/>
      <c r="M385" s="4" t="s">
        <v>481</v>
      </c>
      <c r="N385" s="5" t="s">
        <v>838</v>
      </c>
    </row>
    <row r="386" customFormat="false" ht="23.85" hidden="false" customHeight="false" outlineLevel="0" collapsed="false">
      <c r="A386" s="4" t="s">
        <v>18</v>
      </c>
      <c r="B386" s="5" t="s">
        <v>836</v>
      </c>
      <c r="C386" s="6" t="s">
        <v>41</v>
      </c>
      <c r="D386" s="6"/>
      <c r="E386" s="4" t="s">
        <v>476</v>
      </c>
      <c r="F386" s="4" t="s">
        <v>839</v>
      </c>
      <c r="G386" s="6" t="s">
        <v>840</v>
      </c>
      <c r="H386" s="6" t="s">
        <v>479</v>
      </c>
      <c r="I386" s="5" t="s">
        <v>480</v>
      </c>
      <c r="J386" s="5" t="s">
        <v>26</v>
      </c>
      <c r="K386" s="7" t="n">
        <v>0.6</v>
      </c>
      <c r="L386" s="6"/>
      <c r="M386" s="4" t="s">
        <v>481</v>
      </c>
      <c r="N386" s="5" t="s">
        <v>838</v>
      </c>
    </row>
    <row r="387" customFormat="false" ht="35.05" hidden="false" customHeight="false" outlineLevel="0" collapsed="false">
      <c r="A387" s="4" t="s">
        <v>18</v>
      </c>
      <c r="B387" s="5" t="s">
        <v>836</v>
      </c>
      <c r="C387" s="6" t="s">
        <v>41</v>
      </c>
      <c r="D387" s="6"/>
      <c r="E387" s="4" t="s">
        <v>476</v>
      </c>
      <c r="F387" s="4" t="s">
        <v>334</v>
      </c>
      <c r="G387" s="6" t="s">
        <v>837</v>
      </c>
      <c r="H387" s="6" t="s">
        <v>483</v>
      </c>
      <c r="I387" s="5" t="s">
        <v>484</v>
      </c>
      <c r="J387" s="5" t="s">
        <v>26</v>
      </c>
      <c r="K387" s="7" t="n">
        <v>1</v>
      </c>
      <c r="L387" s="8" t="s">
        <v>485</v>
      </c>
      <c r="M387" s="4" t="s">
        <v>486</v>
      </c>
      <c r="N387" s="5" t="s">
        <v>838</v>
      </c>
    </row>
    <row r="388" customFormat="false" ht="35.05" hidden="false" customHeight="false" outlineLevel="0" collapsed="false">
      <c r="A388" s="4" t="s">
        <v>18</v>
      </c>
      <c r="B388" s="5" t="s">
        <v>836</v>
      </c>
      <c r="C388" s="6" t="s">
        <v>41</v>
      </c>
      <c r="D388" s="6"/>
      <c r="E388" s="4" t="s">
        <v>476</v>
      </c>
      <c r="F388" s="4" t="s">
        <v>839</v>
      </c>
      <c r="G388" s="6" t="s">
        <v>840</v>
      </c>
      <c r="H388" s="6" t="s">
        <v>483</v>
      </c>
      <c r="I388" s="5" t="s">
        <v>484</v>
      </c>
      <c r="J388" s="5" t="s">
        <v>26</v>
      </c>
      <c r="K388" s="7" t="n">
        <v>1</v>
      </c>
      <c r="L388" s="8" t="s">
        <v>485</v>
      </c>
      <c r="M388" s="4" t="s">
        <v>486</v>
      </c>
      <c r="N388" s="5" t="s">
        <v>838</v>
      </c>
    </row>
    <row r="389" customFormat="false" ht="23.85" hidden="false" customHeight="false" outlineLevel="0" collapsed="false">
      <c r="A389" s="4" t="s">
        <v>18</v>
      </c>
      <c r="B389" s="5" t="s">
        <v>841</v>
      </c>
      <c r="C389" s="6" t="s">
        <v>41</v>
      </c>
      <c r="D389" s="6"/>
      <c r="E389" s="4" t="s">
        <v>476</v>
      </c>
      <c r="F389" s="4" t="s">
        <v>842</v>
      </c>
      <c r="G389" s="6" t="s">
        <v>843</v>
      </c>
      <c r="H389" s="6" t="s">
        <v>479</v>
      </c>
      <c r="I389" s="5" t="s">
        <v>480</v>
      </c>
      <c r="J389" s="5" t="s">
        <v>26</v>
      </c>
      <c r="K389" s="7" t="n">
        <v>0.6</v>
      </c>
      <c r="L389" s="6"/>
      <c r="M389" s="4" t="s">
        <v>481</v>
      </c>
      <c r="N389" s="5" t="s">
        <v>844</v>
      </c>
    </row>
    <row r="390" customFormat="false" ht="23.85" hidden="false" customHeight="false" outlineLevel="0" collapsed="false">
      <c r="A390" s="4" t="s">
        <v>18</v>
      </c>
      <c r="B390" s="5" t="s">
        <v>841</v>
      </c>
      <c r="C390" s="6" t="s">
        <v>41</v>
      </c>
      <c r="D390" s="6"/>
      <c r="E390" s="4" t="s">
        <v>476</v>
      </c>
      <c r="F390" s="4" t="s">
        <v>845</v>
      </c>
      <c r="G390" s="6" t="s">
        <v>846</v>
      </c>
      <c r="H390" s="6" t="s">
        <v>479</v>
      </c>
      <c r="I390" s="5" t="s">
        <v>480</v>
      </c>
      <c r="J390" s="5" t="s">
        <v>26</v>
      </c>
      <c r="K390" s="7" t="n">
        <v>0.6</v>
      </c>
      <c r="L390" s="6"/>
      <c r="M390" s="4" t="s">
        <v>481</v>
      </c>
      <c r="N390" s="5" t="s">
        <v>844</v>
      </c>
    </row>
    <row r="391" customFormat="false" ht="35.05" hidden="false" customHeight="false" outlineLevel="0" collapsed="false">
      <c r="A391" s="4" t="s">
        <v>18</v>
      </c>
      <c r="B391" s="5" t="s">
        <v>841</v>
      </c>
      <c r="C391" s="6" t="s">
        <v>41</v>
      </c>
      <c r="D391" s="6"/>
      <c r="E391" s="4" t="s">
        <v>476</v>
      </c>
      <c r="F391" s="4" t="s">
        <v>842</v>
      </c>
      <c r="G391" s="6" t="s">
        <v>843</v>
      </c>
      <c r="H391" s="6" t="s">
        <v>483</v>
      </c>
      <c r="I391" s="5" t="s">
        <v>484</v>
      </c>
      <c r="J391" s="5" t="s">
        <v>26</v>
      </c>
      <c r="K391" s="7" t="n">
        <v>1</v>
      </c>
      <c r="L391" s="8" t="s">
        <v>485</v>
      </c>
      <c r="M391" s="4" t="s">
        <v>486</v>
      </c>
      <c r="N391" s="5" t="s">
        <v>844</v>
      </c>
    </row>
    <row r="392" customFormat="false" ht="35.05" hidden="false" customHeight="false" outlineLevel="0" collapsed="false">
      <c r="A392" s="4" t="s">
        <v>18</v>
      </c>
      <c r="B392" s="5" t="s">
        <v>841</v>
      </c>
      <c r="C392" s="6" t="s">
        <v>41</v>
      </c>
      <c r="D392" s="6"/>
      <c r="E392" s="4" t="s">
        <v>476</v>
      </c>
      <c r="F392" s="4" t="s">
        <v>845</v>
      </c>
      <c r="G392" s="6" t="s">
        <v>846</v>
      </c>
      <c r="H392" s="6" t="s">
        <v>483</v>
      </c>
      <c r="I392" s="5" t="s">
        <v>484</v>
      </c>
      <c r="J392" s="5" t="s">
        <v>26</v>
      </c>
      <c r="K392" s="7" t="n">
        <v>1</v>
      </c>
      <c r="L392" s="8" t="s">
        <v>485</v>
      </c>
      <c r="M392" s="4" t="s">
        <v>486</v>
      </c>
      <c r="N392" s="5" t="s">
        <v>844</v>
      </c>
    </row>
    <row r="393" customFormat="false" ht="23.85" hidden="false" customHeight="false" outlineLevel="0" collapsed="false">
      <c r="A393" s="4" t="s">
        <v>18</v>
      </c>
      <c r="B393" s="5" t="s">
        <v>847</v>
      </c>
      <c r="C393" s="6" t="s">
        <v>41</v>
      </c>
      <c r="D393" s="6"/>
      <c r="E393" s="4" t="s">
        <v>476</v>
      </c>
      <c r="F393" s="4" t="s">
        <v>848</v>
      </c>
      <c r="G393" s="6" t="s">
        <v>849</v>
      </c>
      <c r="H393" s="6" t="s">
        <v>479</v>
      </c>
      <c r="I393" s="5" t="s">
        <v>480</v>
      </c>
      <c r="J393" s="5" t="s">
        <v>26</v>
      </c>
      <c r="K393" s="7" t="n">
        <v>0.6</v>
      </c>
      <c r="L393" s="6"/>
      <c r="M393" s="4" t="s">
        <v>481</v>
      </c>
      <c r="N393" s="5" t="s">
        <v>850</v>
      </c>
    </row>
    <row r="394" customFormat="false" ht="35.05" hidden="false" customHeight="false" outlineLevel="0" collapsed="false">
      <c r="A394" s="4" t="s">
        <v>18</v>
      </c>
      <c r="B394" s="5" t="s">
        <v>847</v>
      </c>
      <c r="C394" s="6" t="s">
        <v>41</v>
      </c>
      <c r="D394" s="6"/>
      <c r="E394" s="4" t="s">
        <v>476</v>
      </c>
      <c r="F394" s="4" t="s">
        <v>848</v>
      </c>
      <c r="G394" s="6" t="s">
        <v>849</v>
      </c>
      <c r="H394" s="6" t="s">
        <v>483</v>
      </c>
      <c r="I394" s="5" t="s">
        <v>484</v>
      </c>
      <c r="J394" s="5" t="s">
        <v>26</v>
      </c>
      <c r="K394" s="7" t="n">
        <v>1</v>
      </c>
      <c r="L394" s="8" t="s">
        <v>485</v>
      </c>
      <c r="M394" s="4" t="s">
        <v>486</v>
      </c>
      <c r="N394" s="5" t="s">
        <v>850</v>
      </c>
    </row>
    <row r="395" customFormat="false" ht="23.85" hidden="false" customHeight="false" outlineLevel="0" collapsed="false">
      <c r="A395" s="4" t="s">
        <v>18</v>
      </c>
      <c r="B395" s="5" t="s">
        <v>851</v>
      </c>
      <c r="C395" s="6" t="s">
        <v>41</v>
      </c>
      <c r="D395" s="6"/>
      <c r="E395" s="4" t="s">
        <v>476</v>
      </c>
      <c r="F395" s="4" t="s">
        <v>48</v>
      </c>
      <c r="G395" s="6" t="s">
        <v>852</v>
      </c>
      <c r="H395" s="6" t="s">
        <v>479</v>
      </c>
      <c r="I395" s="5" t="s">
        <v>480</v>
      </c>
      <c r="J395" s="5" t="s">
        <v>26</v>
      </c>
      <c r="K395" s="7" t="n">
        <v>0.6</v>
      </c>
      <c r="L395" s="6"/>
      <c r="M395" s="4" t="s">
        <v>481</v>
      </c>
      <c r="N395" s="5" t="s">
        <v>853</v>
      </c>
    </row>
    <row r="396" customFormat="false" ht="35.05" hidden="false" customHeight="false" outlineLevel="0" collapsed="false">
      <c r="A396" s="4" t="s">
        <v>18</v>
      </c>
      <c r="B396" s="5" t="s">
        <v>851</v>
      </c>
      <c r="C396" s="6" t="s">
        <v>41</v>
      </c>
      <c r="D396" s="6"/>
      <c r="E396" s="4" t="s">
        <v>476</v>
      </c>
      <c r="F396" s="4" t="s">
        <v>48</v>
      </c>
      <c r="G396" s="6" t="s">
        <v>852</v>
      </c>
      <c r="H396" s="6" t="s">
        <v>483</v>
      </c>
      <c r="I396" s="5" t="s">
        <v>484</v>
      </c>
      <c r="J396" s="5" t="s">
        <v>26</v>
      </c>
      <c r="K396" s="7" t="n">
        <v>1</v>
      </c>
      <c r="L396" s="8" t="s">
        <v>485</v>
      </c>
      <c r="M396" s="4" t="s">
        <v>486</v>
      </c>
      <c r="N396" s="5" t="s">
        <v>853</v>
      </c>
    </row>
    <row r="397" customFormat="false" ht="91" hidden="false" customHeight="false" outlineLevel="0" collapsed="false">
      <c r="A397" s="4" t="s">
        <v>18</v>
      </c>
      <c r="B397" s="5" t="s">
        <v>854</v>
      </c>
      <c r="C397" s="6" t="s">
        <v>855</v>
      </c>
      <c r="D397" s="6"/>
      <c r="E397" s="4" t="s">
        <v>21</v>
      </c>
      <c r="F397" s="4" t="s">
        <v>89</v>
      </c>
      <c r="G397" s="6" t="s">
        <v>90</v>
      </c>
      <c r="H397" s="6" t="s">
        <v>24</v>
      </c>
      <c r="I397" s="5" t="s">
        <v>25</v>
      </c>
      <c r="J397" s="5" t="s">
        <v>26</v>
      </c>
      <c r="K397" s="7" t="n">
        <v>0.6</v>
      </c>
      <c r="L397" s="6"/>
      <c r="M397" s="4" t="s">
        <v>27</v>
      </c>
      <c r="N397" s="5" t="s">
        <v>856</v>
      </c>
    </row>
    <row r="398" customFormat="false" ht="247.75" hidden="false" customHeight="false" outlineLevel="0" collapsed="false">
      <c r="A398" s="4" t="s">
        <v>18</v>
      </c>
      <c r="B398" s="5" t="s">
        <v>854</v>
      </c>
      <c r="C398" s="6" t="s">
        <v>855</v>
      </c>
      <c r="D398" s="6"/>
      <c r="E398" s="4" t="s">
        <v>21</v>
      </c>
      <c r="F398" s="4" t="s">
        <v>239</v>
      </c>
      <c r="G398" s="6" t="s">
        <v>240</v>
      </c>
      <c r="H398" s="6" t="s">
        <v>24</v>
      </c>
      <c r="I398" s="5" t="s">
        <v>25</v>
      </c>
      <c r="J398" s="5" t="s">
        <v>26</v>
      </c>
      <c r="K398" s="7" t="n">
        <v>0.6</v>
      </c>
      <c r="L398" s="6"/>
      <c r="M398" s="4" t="s">
        <v>27</v>
      </c>
      <c r="N398" s="5" t="s">
        <v>856</v>
      </c>
    </row>
    <row r="399" customFormat="false" ht="23.85" hidden="false" customHeight="false" outlineLevel="0" collapsed="false">
      <c r="A399" s="4" t="s">
        <v>18</v>
      </c>
      <c r="B399" s="5" t="s">
        <v>857</v>
      </c>
      <c r="C399" s="6" t="s">
        <v>41</v>
      </c>
      <c r="D399" s="6"/>
      <c r="E399" s="4" t="s">
        <v>476</v>
      </c>
      <c r="F399" s="4" t="s">
        <v>858</v>
      </c>
      <c r="G399" s="6" t="s">
        <v>859</v>
      </c>
      <c r="H399" s="6" t="s">
        <v>479</v>
      </c>
      <c r="I399" s="5" t="s">
        <v>480</v>
      </c>
      <c r="J399" s="5" t="s">
        <v>26</v>
      </c>
      <c r="K399" s="7" t="n">
        <v>0.6</v>
      </c>
      <c r="L399" s="6"/>
      <c r="M399" s="4" t="s">
        <v>481</v>
      </c>
      <c r="N399" s="5" t="s">
        <v>860</v>
      </c>
    </row>
    <row r="400" customFormat="false" ht="35.05" hidden="false" customHeight="false" outlineLevel="0" collapsed="false">
      <c r="A400" s="4" t="s">
        <v>18</v>
      </c>
      <c r="B400" s="5" t="s">
        <v>857</v>
      </c>
      <c r="C400" s="6" t="s">
        <v>41</v>
      </c>
      <c r="D400" s="6"/>
      <c r="E400" s="4" t="s">
        <v>476</v>
      </c>
      <c r="F400" s="4" t="s">
        <v>858</v>
      </c>
      <c r="G400" s="6" t="s">
        <v>859</v>
      </c>
      <c r="H400" s="6" t="s">
        <v>483</v>
      </c>
      <c r="I400" s="5" t="s">
        <v>484</v>
      </c>
      <c r="J400" s="5" t="s">
        <v>26</v>
      </c>
      <c r="K400" s="7" t="n">
        <v>1</v>
      </c>
      <c r="L400" s="8" t="s">
        <v>485</v>
      </c>
      <c r="M400" s="4" t="s">
        <v>486</v>
      </c>
      <c r="N400" s="5" t="s">
        <v>860</v>
      </c>
    </row>
    <row r="401" customFormat="false" ht="23.85" hidden="false" customHeight="false" outlineLevel="0" collapsed="false">
      <c r="A401" s="4" t="s">
        <v>18</v>
      </c>
      <c r="B401" s="5" t="s">
        <v>861</v>
      </c>
      <c r="C401" s="6" t="s">
        <v>41</v>
      </c>
      <c r="D401" s="6"/>
      <c r="E401" s="4" t="s">
        <v>476</v>
      </c>
      <c r="F401" s="4" t="s">
        <v>858</v>
      </c>
      <c r="G401" s="6" t="s">
        <v>859</v>
      </c>
      <c r="H401" s="6" t="s">
        <v>479</v>
      </c>
      <c r="I401" s="5" t="s">
        <v>480</v>
      </c>
      <c r="J401" s="5" t="s">
        <v>26</v>
      </c>
      <c r="K401" s="7" t="n">
        <v>0.6</v>
      </c>
      <c r="L401" s="6"/>
      <c r="M401" s="4" t="s">
        <v>481</v>
      </c>
      <c r="N401" s="5" t="s">
        <v>862</v>
      </c>
    </row>
    <row r="402" customFormat="false" ht="35.05" hidden="false" customHeight="false" outlineLevel="0" collapsed="false">
      <c r="A402" s="4" t="s">
        <v>18</v>
      </c>
      <c r="B402" s="5" t="s">
        <v>861</v>
      </c>
      <c r="C402" s="6" t="s">
        <v>41</v>
      </c>
      <c r="D402" s="6"/>
      <c r="E402" s="4" t="s">
        <v>476</v>
      </c>
      <c r="F402" s="4" t="s">
        <v>858</v>
      </c>
      <c r="G402" s="6" t="s">
        <v>859</v>
      </c>
      <c r="H402" s="6" t="s">
        <v>483</v>
      </c>
      <c r="I402" s="5" t="s">
        <v>484</v>
      </c>
      <c r="J402" s="5" t="s">
        <v>26</v>
      </c>
      <c r="K402" s="7" t="n">
        <v>1</v>
      </c>
      <c r="L402" s="8" t="s">
        <v>485</v>
      </c>
      <c r="M402" s="4" t="s">
        <v>486</v>
      </c>
      <c r="N402" s="5" t="s">
        <v>862</v>
      </c>
    </row>
    <row r="403" customFormat="false" ht="23.85" hidden="false" customHeight="false" outlineLevel="0" collapsed="false">
      <c r="A403" s="4" t="s">
        <v>18</v>
      </c>
      <c r="B403" s="5" t="s">
        <v>863</v>
      </c>
      <c r="C403" s="6" t="s">
        <v>41</v>
      </c>
      <c r="D403" s="6"/>
      <c r="E403" s="4" t="s">
        <v>476</v>
      </c>
      <c r="F403" s="4" t="s">
        <v>526</v>
      </c>
      <c r="G403" s="6" t="s">
        <v>864</v>
      </c>
      <c r="H403" s="6" t="s">
        <v>479</v>
      </c>
      <c r="I403" s="5" t="s">
        <v>480</v>
      </c>
      <c r="J403" s="5" t="s">
        <v>26</v>
      </c>
      <c r="K403" s="7" t="n">
        <v>0.6</v>
      </c>
      <c r="L403" s="6"/>
      <c r="M403" s="4" t="s">
        <v>481</v>
      </c>
      <c r="N403" s="5" t="s">
        <v>865</v>
      </c>
    </row>
    <row r="404" customFormat="false" ht="35.05" hidden="false" customHeight="false" outlineLevel="0" collapsed="false">
      <c r="A404" s="4" t="s">
        <v>18</v>
      </c>
      <c r="B404" s="5" t="s">
        <v>863</v>
      </c>
      <c r="C404" s="6" t="s">
        <v>41</v>
      </c>
      <c r="D404" s="6"/>
      <c r="E404" s="4" t="s">
        <v>476</v>
      </c>
      <c r="F404" s="4" t="s">
        <v>526</v>
      </c>
      <c r="G404" s="6" t="s">
        <v>864</v>
      </c>
      <c r="H404" s="6" t="s">
        <v>483</v>
      </c>
      <c r="I404" s="5" t="s">
        <v>484</v>
      </c>
      <c r="J404" s="5" t="s">
        <v>26</v>
      </c>
      <c r="K404" s="7" t="n">
        <v>1</v>
      </c>
      <c r="L404" s="8" t="s">
        <v>485</v>
      </c>
      <c r="M404" s="4" t="s">
        <v>486</v>
      </c>
      <c r="N404" s="5" t="s">
        <v>865</v>
      </c>
    </row>
    <row r="405" customFormat="false" ht="23.85" hidden="false" customHeight="false" outlineLevel="0" collapsed="false">
      <c r="A405" s="4" t="s">
        <v>18</v>
      </c>
      <c r="B405" s="5" t="s">
        <v>866</v>
      </c>
      <c r="C405" s="6" t="s">
        <v>41</v>
      </c>
      <c r="D405" s="6"/>
      <c r="E405" s="4" t="s">
        <v>476</v>
      </c>
      <c r="F405" s="4" t="s">
        <v>867</v>
      </c>
      <c r="G405" s="6" t="s">
        <v>868</v>
      </c>
      <c r="H405" s="6" t="s">
        <v>479</v>
      </c>
      <c r="I405" s="5" t="s">
        <v>480</v>
      </c>
      <c r="J405" s="5" t="s">
        <v>26</v>
      </c>
      <c r="K405" s="7" t="n">
        <v>0.6</v>
      </c>
      <c r="L405" s="6"/>
      <c r="M405" s="4" t="s">
        <v>481</v>
      </c>
      <c r="N405" s="5" t="s">
        <v>869</v>
      </c>
    </row>
    <row r="406" customFormat="false" ht="35.05" hidden="false" customHeight="false" outlineLevel="0" collapsed="false">
      <c r="A406" s="4" t="s">
        <v>18</v>
      </c>
      <c r="B406" s="5" t="s">
        <v>866</v>
      </c>
      <c r="C406" s="6" t="s">
        <v>41</v>
      </c>
      <c r="D406" s="6"/>
      <c r="E406" s="4" t="s">
        <v>476</v>
      </c>
      <c r="F406" s="4" t="s">
        <v>867</v>
      </c>
      <c r="G406" s="6" t="s">
        <v>868</v>
      </c>
      <c r="H406" s="6" t="s">
        <v>483</v>
      </c>
      <c r="I406" s="5" t="s">
        <v>484</v>
      </c>
      <c r="J406" s="5" t="s">
        <v>26</v>
      </c>
      <c r="K406" s="7" t="n">
        <v>1</v>
      </c>
      <c r="L406" s="8" t="s">
        <v>485</v>
      </c>
      <c r="M406" s="4" t="s">
        <v>486</v>
      </c>
      <c r="N406" s="5" t="s">
        <v>869</v>
      </c>
    </row>
    <row r="407" customFormat="false" ht="23.85" hidden="false" customHeight="false" outlineLevel="0" collapsed="false">
      <c r="A407" s="4" t="s">
        <v>18</v>
      </c>
      <c r="B407" s="5" t="s">
        <v>870</v>
      </c>
      <c r="C407" s="6" t="s">
        <v>41</v>
      </c>
      <c r="D407" s="6"/>
      <c r="E407" s="4" t="s">
        <v>476</v>
      </c>
      <c r="F407" s="4" t="s">
        <v>871</v>
      </c>
      <c r="G407" s="6" t="s">
        <v>872</v>
      </c>
      <c r="H407" s="6" t="s">
        <v>479</v>
      </c>
      <c r="I407" s="5" t="s">
        <v>480</v>
      </c>
      <c r="J407" s="5" t="s">
        <v>26</v>
      </c>
      <c r="K407" s="7" t="n">
        <v>0.6</v>
      </c>
      <c r="L407" s="6"/>
      <c r="M407" s="4" t="s">
        <v>481</v>
      </c>
      <c r="N407" s="5" t="s">
        <v>873</v>
      </c>
    </row>
    <row r="408" customFormat="false" ht="35.05" hidden="false" customHeight="false" outlineLevel="0" collapsed="false">
      <c r="A408" s="4" t="s">
        <v>18</v>
      </c>
      <c r="B408" s="5" t="s">
        <v>870</v>
      </c>
      <c r="C408" s="6" t="s">
        <v>41</v>
      </c>
      <c r="D408" s="6"/>
      <c r="E408" s="4" t="s">
        <v>476</v>
      </c>
      <c r="F408" s="4" t="s">
        <v>871</v>
      </c>
      <c r="G408" s="6" t="s">
        <v>872</v>
      </c>
      <c r="H408" s="6" t="s">
        <v>483</v>
      </c>
      <c r="I408" s="5" t="s">
        <v>484</v>
      </c>
      <c r="J408" s="5" t="s">
        <v>26</v>
      </c>
      <c r="K408" s="7" t="n">
        <v>1</v>
      </c>
      <c r="L408" s="8" t="s">
        <v>485</v>
      </c>
      <c r="M408" s="4" t="s">
        <v>486</v>
      </c>
      <c r="N408" s="5" t="s">
        <v>873</v>
      </c>
    </row>
    <row r="409" customFormat="false" ht="23.85" hidden="false" customHeight="false" outlineLevel="0" collapsed="false">
      <c r="A409" s="4" t="s">
        <v>18</v>
      </c>
      <c r="B409" s="5" t="s">
        <v>874</v>
      </c>
      <c r="C409" s="6" t="s">
        <v>41</v>
      </c>
      <c r="D409" s="6"/>
      <c r="E409" s="4" t="s">
        <v>476</v>
      </c>
      <c r="F409" s="4" t="s">
        <v>875</v>
      </c>
      <c r="G409" s="6" t="s">
        <v>876</v>
      </c>
      <c r="H409" s="6" t="s">
        <v>479</v>
      </c>
      <c r="I409" s="5" t="s">
        <v>480</v>
      </c>
      <c r="J409" s="5" t="s">
        <v>26</v>
      </c>
      <c r="K409" s="7" t="n">
        <v>0.6</v>
      </c>
      <c r="L409" s="6"/>
      <c r="M409" s="4" t="s">
        <v>481</v>
      </c>
      <c r="N409" s="5" t="s">
        <v>877</v>
      </c>
    </row>
    <row r="410" customFormat="false" ht="35.05" hidden="false" customHeight="false" outlineLevel="0" collapsed="false">
      <c r="A410" s="4" t="s">
        <v>18</v>
      </c>
      <c r="B410" s="5" t="s">
        <v>874</v>
      </c>
      <c r="C410" s="6" t="s">
        <v>41</v>
      </c>
      <c r="D410" s="6"/>
      <c r="E410" s="4" t="s">
        <v>476</v>
      </c>
      <c r="F410" s="4" t="s">
        <v>875</v>
      </c>
      <c r="G410" s="6" t="s">
        <v>876</v>
      </c>
      <c r="H410" s="6" t="s">
        <v>483</v>
      </c>
      <c r="I410" s="5" t="s">
        <v>484</v>
      </c>
      <c r="J410" s="5" t="s">
        <v>26</v>
      </c>
      <c r="K410" s="7" t="n">
        <v>1</v>
      </c>
      <c r="L410" s="8" t="s">
        <v>485</v>
      </c>
      <c r="M410" s="4" t="s">
        <v>486</v>
      </c>
      <c r="N410" s="5" t="s">
        <v>877</v>
      </c>
    </row>
    <row r="411" customFormat="false" ht="23.85" hidden="false" customHeight="false" outlineLevel="0" collapsed="false">
      <c r="A411" s="4" t="s">
        <v>18</v>
      </c>
      <c r="B411" s="5" t="s">
        <v>878</v>
      </c>
      <c r="C411" s="6" t="s">
        <v>41</v>
      </c>
      <c r="D411" s="6"/>
      <c r="E411" s="4" t="s">
        <v>476</v>
      </c>
      <c r="F411" s="4" t="s">
        <v>879</v>
      </c>
      <c r="G411" s="6" t="s">
        <v>880</v>
      </c>
      <c r="H411" s="6" t="s">
        <v>479</v>
      </c>
      <c r="I411" s="5" t="s">
        <v>480</v>
      </c>
      <c r="J411" s="5" t="s">
        <v>26</v>
      </c>
      <c r="K411" s="7" t="n">
        <v>0.6</v>
      </c>
      <c r="L411" s="6"/>
      <c r="M411" s="4" t="s">
        <v>481</v>
      </c>
      <c r="N411" s="5" t="s">
        <v>881</v>
      </c>
    </row>
    <row r="412" customFormat="false" ht="23.85" hidden="false" customHeight="false" outlineLevel="0" collapsed="false">
      <c r="A412" s="4" t="s">
        <v>18</v>
      </c>
      <c r="B412" s="5" t="s">
        <v>878</v>
      </c>
      <c r="C412" s="6" t="s">
        <v>41</v>
      </c>
      <c r="D412" s="6"/>
      <c r="E412" s="4" t="s">
        <v>476</v>
      </c>
      <c r="F412" s="4" t="s">
        <v>882</v>
      </c>
      <c r="G412" s="6" t="s">
        <v>883</v>
      </c>
      <c r="H412" s="6" t="s">
        <v>479</v>
      </c>
      <c r="I412" s="5" t="s">
        <v>480</v>
      </c>
      <c r="J412" s="5" t="s">
        <v>26</v>
      </c>
      <c r="K412" s="7" t="n">
        <v>0.6</v>
      </c>
      <c r="L412" s="6"/>
      <c r="M412" s="4" t="s">
        <v>481</v>
      </c>
      <c r="N412" s="5" t="s">
        <v>881</v>
      </c>
    </row>
    <row r="413" customFormat="false" ht="35.05" hidden="false" customHeight="false" outlineLevel="0" collapsed="false">
      <c r="A413" s="4" t="s">
        <v>18</v>
      </c>
      <c r="B413" s="5" t="s">
        <v>878</v>
      </c>
      <c r="C413" s="6" t="s">
        <v>41</v>
      </c>
      <c r="D413" s="6"/>
      <c r="E413" s="4" t="s">
        <v>476</v>
      </c>
      <c r="F413" s="4" t="s">
        <v>879</v>
      </c>
      <c r="G413" s="6" t="s">
        <v>880</v>
      </c>
      <c r="H413" s="6" t="s">
        <v>483</v>
      </c>
      <c r="I413" s="5" t="s">
        <v>484</v>
      </c>
      <c r="J413" s="5" t="s">
        <v>26</v>
      </c>
      <c r="K413" s="7" t="n">
        <v>1</v>
      </c>
      <c r="L413" s="8" t="s">
        <v>485</v>
      </c>
      <c r="M413" s="4" t="s">
        <v>486</v>
      </c>
      <c r="N413" s="5" t="s">
        <v>881</v>
      </c>
    </row>
    <row r="414" customFormat="false" ht="35.05" hidden="false" customHeight="false" outlineLevel="0" collapsed="false">
      <c r="A414" s="4" t="s">
        <v>18</v>
      </c>
      <c r="B414" s="5" t="s">
        <v>878</v>
      </c>
      <c r="C414" s="6" t="s">
        <v>41</v>
      </c>
      <c r="D414" s="6"/>
      <c r="E414" s="4" t="s">
        <v>476</v>
      </c>
      <c r="F414" s="4" t="s">
        <v>882</v>
      </c>
      <c r="G414" s="6" t="s">
        <v>883</v>
      </c>
      <c r="H414" s="6" t="s">
        <v>483</v>
      </c>
      <c r="I414" s="5" t="s">
        <v>484</v>
      </c>
      <c r="J414" s="5" t="s">
        <v>26</v>
      </c>
      <c r="K414" s="7" t="n">
        <v>1</v>
      </c>
      <c r="L414" s="8" t="s">
        <v>485</v>
      </c>
      <c r="M414" s="4" t="s">
        <v>486</v>
      </c>
      <c r="N414" s="5" t="s">
        <v>881</v>
      </c>
    </row>
    <row r="415" customFormat="false" ht="23.85" hidden="false" customHeight="false" outlineLevel="0" collapsed="false">
      <c r="A415" s="4" t="s">
        <v>18</v>
      </c>
      <c r="B415" s="5" t="s">
        <v>884</v>
      </c>
      <c r="C415" s="6" t="s">
        <v>41</v>
      </c>
      <c r="D415" s="6"/>
      <c r="E415" s="4" t="s">
        <v>476</v>
      </c>
      <c r="F415" s="4" t="s">
        <v>885</v>
      </c>
      <c r="G415" s="6" t="s">
        <v>886</v>
      </c>
      <c r="H415" s="6" t="s">
        <v>479</v>
      </c>
      <c r="I415" s="5" t="s">
        <v>480</v>
      </c>
      <c r="J415" s="5" t="s">
        <v>26</v>
      </c>
      <c r="K415" s="7" t="n">
        <v>0.6</v>
      </c>
      <c r="L415" s="6"/>
      <c r="M415" s="4" t="s">
        <v>481</v>
      </c>
      <c r="N415" s="5" t="s">
        <v>887</v>
      </c>
    </row>
    <row r="416" customFormat="false" ht="35.05" hidden="false" customHeight="false" outlineLevel="0" collapsed="false">
      <c r="A416" s="4" t="s">
        <v>18</v>
      </c>
      <c r="B416" s="5" t="s">
        <v>884</v>
      </c>
      <c r="C416" s="6" t="s">
        <v>41</v>
      </c>
      <c r="D416" s="6"/>
      <c r="E416" s="4" t="s">
        <v>476</v>
      </c>
      <c r="F416" s="4" t="s">
        <v>885</v>
      </c>
      <c r="G416" s="6" t="s">
        <v>886</v>
      </c>
      <c r="H416" s="6" t="s">
        <v>483</v>
      </c>
      <c r="I416" s="5" t="s">
        <v>484</v>
      </c>
      <c r="J416" s="5" t="s">
        <v>26</v>
      </c>
      <c r="K416" s="7" t="n">
        <v>1</v>
      </c>
      <c r="L416" s="8" t="s">
        <v>485</v>
      </c>
      <c r="M416" s="4" t="s">
        <v>486</v>
      </c>
      <c r="N416" s="5" t="s">
        <v>887</v>
      </c>
    </row>
    <row r="417" customFormat="false" ht="23.85" hidden="false" customHeight="false" outlineLevel="0" collapsed="false">
      <c r="A417" s="4" t="s">
        <v>18</v>
      </c>
      <c r="B417" s="5" t="s">
        <v>888</v>
      </c>
      <c r="C417" s="6" t="s">
        <v>41</v>
      </c>
      <c r="D417" s="6"/>
      <c r="E417" s="4" t="s">
        <v>476</v>
      </c>
      <c r="F417" s="4" t="s">
        <v>889</v>
      </c>
      <c r="G417" s="6" t="s">
        <v>890</v>
      </c>
      <c r="H417" s="6" t="s">
        <v>479</v>
      </c>
      <c r="I417" s="5" t="s">
        <v>480</v>
      </c>
      <c r="J417" s="5" t="s">
        <v>26</v>
      </c>
      <c r="K417" s="7" t="n">
        <v>0.6</v>
      </c>
      <c r="L417" s="6"/>
      <c r="M417" s="4" t="s">
        <v>481</v>
      </c>
      <c r="N417" s="5" t="s">
        <v>891</v>
      </c>
    </row>
    <row r="418" customFormat="false" ht="35.05" hidden="false" customHeight="false" outlineLevel="0" collapsed="false">
      <c r="A418" s="4" t="s">
        <v>18</v>
      </c>
      <c r="B418" s="5" t="s">
        <v>888</v>
      </c>
      <c r="C418" s="6" t="s">
        <v>41</v>
      </c>
      <c r="D418" s="6"/>
      <c r="E418" s="4" t="s">
        <v>476</v>
      </c>
      <c r="F418" s="4" t="s">
        <v>889</v>
      </c>
      <c r="G418" s="6" t="s">
        <v>890</v>
      </c>
      <c r="H418" s="6" t="s">
        <v>483</v>
      </c>
      <c r="I418" s="5" t="s">
        <v>484</v>
      </c>
      <c r="J418" s="5" t="s">
        <v>26</v>
      </c>
      <c r="K418" s="7" t="n">
        <v>1</v>
      </c>
      <c r="L418" s="8" t="s">
        <v>485</v>
      </c>
      <c r="M418" s="4" t="s">
        <v>486</v>
      </c>
      <c r="N418" s="5" t="s">
        <v>891</v>
      </c>
    </row>
    <row r="419" customFormat="false" ht="23.85" hidden="false" customHeight="false" outlineLevel="0" collapsed="false">
      <c r="A419" s="4" t="s">
        <v>18</v>
      </c>
      <c r="B419" s="5" t="s">
        <v>892</v>
      </c>
      <c r="C419" s="6" t="s">
        <v>41</v>
      </c>
      <c r="D419" s="6"/>
      <c r="E419" s="4" t="s">
        <v>476</v>
      </c>
      <c r="F419" s="4" t="s">
        <v>893</v>
      </c>
      <c r="G419" s="6" t="s">
        <v>894</v>
      </c>
      <c r="H419" s="6" t="s">
        <v>479</v>
      </c>
      <c r="I419" s="5" t="s">
        <v>480</v>
      </c>
      <c r="J419" s="5" t="s">
        <v>26</v>
      </c>
      <c r="K419" s="7" t="n">
        <v>0.6</v>
      </c>
      <c r="L419" s="6"/>
      <c r="M419" s="4" t="s">
        <v>481</v>
      </c>
      <c r="N419" s="5" t="s">
        <v>895</v>
      </c>
    </row>
    <row r="420" customFormat="false" ht="35.05" hidden="false" customHeight="false" outlineLevel="0" collapsed="false">
      <c r="A420" s="4" t="s">
        <v>18</v>
      </c>
      <c r="B420" s="5" t="s">
        <v>892</v>
      </c>
      <c r="C420" s="6" t="s">
        <v>41</v>
      </c>
      <c r="D420" s="6"/>
      <c r="E420" s="4" t="s">
        <v>476</v>
      </c>
      <c r="F420" s="4" t="s">
        <v>893</v>
      </c>
      <c r="G420" s="6" t="s">
        <v>894</v>
      </c>
      <c r="H420" s="6" t="s">
        <v>483</v>
      </c>
      <c r="I420" s="5" t="s">
        <v>484</v>
      </c>
      <c r="J420" s="5" t="s">
        <v>26</v>
      </c>
      <c r="K420" s="7" t="n">
        <v>1</v>
      </c>
      <c r="L420" s="8" t="s">
        <v>485</v>
      </c>
      <c r="M420" s="4" t="s">
        <v>486</v>
      </c>
      <c r="N420" s="5" t="s">
        <v>895</v>
      </c>
    </row>
    <row r="421" customFormat="false" ht="23.85" hidden="false" customHeight="false" outlineLevel="0" collapsed="false">
      <c r="A421" s="4" t="s">
        <v>18</v>
      </c>
      <c r="B421" s="5" t="s">
        <v>896</v>
      </c>
      <c r="C421" s="6" t="s">
        <v>41</v>
      </c>
      <c r="D421" s="6"/>
      <c r="E421" s="4" t="s">
        <v>476</v>
      </c>
      <c r="F421" s="4" t="s">
        <v>363</v>
      </c>
      <c r="G421" s="6" t="s">
        <v>897</v>
      </c>
      <c r="H421" s="6" t="s">
        <v>479</v>
      </c>
      <c r="I421" s="5" t="s">
        <v>480</v>
      </c>
      <c r="J421" s="5" t="s">
        <v>26</v>
      </c>
      <c r="K421" s="7" t="n">
        <v>0.6</v>
      </c>
      <c r="L421" s="6"/>
      <c r="M421" s="4" t="s">
        <v>481</v>
      </c>
      <c r="N421" s="5" t="s">
        <v>898</v>
      </c>
    </row>
    <row r="422" customFormat="false" ht="35.05" hidden="false" customHeight="false" outlineLevel="0" collapsed="false">
      <c r="A422" s="4" t="s">
        <v>18</v>
      </c>
      <c r="B422" s="5" t="s">
        <v>896</v>
      </c>
      <c r="C422" s="6" t="s">
        <v>41</v>
      </c>
      <c r="D422" s="6"/>
      <c r="E422" s="4" t="s">
        <v>476</v>
      </c>
      <c r="F422" s="4" t="s">
        <v>363</v>
      </c>
      <c r="G422" s="6" t="s">
        <v>897</v>
      </c>
      <c r="H422" s="6" t="s">
        <v>483</v>
      </c>
      <c r="I422" s="5" t="s">
        <v>484</v>
      </c>
      <c r="J422" s="5" t="s">
        <v>26</v>
      </c>
      <c r="K422" s="7" t="n">
        <v>1</v>
      </c>
      <c r="L422" s="8" t="s">
        <v>485</v>
      </c>
      <c r="M422" s="4" t="s">
        <v>486</v>
      </c>
      <c r="N422" s="5" t="s">
        <v>898</v>
      </c>
    </row>
    <row r="423" customFormat="false" ht="23.85" hidden="false" customHeight="false" outlineLevel="0" collapsed="false">
      <c r="A423" s="4" t="s">
        <v>18</v>
      </c>
      <c r="B423" s="5" t="s">
        <v>899</v>
      </c>
      <c r="C423" s="6" t="s">
        <v>41</v>
      </c>
      <c r="D423" s="6"/>
      <c r="E423" s="4" t="s">
        <v>476</v>
      </c>
      <c r="F423" s="4" t="s">
        <v>358</v>
      </c>
      <c r="G423" s="6" t="s">
        <v>900</v>
      </c>
      <c r="H423" s="6" t="s">
        <v>479</v>
      </c>
      <c r="I423" s="5" t="s">
        <v>480</v>
      </c>
      <c r="J423" s="5" t="s">
        <v>26</v>
      </c>
      <c r="K423" s="7" t="n">
        <v>0.6</v>
      </c>
      <c r="L423" s="6"/>
      <c r="M423" s="4" t="s">
        <v>481</v>
      </c>
      <c r="N423" s="5" t="s">
        <v>901</v>
      </c>
    </row>
    <row r="424" customFormat="false" ht="35.05" hidden="false" customHeight="false" outlineLevel="0" collapsed="false">
      <c r="A424" s="4" t="s">
        <v>18</v>
      </c>
      <c r="B424" s="5" t="s">
        <v>899</v>
      </c>
      <c r="C424" s="6" t="s">
        <v>41</v>
      </c>
      <c r="D424" s="6"/>
      <c r="E424" s="4" t="s">
        <v>476</v>
      </c>
      <c r="F424" s="4" t="s">
        <v>358</v>
      </c>
      <c r="G424" s="6" t="s">
        <v>900</v>
      </c>
      <c r="H424" s="6" t="s">
        <v>483</v>
      </c>
      <c r="I424" s="5" t="s">
        <v>484</v>
      </c>
      <c r="J424" s="5" t="s">
        <v>26</v>
      </c>
      <c r="K424" s="7" t="n">
        <v>1</v>
      </c>
      <c r="L424" s="8" t="s">
        <v>485</v>
      </c>
      <c r="M424" s="4" t="s">
        <v>486</v>
      </c>
      <c r="N424" s="5" t="s">
        <v>901</v>
      </c>
    </row>
    <row r="425" customFormat="false" ht="23.85" hidden="false" customHeight="false" outlineLevel="0" collapsed="false">
      <c r="A425" s="4" t="s">
        <v>18</v>
      </c>
      <c r="B425" s="5" t="s">
        <v>902</v>
      </c>
      <c r="C425" s="6" t="s">
        <v>41</v>
      </c>
      <c r="D425" s="6"/>
      <c r="E425" s="4" t="s">
        <v>476</v>
      </c>
      <c r="F425" s="4" t="s">
        <v>903</v>
      </c>
      <c r="G425" s="6" t="s">
        <v>904</v>
      </c>
      <c r="H425" s="6" t="s">
        <v>479</v>
      </c>
      <c r="I425" s="5" t="s">
        <v>480</v>
      </c>
      <c r="J425" s="5" t="s">
        <v>26</v>
      </c>
      <c r="K425" s="7" t="n">
        <v>0.6</v>
      </c>
      <c r="L425" s="6"/>
      <c r="M425" s="4" t="s">
        <v>481</v>
      </c>
      <c r="N425" s="5" t="s">
        <v>905</v>
      </c>
    </row>
    <row r="426" customFormat="false" ht="35.05" hidden="false" customHeight="false" outlineLevel="0" collapsed="false">
      <c r="A426" s="4" t="s">
        <v>18</v>
      </c>
      <c r="B426" s="5" t="s">
        <v>902</v>
      </c>
      <c r="C426" s="6" t="s">
        <v>41</v>
      </c>
      <c r="D426" s="6"/>
      <c r="E426" s="4" t="s">
        <v>476</v>
      </c>
      <c r="F426" s="4" t="s">
        <v>903</v>
      </c>
      <c r="G426" s="6" t="s">
        <v>904</v>
      </c>
      <c r="H426" s="6" t="s">
        <v>483</v>
      </c>
      <c r="I426" s="5" t="s">
        <v>484</v>
      </c>
      <c r="J426" s="5" t="s">
        <v>26</v>
      </c>
      <c r="K426" s="7" t="n">
        <v>1</v>
      </c>
      <c r="L426" s="8" t="s">
        <v>485</v>
      </c>
      <c r="M426" s="4" t="s">
        <v>486</v>
      </c>
      <c r="N426" s="5" t="s">
        <v>905</v>
      </c>
    </row>
    <row r="427" customFormat="false" ht="23.85" hidden="false" customHeight="false" outlineLevel="0" collapsed="false">
      <c r="A427" s="4" t="s">
        <v>18</v>
      </c>
      <c r="B427" s="5" t="s">
        <v>906</v>
      </c>
      <c r="C427" s="6" t="s">
        <v>41</v>
      </c>
      <c r="D427" s="6"/>
      <c r="E427" s="4" t="s">
        <v>476</v>
      </c>
      <c r="F427" s="4" t="s">
        <v>136</v>
      </c>
      <c r="G427" s="6" t="s">
        <v>907</v>
      </c>
      <c r="H427" s="6" t="s">
        <v>479</v>
      </c>
      <c r="I427" s="5" t="s">
        <v>480</v>
      </c>
      <c r="J427" s="5" t="s">
        <v>26</v>
      </c>
      <c r="K427" s="7" t="n">
        <v>0.6</v>
      </c>
      <c r="L427" s="6"/>
      <c r="M427" s="4" t="s">
        <v>481</v>
      </c>
      <c r="N427" s="5" t="s">
        <v>908</v>
      </c>
    </row>
    <row r="428" customFormat="false" ht="35.05" hidden="false" customHeight="false" outlineLevel="0" collapsed="false">
      <c r="A428" s="4" t="s">
        <v>18</v>
      </c>
      <c r="B428" s="5" t="s">
        <v>906</v>
      </c>
      <c r="C428" s="6" t="s">
        <v>41</v>
      </c>
      <c r="D428" s="6"/>
      <c r="E428" s="4" t="s">
        <v>476</v>
      </c>
      <c r="F428" s="4" t="s">
        <v>136</v>
      </c>
      <c r="G428" s="6" t="s">
        <v>907</v>
      </c>
      <c r="H428" s="6" t="s">
        <v>483</v>
      </c>
      <c r="I428" s="5" t="s">
        <v>484</v>
      </c>
      <c r="J428" s="5" t="s">
        <v>26</v>
      </c>
      <c r="K428" s="7" t="n">
        <v>1</v>
      </c>
      <c r="L428" s="8" t="s">
        <v>485</v>
      </c>
      <c r="M428" s="4" t="s">
        <v>486</v>
      </c>
      <c r="N428" s="5" t="s">
        <v>908</v>
      </c>
    </row>
    <row r="429" customFormat="false" ht="23.85" hidden="false" customHeight="false" outlineLevel="0" collapsed="false">
      <c r="A429" s="4" t="s">
        <v>18</v>
      </c>
      <c r="B429" s="5" t="s">
        <v>909</v>
      </c>
      <c r="C429" s="6" t="s">
        <v>41</v>
      </c>
      <c r="D429" s="6"/>
      <c r="E429" s="4" t="s">
        <v>476</v>
      </c>
      <c r="F429" s="4" t="s">
        <v>256</v>
      </c>
      <c r="G429" s="6" t="s">
        <v>910</v>
      </c>
      <c r="H429" s="6" t="s">
        <v>479</v>
      </c>
      <c r="I429" s="5" t="s">
        <v>480</v>
      </c>
      <c r="J429" s="5" t="s">
        <v>26</v>
      </c>
      <c r="K429" s="7" t="n">
        <v>0.6</v>
      </c>
      <c r="L429" s="6"/>
      <c r="M429" s="4" t="s">
        <v>481</v>
      </c>
      <c r="N429" s="5" t="s">
        <v>911</v>
      </c>
    </row>
    <row r="430" customFormat="false" ht="35.05" hidden="false" customHeight="false" outlineLevel="0" collapsed="false">
      <c r="A430" s="4" t="s">
        <v>18</v>
      </c>
      <c r="B430" s="5" t="s">
        <v>909</v>
      </c>
      <c r="C430" s="6" t="s">
        <v>41</v>
      </c>
      <c r="D430" s="6"/>
      <c r="E430" s="4" t="s">
        <v>476</v>
      </c>
      <c r="F430" s="4" t="s">
        <v>256</v>
      </c>
      <c r="G430" s="6" t="s">
        <v>910</v>
      </c>
      <c r="H430" s="6" t="s">
        <v>483</v>
      </c>
      <c r="I430" s="5" t="s">
        <v>484</v>
      </c>
      <c r="J430" s="5" t="s">
        <v>26</v>
      </c>
      <c r="K430" s="7" t="n">
        <v>1</v>
      </c>
      <c r="L430" s="8" t="s">
        <v>485</v>
      </c>
      <c r="M430" s="4" t="s">
        <v>486</v>
      </c>
      <c r="N430" s="5" t="s">
        <v>911</v>
      </c>
    </row>
    <row r="431" customFormat="false" ht="23.85" hidden="false" customHeight="false" outlineLevel="0" collapsed="false">
      <c r="A431" s="4" t="s">
        <v>18</v>
      </c>
      <c r="B431" s="5" t="s">
        <v>912</v>
      </c>
      <c r="C431" s="6" t="s">
        <v>41</v>
      </c>
      <c r="D431" s="6"/>
      <c r="E431" s="4" t="s">
        <v>476</v>
      </c>
      <c r="F431" s="4" t="s">
        <v>913</v>
      </c>
      <c r="G431" s="6" t="s">
        <v>914</v>
      </c>
      <c r="H431" s="6" t="s">
        <v>479</v>
      </c>
      <c r="I431" s="5" t="s">
        <v>480</v>
      </c>
      <c r="J431" s="5" t="s">
        <v>26</v>
      </c>
      <c r="K431" s="7" t="n">
        <v>0.6</v>
      </c>
      <c r="L431" s="6"/>
      <c r="M431" s="4" t="s">
        <v>481</v>
      </c>
      <c r="N431" s="5" t="s">
        <v>915</v>
      </c>
    </row>
    <row r="432" customFormat="false" ht="35.05" hidden="false" customHeight="false" outlineLevel="0" collapsed="false">
      <c r="A432" s="4" t="s">
        <v>18</v>
      </c>
      <c r="B432" s="5" t="s">
        <v>912</v>
      </c>
      <c r="C432" s="6" t="s">
        <v>41</v>
      </c>
      <c r="D432" s="6"/>
      <c r="E432" s="4" t="s">
        <v>476</v>
      </c>
      <c r="F432" s="4" t="s">
        <v>913</v>
      </c>
      <c r="G432" s="6" t="s">
        <v>914</v>
      </c>
      <c r="H432" s="6" t="s">
        <v>483</v>
      </c>
      <c r="I432" s="5" t="s">
        <v>484</v>
      </c>
      <c r="J432" s="5" t="s">
        <v>26</v>
      </c>
      <c r="K432" s="7" t="n">
        <v>1</v>
      </c>
      <c r="L432" s="8" t="s">
        <v>485</v>
      </c>
      <c r="M432" s="4" t="s">
        <v>486</v>
      </c>
      <c r="N432" s="5" t="s">
        <v>915</v>
      </c>
    </row>
    <row r="433" customFormat="false" ht="23.85" hidden="false" customHeight="false" outlineLevel="0" collapsed="false">
      <c r="A433" s="4" t="s">
        <v>18</v>
      </c>
      <c r="B433" s="5" t="s">
        <v>916</v>
      </c>
      <c r="C433" s="6" t="s">
        <v>41</v>
      </c>
      <c r="D433" s="6"/>
      <c r="E433" s="4" t="s">
        <v>476</v>
      </c>
      <c r="F433" s="4" t="s">
        <v>917</v>
      </c>
      <c r="G433" s="6" t="s">
        <v>918</v>
      </c>
      <c r="H433" s="6" t="s">
        <v>479</v>
      </c>
      <c r="I433" s="5" t="s">
        <v>480</v>
      </c>
      <c r="J433" s="5" t="s">
        <v>26</v>
      </c>
      <c r="K433" s="7" t="n">
        <v>0.6</v>
      </c>
      <c r="L433" s="6"/>
      <c r="M433" s="4" t="s">
        <v>481</v>
      </c>
      <c r="N433" s="5" t="s">
        <v>919</v>
      </c>
    </row>
    <row r="434" customFormat="false" ht="35.05" hidden="false" customHeight="false" outlineLevel="0" collapsed="false">
      <c r="A434" s="4" t="s">
        <v>18</v>
      </c>
      <c r="B434" s="5" t="s">
        <v>916</v>
      </c>
      <c r="C434" s="6" t="s">
        <v>41</v>
      </c>
      <c r="D434" s="6"/>
      <c r="E434" s="4" t="s">
        <v>476</v>
      </c>
      <c r="F434" s="4" t="s">
        <v>917</v>
      </c>
      <c r="G434" s="6" t="s">
        <v>918</v>
      </c>
      <c r="H434" s="6" t="s">
        <v>483</v>
      </c>
      <c r="I434" s="5" t="s">
        <v>484</v>
      </c>
      <c r="J434" s="5" t="s">
        <v>26</v>
      </c>
      <c r="K434" s="7" t="n">
        <v>1</v>
      </c>
      <c r="L434" s="8" t="s">
        <v>485</v>
      </c>
      <c r="M434" s="4" t="s">
        <v>486</v>
      </c>
      <c r="N434" s="5" t="s">
        <v>919</v>
      </c>
    </row>
    <row r="435" customFormat="false" ht="23.85" hidden="false" customHeight="false" outlineLevel="0" collapsed="false">
      <c r="A435" s="4" t="s">
        <v>18</v>
      </c>
      <c r="B435" s="5" t="s">
        <v>920</v>
      </c>
      <c r="C435" s="6" t="s">
        <v>41</v>
      </c>
      <c r="D435" s="6"/>
      <c r="E435" s="4" t="s">
        <v>476</v>
      </c>
      <c r="F435" s="4" t="s">
        <v>658</v>
      </c>
      <c r="G435" s="6" t="s">
        <v>921</v>
      </c>
      <c r="H435" s="6" t="s">
        <v>479</v>
      </c>
      <c r="I435" s="5" t="s">
        <v>480</v>
      </c>
      <c r="J435" s="5" t="s">
        <v>26</v>
      </c>
      <c r="K435" s="7" t="n">
        <v>0.6</v>
      </c>
      <c r="L435" s="6"/>
      <c r="M435" s="4" t="s">
        <v>481</v>
      </c>
      <c r="N435" s="5" t="s">
        <v>922</v>
      </c>
    </row>
    <row r="436" customFormat="false" ht="35.05" hidden="false" customHeight="false" outlineLevel="0" collapsed="false">
      <c r="A436" s="4" t="s">
        <v>18</v>
      </c>
      <c r="B436" s="5" t="s">
        <v>920</v>
      </c>
      <c r="C436" s="6" t="s">
        <v>41</v>
      </c>
      <c r="D436" s="6"/>
      <c r="E436" s="4" t="s">
        <v>476</v>
      </c>
      <c r="F436" s="4" t="s">
        <v>658</v>
      </c>
      <c r="G436" s="6" t="s">
        <v>921</v>
      </c>
      <c r="H436" s="6" t="s">
        <v>483</v>
      </c>
      <c r="I436" s="5" t="s">
        <v>484</v>
      </c>
      <c r="J436" s="5" t="s">
        <v>26</v>
      </c>
      <c r="K436" s="7" t="n">
        <v>1</v>
      </c>
      <c r="L436" s="8" t="s">
        <v>485</v>
      </c>
      <c r="M436" s="4" t="s">
        <v>486</v>
      </c>
      <c r="N436" s="5" t="s">
        <v>922</v>
      </c>
    </row>
    <row r="437" customFormat="false" ht="23.85" hidden="false" customHeight="false" outlineLevel="0" collapsed="false">
      <c r="A437" s="4" t="s">
        <v>18</v>
      </c>
      <c r="B437" s="5" t="s">
        <v>923</v>
      </c>
      <c r="C437" s="6" t="s">
        <v>41</v>
      </c>
      <c r="D437" s="6"/>
      <c r="E437" s="4" t="s">
        <v>476</v>
      </c>
      <c r="F437" s="4" t="s">
        <v>924</v>
      </c>
      <c r="G437" s="6" t="s">
        <v>925</v>
      </c>
      <c r="H437" s="6" t="s">
        <v>479</v>
      </c>
      <c r="I437" s="5" t="s">
        <v>480</v>
      </c>
      <c r="J437" s="5" t="s">
        <v>26</v>
      </c>
      <c r="K437" s="7" t="n">
        <v>0.6</v>
      </c>
      <c r="L437" s="6"/>
      <c r="M437" s="4" t="s">
        <v>481</v>
      </c>
      <c r="N437" s="5" t="s">
        <v>926</v>
      </c>
    </row>
    <row r="438" customFormat="false" ht="35.05" hidden="false" customHeight="false" outlineLevel="0" collapsed="false">
      <c r="A438" s="4" t="s">
        <v>18</v>
      </c>
      <c r="B438" s="5" t="s">
        <v>923</v>
      </c>
      <c r="C438" s="6" t="s">
        <v>41</v>
      </c>
      <c r="D438" s="6"/>
      <c r="E438" s="4" t="s">
        <v>476</v>
      </c>
      <c r="F438" s="4" t="s">
        <v>924</v>
      </c>
      <c r="G438" s="6" t="s">
        <v>925</v>
      </c>
      <c r="H438" s="6" t="s">
        <v>483</v>
      </c>
      <c r="I438" s="5" t="s">
        <v>484</v>
      </c>
      <c r="J438" s="5" t="s">
        <v>26</v>
      </c>
      <c r="K438" s="7" t="n">
        <v>1</v>
      </c>
      <c r="L438" s="8" t="s">
        <v>485</v>
      </c>
      <c r="M438" s="4" t="s">
        <v>486</v>
      </c>
      <c r="N438" s="5" t="s">
        <v>926</v>
      </c>
    </row>
    <row r="439" customFormat="false" ht="23.85" hidden="false" customHeight="false" outlineLevel="0" collapsed="false">
      <c r="A439" s="4" t="s">
        <v>18</v>
      </c>
      <c r="B439" s="5" t="s">
        <v>927</v>
      </c>
      <c r="C439" s="6" t="s">
        <v>41</v>
      </c>
      <c r="D439" s="6"/>
      <c r="E439" s="4" t="s">
        <v>476</v>
      </c>
      <c r="F439" s="4" t="s">
        <v>928</v>
      </c>
      <c r="G439" s="6" t="s">
        <v>929</v>
      </c>
      <c r="H439" s="6" t="s">
        <v>479</v>
      </c>
      <c r="I439" s="5" t="s">
        <v>480</v>
      </c>
      <c r="J439" s="5" t="s">
        <v>26</v>
      </c>
      <c r="K439" s="7" t="n">
        <v>0.6</v>
      </c>
      <c r="L439" s="6"/>
      <c r="M439" s="4" t="s">
        <v>481</v>
      </c>
      <c r="N439" s="5" t="s">
        <v>930</v>
      </c>
    </row>
    <row r="440" customFormat="false" ht="35.05" hidden="false" customHeight="false" outlineLevel="0" collapsed="false">
      <c r="A440" s="4" t="s">
        <v>18</v>
      </c>
      <c r="B440" s="5" t="s">
        <v>927</v>
      </c>
      <c r="C440" s="6" t="s">
        <v>41</v>
      </c>
      <c r="D440" s="6"/>
      <c r="E440" s="4" t="s">
        <v>476</v>
      </c>
      <c r="F440" s="4" t="s">
        <v>928</v>
      </c>
      <c r="G440" s="6" t="s">
        <v>929</v>
      </c>
      <c r="H440" s="6" t="s">
        <v>483</v>
      </c>
      <c r="I440" s="5" t="s">
        <v>484</v>
      </c>
      <c r="J440" s="5" t="s">
        <v>26</v>
      </c>
      <c r="K440" s="7" t="n">
        <v>1</v>
      </c>
      <c r="L440" s="8" t="s">
        <v>485</v>
      </c>
      <c r="M440" s="4" t="s">
        <v>486</v>
      </c>
      <c r="N440" s="5" t="s">
        <v>930</v>
      </c>
    </row>
    <row r="441" customFormat="false" ht="23.85" hidden="false" customHeight="false" outlineLevel="0" collapsed="false">
      <c r="A441" s="4" t="s">
        <v>18</v>
      </c>
      <c r="B441" s="5" t="s">
        <v>931</v>
      </c>
      <c r="C441" s="6" t="s">
        <v>932</v>
      </c>
      <c r="D441" s="6"/>
      <c r="E441" s="4" t="s">
        <v>21</v>
      </c>
      <c r="F441" s="4" t="s">
        <v>413</v>
      </c>
      <c r="G441" s="6" t="s">
        <v>933</v>
      </c>
      <c r="H441" s="6" t="s">
        <v>24</v>
      </c>
      <c r="I441" s="5" t="s">
        <v>25</v>
      </c>
      <c r="J441" s="5" t="s">
        <v>26</v>
      </c>
      <c r="K441" s="7" t="n">
        <v>0.6</v>
      </c>
      <c r="L441" s="6"/>
      <c r="M441" s="4" t="s">
        <v>27</v>
      </c>
      <c r="N441" s="5" t="s">
        <v>934</v>
      </c>
    </row>
    <row r="442" customFormat="false" ht="23.85" hidden="false" customHeight="false" outlineLevel="0" collapsed="false">
      <c r="A442" s="4" t="s">
        <v>18</v>
      </c>
      <c r="B442" s="5" t="s">
        <v>935</v>
      </c>
      <c r="C442" s="6" t="s">
        <v>41</v>
      </c>
      <c r="D442" s="6"/>
      <c r="E442" s="4" t="s">
        <v>763</v>
      </c>
      <c r="F442" s="4" t="s">
        <v>608</v>
      </c>
      <c r="G442" s="6" t="s">
        <v>936</v>
      </c>
      <c r="H442" s="6" t="s">
        <v>765</v>
      </c>
      <c r="I442" s="5" t="s">
        <v>766</v>
      </c>
      <c r="J442" s="5" t="s">
        <v>26</v>
      </c>
      <c r="K442" s="7" t="n">
        <v>0.6</v>
      </c>
      <c r="L442" s="6"/>
      <c r="M442" s="4" t="s">
        <v>767</v>
      </c>
      <c r="N442" s="5" t="s">
        <v>937</v>
      </c>
    </row>
    <row r="443" customFormat="false" ht="46.25" hidden="false" customHeight="false" outlineLevel="0" collapsed="false">
      <c r="A443" s="4" t="s">
        <v>18</v>
      </c>
      <c r="B443" s="5" t="s">
        <v>935</v>
      </c>
      <c r="C443" s="6" t="s">
        <v>41</v>
      </c>
      <c r="D443" s="6"/>
      <c r="E443" s="4" t="s">
        <v>763</v>
      </c>
      <c r="F443" s="4" t="s">
        <v>616</v>
      </c>
      <c r="G443" s="6" t="s">
        <v>938</v>
      </c>
      <c r="H443" s="6" t="s">
        <v>765</v>
      </c>
      <c r="I443" s="5" t="s">
        <v>766</v>
      </c>
      <c r="J443" s="5" t="s">
        <v>26</v>
      </c>
      <c r="K443" s="7" t="n">
        <v>0.6</v>
      </c>
      <c r="L443" s="6"/>
      <c r="M443" s="4" t="s">
        <v>767</v>
      </c>
      <c r="N443" s="5" t="s">
        <v>937</v>
      </c>
    </row>
    <row r="444" customFormat="false" ht="46.25" hidden="false" customHeight="false" outlineLevel="0" collapsed="false">
      <c r="A444" s="4" t="s">
        <v>18</v>
      </c>
      <c r="B444" s="5" t="s">
        <v>935</v>
      </c>
      <c r="C444" s="6" t="s">
        <v>41</v>
      </c>
      <c r="D444" s="6"/>
      <c r="E444" s="4" t="s">
        <v>763</v>
      </c>
      <c r="F444" s="4" t="s">
        <v>608</v>
      </c>
      <c r="G444" s="6" t="s">
        <v>936</v>
      </c>
      <c r="H444" s="6" t="s">
        <v>769</v>
      </c>
      <c r="I444" s="5" t="s">
        <v>770</v>
      </c>
      <c r="J444" s="5" t="s">
        <v>26</v>
      </c>
      <c r="K444" s="7" t="n">
        <v>1</v>
      </c>
      <c r="L444" s="8" t="s">
        <v>771</v>
      </c>
      <c r="M444" s="4" t="s">
        <v>772</v>
      </c>
      <c r="N444" s="5" t="s">
        <v>937</v>
      </c>
    </row>
    <row r="445" customFormat="false" ht="46.25" hidden="false" customHeight="false" outlineLevel="0" collapsed="false">
      <c r="A445" s="4" t="s">
        <v>18</v>
      </c>
      <c r="B445" s="5" t="s">
        <v>935</v>
      </c>
      <c r="C445" s="6" t="s">
        <v>41</v>
      </c>
      <c r="D445" s="6"/>
      <c r="E445" s="4" t="s">
        <v>763</v>
      </c>
      <c r="F445" s="4" t="s">
        <v>616</v>
      </c>
      <c r="G445" s="6" t="s">
        <v>938</v>
      </c>
      <c r="H445" s="6" t="s">
        <v>769</v>
      </c>
      <c r="I445" s="5" t="s">
        <v>770</v>
      </c>
      <c r="J445" s="5" t="s">
        <v>26</v>
      </c>
      <c r="K445" s="7" t="n">
        <v>1</v>
      </c>
      <c r="L445" s="8" t="s">
        <v>771</v>
      </c>
      <c r="M445" s="4" t="s">
        <v>772</v>
      </c>
      <c r="N445" s="5" t="s">
        <v>937</v>
      </c>
    </row>
    <row r="446" customFormat="false" ht="23.85" hidden="false" customHeight="false" outlineLevel="0" collapsed="false">
      <c r="A446" s="4" t="s">
        <v>18</v>
      </c>
      <c r="B446" s="5" t="s">
        <v>939</v>
      </c>
      <c r="C446" s="6" t="s">
        <v>41</v>
      </c>
      <c r="D446" s="6"/>
      <c r="E446" s="4" t="s">
        <v>763</v>
      </c>
      <c r="F446" s="4" t="s">
        <v>610</v>
      </c>
      <c r="G446" s="6" t="s">
        <v>940</v>
      </c>
      <c r="H446" s="6" t="s">
        <v>765</v>
      </c>
      <c r="I446" s="5" t="s">
        <v>766</v>
      </c>
      <c r="J446" s="5" t="s">
        <v>26</v>
      </c>
      <c r="K446" s="7" t="n">
        <v>0.6</v>
      </c>
      <c r="L446" s="6"/>
      <c r="M446" s="4" t="s">
        <v>767</v>
      </c>
      <c r="N446" s="5" t="s">
        <v>941</v>
      </c>
    </row>
    <row r="447" customFormat="false" ht="46.25" hidden="false" customHeight="false" outlineLevel="0" collapsed="false">
      <c r="A447" s="4" t="s">
        <v>18</v>
      </c>
      <c r="B447" s="5" t="s">
        <v>939</v>
      </c>
      <c r="C447" s="6" t="s">
        <v>41</v>
      </c>
      <c r="D447" s="6"/>
      <c r="E447" s="4" t="s">
        <v>763</v>
      </c>
      <c r="F447" s="4" t="s">
        <v>610</v>
      </c>
      <c r="G447" s="6" t="s">
        <v>940</v>
      </c>
      <c r="H447" s="6" t="s">
        <v>769</v>
      </c>
      <c r="I447" s="5" t="s">
        <v>770</v>
      </c>
      <c r="J447" s="5" t="s">
        <v>26</v>
      </c>
      <c r="K447" s="7" t="n">
        <v>1</v>
      </c>
      <c r="L447" s="8" t="s">
        <v>771</v>
      </c>
      <c r="M447" s="4" t="s">
        <v>772</v>
      </c>
      <c r="N447" s="5" t="s">
        <v>941</v>
      </c>
    </row>
    <row r="448" customFormat="false" ht="23.85" hidden="false" customHeight="false" outlineLevel="0" collapsed="false">
      <c r="A448" s="4" t="s">
        <v>18</v>
      </c>
      <c r="B448" s="5" t="s">
        <v>942</v>
      </c>
      <c r="C448" s="6" t="s">
        <v>41</v>
      </c>
      <c r="D448" s="6"/>
      <c r="E448" s="4" t="s">
        <v>763</v>
      </c>
      <c r="F448" s="4" t="s">
        <v>613</v>
      </c>
      <c r="G448" s="6" t="s">
        <v>943</v>
      </c>
      <c r="H448" s="6" t="s">
        <v>765</v>
      </c>
      <c r="I448" s="5" t="s">
        <v>766</v>
      </c>
      <c r="J448" s="5" t="s">
        <v>26</v>
      </c>
      <c r="K448" s="7" t="n">
        <v>0.6</v>
      </c>
      <c r="L448" s="6"/>
      <c r="M448" s="4" t="s">
        <v>767</v>
      </c>
      <c r="N448" s="5" t="s">
        <v>944</v>
      </c>
    </row>
    <row r="449" customFormat="false" ht="46.25" hidden="false" customHeight="false" outlineLevel="0" collapsed="false">
      <c r="A449" s="4" t="s">
        <v>18</v>
      </c>
      <c r="B449" s="5" t="s">
        <v>942</v>
      </c>
      <c r="C449" s="6" t="s">
        <v>41</v>
      </c>
      <c r="D449" s="6"/>
      <c r="E449" s="4" t="s">
        <v>763</v>
      </c>
      <c r="F449" s="4" t="s">
        <v>613</v>
      </c>
      <c r="G449" s="6" t="s">
        <v>943</v>
      </c>
      <c r="H449" s="6" t="s">
        <v>769</v>
      </c>
      <c r="I449" s="5" t="s">
        <v>770</v>
      </c>
      <c r="J449" s="5" t="s">
        <v>26</v>
      </c>
      <c r="K449" s="7" t="n">
        <v>1</v>
      </c>
      <c r="L449" s="8" t="s">
        <v>771</v>
      </c>
      <c r="M449" s="4" t="s">
        <v>772</v>
      </c>
      <c r="N449" s="5" t="s">
        <v>944</v>
      </c>
    </row>
    <row r="450" customFormat="false" ht="46.25" hidden="false" customHeight="false" outlineLevel="0" collapsed="false">
      <c r="A450" s="4" t="s">
        <v>18</v>
      </c>
      <c r="B450" s="5" t="s">
        <v>945</v>
      </c>
      <c r="C450" s="6" t="s">
        <v>41</v>
      </c>
      <c r="D450" s="6"/>
      <c r="E450" s="4" t="s">
        <v>763</v>
      </c>
      <c r="F450" s="4" t="s">
        <v>616</v>
      </c>
      <c r="G450" s="6" t="s">
        <v>938</v>
      </c>
      <c r="H450" s="6" t="s">
        <v>765</v>
      </c>
      <c r="I450" s="5" t="s">
        <v>766</v>
      </c>
      <c r="J450" s="5" t="s">
        <v>26</v>
      </c>
      <c r="K450" s="7" t="n">
        <v>0.6</v>
      </c>
      <c r="L450" s="6"/>
      <c r="M450" s="4" t="s">
        <v>767</v>
      </c>
      <c r="N450" s="5" t="s">
        <v>946</v>
      </c>
    </row>
    <row r="451" customFormat="false" ht="46.25" hidden="false" customHeight="false" outlineLevel="0" collapsed="false">
      <c r="A451" s="4" t="s">
        <v>18</v>
      </c>
      <c r="B451" s="5" t="s">
        <v>945</v>
      </c>
      <c r="C451" s="6" t="s">
        <v>41</v>
      </c>
      <c r="D451" s="6"/>
      <c r="E451" s="4" t="s">
        <v>763</v>
      </c>
      <c r="F451" s="4" t="s">
        <v>616</v>
      </c>
      <c r="G451" s="6" t="s">
        <v>938</v>
      </c>
      <c r="H451" s="6" t="s">
        <v>769</v>
      </c>
      <c r="I451" s="5" t="s">
        <v>770</v>
      </c>
      <c r="J451" s="5" t="s">
        <v>26</v>
      </c>
      <c r="K451" s="7" t="n">
        <v>1</v>
      </c>
      <c r="L451" s="8" t="s">
        <v>771</v>
      </c>
      <c r="M451" s="4" t="s">
        <v>772</v>
      </c>
      <c r="N451" s="5" t="s">
        <v>946</v>
      </c>
    </row>
    <row r="452" customFormat="false" ht="23.85" hidden="false" customHeight="false" outlineLevel="0" collapsed="false">
      <c r="A452" s="4" t="s">
        <v>18</v>
      </c>
      <c r="B452" s="5" t="s">
        <v>947</v>
      </c>
      <c r="C452" s="6" t="s">
        <v>41</v>
      </c>
      <c r="D452" s="6"/>
      <c r="E452" s="4" t="s">
        <v>476</v>
      </c>
      <c r="F452" s="4" t="s">
        <v>395</v>
      </c>
      <c r="G452" s="6" t="s">
        <v>948</v>
      </c>
      <c r="H452" s="6" t="s">
        <v>479</v>
      </c>
      <c r="I452" s="5" t="s">
        <v>480</v>
      </c>
      <c r="J452" s="5" t="s">
        <v>26</v>
      </c>
      <c r="K452" s="7" t="n">
        <v>0.6</v>
      </c>
      <c r="L452" s="6"/>
      <c r="M452" s="4" t="s">
        <v>481</v>
      </c>
      <c r="N452" s="5" t="s">
        <v>949</v>
      </c>
    </row>
    <row r="453" customFormat="false" ht="35.05" hidden="false" customHeight="false" outlineLevel="0" collapsed="false">
      <c r="A453" s="4" t="s">
        <v>18</v>
      </c>
      <c r="B453" s="5" t="s">
        <v>947</v>
      </c>
      <c r="C453" s="6" t="s">
        <v>41</v>
      </c>
      <c r="D453" s="6"/>
      <c r="E453" s="4" t="s">
        <v>476</v>
      </c>
      <c r="F453" s="4" t="s">
        <v>395</v>
      </c>
      <c r="G453" s="6" t="s">
        <v>948</v>
      </c>
      <c r="H453" s="6" t="s">
        <v>483</v>
      </c>
      <c r="I453" s="5" t="s">
        <v>484</v>
      </c>
      <c r="J453" s="5" t="s">
        <v>26</v>
      </c>
      <c r="K453" s="7" t="n">
        <v>1</v>
      </c>
      <c r="L453" s="8" t="s">
        <v>485</v>
      </c>
      <c r="M453" s="4" t="s">
        <v>486</v>
      </c>
      <c r="N453" s="5" t="s">
        <v>949</v>
      </c>
    </row>
    <row r="454" customFormat="false" ht="23.85" hidden="false" customHeight="false" outlineLevel="0" collapsed="false">
      <c r="A454" s="4" t="s">
        <v>18</v>
      </c>
      <c r="B454" s="5" t="s">
        <v>950</v>
      </c>
      <c r="C454" s="6" t="s">
        <v>951</v>
      </c>
      <c r="D454" s="6"/>
      <c r="E454" s="4" t="s">
        <v>21</v>
      </c>
      <c r="F454" s="4" t="s">
        <v>413</v>
      </c>
      <c r="G454" s="6" t="s">
        <v>933</v>
      </c>
      <c r="H454" s="6" t="s">
        <v>24</v>
      </c>
      <c r="I454" s="5" t="s">
        <v>25</v>
      </c>
      <c r="J454" s="5" t="s">
        <v>26</v>
      </c>
      <c r="K454" s="7" t="n">
        <v>0.6</v>
      </c>
      <c r="L454" s="6"/>
      <c r="M454" s="4" t="s">
        <v>27</v>
      </c>
      <c r="N454" s="5" t="s">
        <v>952</v>
      </c>
    </row>
    <row r="455" customFormat="false" ht="23.85" hidden="false" customHeight="false" outlineLevel="0" collapsed="false">
      <c r="A455" s="4" t="s">
        <v>18</v>
      </c>
      <c r="B455" s="5" t="s">
        <v>953</v>
      </c>
      <c r="C455" s="6" t="s">
        <v>954</v>
      </c>
      <c r="D455" s="6"/>
      <c r="E455" s="4" t="s">
        <v>21</v>
      </c>
      <c r="F455" s="4" t="s">
        <v>413</v>
      </c>
      <c r="G455" s="6" t="s">
        <v>933</v>
      </c>
      <c r="H455" s="6" t="s">
        <v>24</v>
      </c>
      <c r="I455" s="5" t="s">
        <v>25</v>
      </c>
      <c r="J455" s="5" t="s">
        <v>26</v>
      </c>
      <c r="K455" s="7" t="n">
        <v>0.6</v>
      </c>
      <c r="L455" s="6"/>
      <c r="M455" s="4" t="s">
        <v>27</v>
      </c>
      <c r="N455" s="5" t="s">
        <v>955</v>
      </c>
    </row>
    <row r="456" customFormat="false" ht="35.05" hidden="false" customHeight="false" outlineLevel="0" collapsed="false">
      <c r="A456" s="4" t="s">
        <v>18</v>
      </c>
      <c r="B456" s="5" t="s">
        <v>956</v>
      </c>
      <c r="C456" s="6" t="s">
        <v>957</v>
      </c>
      <c r="D456" s="6"/>
      <c r="E456" s="4" t="s">
        <v>21</v>
      </c>
      <c r="F456" s="4" t="s">
        <v>251</v>
      </c>
      <c r="G456" s="6" t="s">
        <v>958</v>
      </c>
      <c r="H456" s="6" t="s">
        <v>24</v>
      </c>
      <c r="I456" s="5" t="s">
        <v>25</v>
      </c>
      <c r="J456" s="5" t="s">
        <v>26</v>
      </c>
      <c r="K456" s="7" t="n">
        <v>0.6</v>
      </c>
      <c r="L456" s="6"/>
      <c r="M456" s="4" t="s">
        <v>27</v>
      </c>
      <c r="N456" s="5" t="s">
        <v>959</v>
      </c>
    </row>
    <row r="457" customFormat="false" ht="23.85" hidden="false" customHeight="false" outlineLevel="0" collapsed="false">
      <c r="A457" s="4" t="s">
        <v>18</v>
      </c>
      <c r="B457" s="5" t="s">
        <v>960</v>
      </c>
      <c r="C457" s="6" t="s">
        <v>41</v>
      </c>
      <c r="D457" s="6"/>
      <c r="E457" s="4" t="s">
        <v>21</v>
      </c>
      <c r="F457" s="4" t="s">
        <v>413</v>
      </c>
      <c r="G457" s="6" t="s">
        <v>933</v>
      </c>
      <c r="H457" s="6" t="s">
        <v>24</v>
      </c>
      <c r="I457" s="5" t="s">
        <v>25</v>
      </c>
      <c r="J457" s="5" t="s">
        <v>26</v>
      </c>
      <c r="K457" s="7" t="n">
        <v>0.6</v>
      </c>
      <c r="L457" s="6"/>
      <c r="M457" s="4" t="s">
        <v>27</v>
      </c>
      <c r="N457" s="5" t="s">
        <v>961</v>
      </c>
    </row>
    <row r="458" customFormat="false" ht="35.05" hidden="false" customHeight="false" outlineLevel="0" collapsed="false">
      <c r="A458" s="4" t="s">
        <v>18</v>
      </c>
      <c r="B458" s="5" t="s">
        <v>960</v>
      </c>
      <c r="C458" s="6" t="s">
        <v>41</v>
      </c>
      <c r="D458" s="6"/>
      <c r="E458" s="4" t="s">
        <v>21</v>
      </c>
      <c r="F458" s="4" t="s">
        <v>251</v>
      </c>
      <c r="G458" s="6" t="s">
        <v>958</v>
      </c>
      <c r="H458" s="6" t="s">
        <v>24</v>
      </c>
      <c r="I458" s="5" t="s">
        <v>25</v>
      </c>
      <c r="J458" s="5" t="s">
        <v>26</v>
      </c>
      <c r="K458" s="7" t="n">
        <v>0.6</v>
      </c>
      <c r="L458" s="6"/>
      <c r="M458" s="4" t="s">
        <v>27</v>
      </c>
      <c r="N458" s="5" t="s">
        <v>961</v>
      </c>
    </row>
    <row r="459" customFormat="false" ht="23.85" hidden="false" customHeight="false" outlineLevel="0" collapsed="false">
      <c r="A459" s="4" t="s">
        <v>18</v>
      </c>
      <c r="B459" s="5" t="s">
        <v>962</v>
      </c>
      <c r="C459" s="6" t="s">
        <v>963</v>
      </c>
      <c r="D459" s="6"/>
      <c r="E459" s="4" t="s">
        <v>21</v>
      </c>
      <c r="F459" s="4" t="s">
        <v>413</v>
      </c>
      <c r="G459" s="6" t="s">
        <v>933</v>
      </c>
      <c r="H459" s="6" t="s">
        <v>24</v>
      </c>
      <c r="I459" s="5" t="s">
        <v>25</v>
      </c>
      <c r="J459" s="5" t="s">
        <v>26</v>
      </c>
      <c r="K459" s="7" t="n">
        <v>0.6</v>
      </c>
      <c r="L459" s="6"/>
      <c r="M459" s="4" t="s">
        <v>27</v>
      </c>
      <c r="N459" s="5" t="s">
        <v>964</v>
      </c>
    </row>
    <row r="460" customFormat="false" ht="23.85" hidden="false" customHeight="false" outlineLevel="0" collapsed="false">
      <c r="A460" s="4" t="s">
        <v>18</v>
      </c>
      <c r="B460" s="5" t="s">
        <v>965</v>
      </c>
      <c r="C460" s="6" t="s">
        <v>41</v>
      </c>
      <c r="D460" s="6"/>
      <c r="E460" s="4" t="s">
        <v>763</v>
      </c>
      <c r="F460" s="4" t="s">
        <v>205</v>
      </c>
      <c r="G460" s="6" t="s">
        <v>966</v>
      </c>
      <c r="H460" s="6" t="s">
        <v>765</v>
      </c>
      <c r="I460" s="5" t="s">
        <v>766</v>
      </c>
      <c r="J460" s="5" t="s">
        <v>26</v>
      </c>
      <c r="K460" s="7" t="n">
        <v>0.6</v>
      </c>
      <c r="L460" s="6"/>
      <c r="M460" s="4" t="s">
        <v>767</v>
      </c>
      <c r="N460" s="5" t="s">
        <v>967</v>
      </c>
    </row>
    <row r="461" customFormat="false" ht="23.85" hidden="false" customHeight="false" outlineLevel="0" collapsed="false">
      <c r="A461" s="4" t="s">
        <v>18</v>
      </c>
      <c r="B461" s="5" t="s">
        <v>965</v>
      </c>
      <c r="C461" s="6" t="s">
        <v>41</v>
      </c>
      <c r="D461" s="6"/>
      <c r="E461" s="4" t="s">
        <v>763</v>
      </c>
      <c r="F461" s="4" t="s">
        <v>488</v>
      </c>
      <c r="G461" s="6" t="s">
        <v>968</v>
      </c>
      <c r="H461" s="6" t="s">
        <v>765</v>
      </c>
      <c r="I461" s="5" t="s">
        <v>766</v>
      </c>
      <c r="J461" s="5" t="s">
        <v>26</v>
      </c>
      <c r="K461" s="7" t="n">
        <v>0.6</v>
      </c>
      <c r="L461" s="6"/>
      <c r="M461" s="4" t="s">
        <v>767</v>
      </c>
      <c r="N461" s="5" t="s">
        <v>967</v>
      </c>
    </row>
    <row r="462" customFormat="false" ht="46.25" hidden="false" customHeight="false" outlineLevel="0" collapsed="false">
      <c r="A462" s="4" t="s">
        <v>18</v>
      </c>
      <c r="B462" s="5" t="s">
        <v>965</v>
      </c>
      <c r="C462" s="6" t="s">
        <v>41</v>
      </c>
      <c r="D462" s="6"/>
      <c r="E462" s="4" t="s">
        <v>763</v>
      </c>
      <c r="F462" s="4" t="s">
        <v>205</v>
      </c>
      <c r="G462" s="6" t="s">
        <v>966</v>
      </c>
      <c r="H462" s="6" t="s">
        <v>769</v>
      </c>
      <c r="I462" s="5" t="s">
        <v>770</v>
      </c>
      <c r="J462" s="5" t="s">
        <v>26</v>
      </c>
      <c r="K462" s="7" t="n">
        <v>1</v>
      </c>
      <c r="L462" s="8" t="s">
        <v>771</v>
      </c>
      <c r="M462" s="4" t="s">
        <v>772</v>
      </c>
      <c r="N462" s="5" t="s">
        <v>967</v>
      </c>
    </row>
    <row r="463" customFormat="false" ht="46.25" hidden="false" customHeight="false" outlineLevel="0" collapsed="false">
      <c r="A463" s="4" t="s">
        <v>18</v>
      </c>
      <c r="B463" s="5" t="s">
        <v>965</v>
      </c>
      <c r="C463" s="6" t="s">
        <v>41</v>
      </c>
      <c r="D463" s="6"/>
      <c r="E463" s="4" t="s">
        <v>763</v>
      </c>
      <c r="F463" s="4" t="s">
        <v>488</v>
      </c>
      <c r="G463" s="6" t="s">
        <v>968</v>
      </c>
      <c r="H463" s="6" t="s">
        <v>769</v>
      </c>
      <c r="I463" s="5" t="s">
        <v>770</v>
      </c>
      <c r="J463" s="5" t="s">
        <v>26</v>
      </c>
      <c r="K463" s="7" t="n">
        <v>1</v>
      </c>
      <c r="L463" s="8" t="s">
        <v>771</v>
      </c>
      <c r="M463" s="4" t="s">
        <v>772</v>
      </c>
      <c r="N463" s="5" t="s">
        <v>967</v>
      </c>
    </row>
    <row r="464" customFormat="false" ht="23.85" hidden="false" customHeight="false" outlineLevel="0" collapsed="false">
      <c r="A464" s="4" t="s">
        <v>18</v>
      </c>
      <c r="B464" s="5" t="s">
        <v>969</v>
      </c>
      <c r="C464" s="6" t="s">
        <v>41</v>
      </c>
      <c r="D464" s="6"/>
      <c r="E464" s="4" t="s">
        <v>763</v>
      </c>
      <c r="F464" s="4" t="s">
        <v>913</v>
      </c>
      <c r="G464" s="6" t="s">
        <v>970</v>
      </c>
      <c r="H464" s="6" t="s">
        <v>765</v>
      </c>
      <c r="I464" s="5" t="s">
        <v>766</v>
      </c>
      <c r="J464" s="5" t="s">
        <v>26</v>
      </c>
      <c r="K464" s="7" t="n">
        <v>0.6</v>
      </c>
      <c r="L464" s="6"/>
      <c r="M464" s="4" t="s">
        <v>767</v>
      </c>
      <c r="N464" s="5" t="s">
        <v>971</v>
      </c>
    </row>
    <row r="465" customFormat="false" ht="46.25" hidden="false" customHeight="false" outlineLevel="0" collapsed="false">
      <c r="A465" s="4" t="s">
        <v>18</v>
      </c>
      <c r="B465" s="5" t="s">
        <v>969</v>
      </c>
      <c r="C465" s="6" t="s">
        <v>41</v>
      </c>
      <c r="D465" s="6"/>
      <c r="E465" s="4" t="s">
        <v>763</v>
      </c>
      <c r="F465" s="4" t="s">
        <v>913</v>
      </c>
      <c r="G465" s="6" t="s">
        <v>970</v>
      </c>
      <c r="H465" s="6" t="s">
        <v>769</v>
      </c>
      <c r="I465" s="5" t="s">
        <v>770</v>
      </c>
      <c r="J465" s="5" t="s">
        <v>26</v>
      </c>
      <c r="K465" s="7" t="n">
        <v>1</v>
      </c>
      <c r="L465" s="8" t="s">
        <v>771</v>
      </c>
      <c r="M465" s="4" t="s">
        <v>772</v>
      </c>
      <c r="N465" s="5" t="s">
        <v>971</v>
      </c>
    </row>
    <row r="466" customFormat="false" ht="102.2" hidden="false" customHeight="false" outlineLevel="0" collapsed="false">
      <c r="A466" s="4" t="s">
        <v>18</v>
      </c>
      <c r="B466" s="5" t="s">
        <v>972</v>
      </c>
      <c r="C466" s="6" t="s">
        <v>973</v>
      </c>
      <c r="D466" s="6"/>
      <c r="E466" s="4" t="s">
        <v>763</v>
      </c>
      <c r="F466" s="4" t="s">
        <v>363</v>
      </c>
      <c r="G466" s="6" t="s">
        <v>974</v>
      </c>
      <c r="H466" s="6" t="s">
        <v>765</v>
      </c>
      <c r="I466" s="5" t="s">
        <v>766</v>
      </c>
      <c r="J466" s="5" t="s">
        <v>26</v>
      </c>
      <c r="K466" s="7" t="n">
        <v>0.6</v>
      </c>
      <c r="L466" s="6"/>
      <c r="M466" s="4" t="s">
        <v>767</v>
      </c>
      <c r="N466" s="5" t="s">
        <v>975</v>
      </c>
    </row>
    <row r="467" customFormat="false" ht="102.2" hidden="false" customHeight="false" outlineLevel="0" collapsed="false">
      <c r="A467" s="4" t="s">
        <v>18</v>
      </c>
      <c r="B467" s="5" t="s">
        <v>972</v>
      </c>
      <c r="C467" s="6" t="s">
        <v>973</v>
      </c>
      <c r="D467" s="6"/>
      <c r="E467" s="4" t="s">
        <v>763</v>
      </c>
      <c r="F467" s="4" t="s">
        <v>363</v>
      </c>
      <c r="G467" s="6" t="s">
        <v>974</v>
      </c>
      <c r="H467" s="6" t="s">
        <v>769</v>
      </c>
      <c r="I467" s="5" t="s">
        <v>770</v>
      </c>
      <c r="J467" s="5" t="s">
        <v>26</v>
      </c>
      <c r="K467" s="7" t="n">
        <v>1</v>
      </c>
      <c r="L467" s="8" t="s">
        <v>771</v>
      </c>
      <c r="M467" s="4" t="s">
        <v>772</v>
      </c>
      <c r="N467" s="5" t="s">
        <v>975</v>
      </c>
    </row>
    <row r="468" customFormat="false" ht="23.85" hidden="false" customHeight="false" outlineLevel="0" collapsed="false">
      <c r="A468" s="4" t="s">
        <v>18</v>
      </c>
      <c r="B468" s="5" t="s">
        <v>976</v>
      </c>
      <c r="C468" s="6" t="s">
        <v>41</v>
      </c>
      <c r="D468" s="6"/>
      <c r="E468" s="4" t="s">
        <v>763</v>
      </c>
      <c r="F468" s="4" t="s">
        <v>917</v>
      </c>
      <c r="G468" s="6" t="s">
        <v>977</v>
      </c>
      <c r="H468" s="6" t="s">
        <v>765</v>
      </c>
      <c r="I468" s="5" t="s">
        <v>766</v>
      </c>
      <c r="J468" s="5" t="s">
        <v>26</v>
      </c>
      <c r="K468" s="7" t="n">
        <v>0.6</v>
      </c>
      <c r="L468" s="6"/>
      <c r="M468" s="4" t="s">
        <v>767</v>
      </c>
      <c r="N468" s="5" t="s">
        <v>978</v>
      </c>
    </row>
    <row r="469" customFormat="false" ht="46.25" hidden="false" customHeight="false" outlineLevel="0" collapsed="false">
      <c r="A469" s="4" t="s">
        <v>18</v>
      </c>
      <c r="B469" s="5" t="s">
        <v>976</v>
      </c>
      <c r="C469" s="6" t="s">
        <v>41</v>
      </c>
      <c r="D469" s="6"/>
      <c r="E469" s="4" t="s">
        <v>763</v>
      </c>
      <c r="F469" s="4" t="s">
        <v>917</v>
      </c>
      <c r="G469" s="6" t="s">
        <v>977</v>
      </c>
      <c r="H469" s="6" t="s">
        <v>769</v>
      </c>
      <c r="I469" s="5" t="s">
        <v>770</v>
      </c>
      <c r="J469" s="5" t="s">
        <v>26</v>
      </c>
      <c r="K469" s="7" t="n">
        <v>1</v>
      </c>
      <c r="L469" s="8" t="s">
        <v>771</v>
      </c>
      <c r="M469" s="4" t="s">
        <v>772</v>
      </c>
      <c r="N469" s="5" t="s">
        <v>978</v>
      </c>
    </row>
    <row r="470" customFormat="false" ht="23.85" hidden="false" customHeight="false" outlineLevel="0" collapsed="false">
      <c r="A470" s="4" t="s">
        <v>18</v>
      </c>
      <c r="B470" s="5" t="s">
        <v>979</v>
      </c>
      <c r="C470" s="6" t="s">
        <v>41</v>
      </c>
      <c r="D470" s="6"/>
      <c r="E470" s="4" t="s">
        <v>763</v>
      </c>
      <c r="F470" s="4" t="s">
        <v>745</v>
      </c>
      <c r="G470" s="6" t="s">
        <v>980</v>
      </c>
      <c r="H470" s="6" t="s">
        <v>765</v>
      </c>
      <c r="I470" s="5" t="s">
        <v>766</v>
      </c>
      <c r="J470" s="5" t="s">
        <v>26</v>
      </c>
      <c r="K470" s="7" t="n">
        <v>0.6</v>
      </c>
      <c r="L470" s="6"/>
      <c r="M470" s="4" t="s">
        <v>767</v>
      </c>
      <c r="N470" s="5" t="s">
        <v>981</v>
      </c>
    </row>
    <row r="471" customFormat="false" ht="46.25" hidden="false" customHeight="false" outlineLevel="0" collapsed="false">
      <c r="A471" s="4" t="s">
        <v>18</v>
      </c>
      <c r="B471" s="5" t="s">
        <v>979</v>
      </c>
      <c r="C471" s="6" t="s">
        <v>41</v>
      </c>
      <c r="D471" s="6"/>
      <c r="E471" s="4" t="s">
        <v>763</v>
      </c>
      <c r="F471" s="4" t="s">
        <v>745</v>
      </c>
      <c r="G471" s="6" t="s">
        <v>980</v>
      </c>
      <c r="H471" s="6" t="s">
        <v>769</v>
      </c>
      <c r="I471" s="5" t="s">
        <v>770</v>
      </c>
      <c r="J471" s="5" t="s">
        <v>26</v>
      </c>
      <c r="K471" s="7" t="n">
        <v>1</v>
      </c>
      <c r="L471" s="8" t="s">
        <v>771</v>
      </c>
      <c r="M471" s="4" t="s">
        <v>772</v>
      </c>
      <c r="N471" s="5" t="s">
        <v>981</v>
      </c>
    </row>
    <row r="472" customFormat="false" ht="23.85" hidden="false" customHeight="false" outlineLevel="0" collapsed="false">
      <c r="A472" s="4" t="s">
        <v>18</v>
      </c>
      <c r="B472" s="5" t="s">
        <v>982</v>
      </c>
      <c r="C472" s="6" t="s">
        <v>41</v>
      </c>
      <c r="D472" s="6"/>
      <c r="E472" s="4" t="s">
        <v>763</v>
      </c>
      <c r="F472" s="4" t="s">
        <v>738</v>
      </c>
      <c r="G472" s="6" t="s">
        <v>983</v>
      </c>
      <c r="H472" s="6" t="s">
        <v>765</v>
      </c>
      <c r="I472" s="5" t="s">
        <v>766</v>
      </c>
      <c r="J472" s="5" t="s">
        <v>26</v>
      </c>
      <c r="K472" s="7" t="n">
        <v>0.6</v>
      </c>
      <c r="L472" s="6"/>
      <c r="M472" s="4" t="s">
        <v>767</v>
      </c>
      <c r="N472" s="5" t="s">
        <v>984</v>
      </c>
    </row>
    <row r="473" customFormat="false" ht="46.25" hidden="false" customHeight="false" outlineLevel="0" collapsed="false">
      <c r="A473" s="4" t="s">
        <v>18</v>
      </c>
      <c r="B473" s="5" t="s">
        <v>982</v>
      </c>
      <c r="C473" s="6" t="s">
        <v>41</v>
      </c>
      <c r="D473" s="6"/>
      <c r="E473" s="4" t="s">
        <v>763</v>
      </c>
      <c r="F473" s="4" t="s">
        <v>738</v>
      </c>
      <c r="G473" s="6" t="s">
        <v>983</v>
      </c>
      <c r="H473" s="6" t="s">
        <v>769</v>
      </c>
      <c r="I473" s="5" t="s">
        <v>770</v>
      </c>
      <c r="J473" s="5" t="s">
        <v>26</v>
      </c>
      <c r="K473" s="7" t="n">
        <v>1</v>
      </c>
      <c r="L473" s="8" t="s">
        <v>771</v>
      </c>
      <c r="M473" s="4" t="s">
        <v>772</v>
      </c>
      <c r="N473" s="5" t="s">
        <v>984</v>
      </c>
    </row>
    <row r="474" customFormat="false" ht="23.85" hidden="false" customHeight="false" outlineLevel="0" collapsed="false">
      <c r="A474" s="4" t="s">
        <v>18</v>
      </c>
      <c r="B474" s="5" t="s">
        <v>985</v>
      </c>
      <c r="C474" s="6" t="s">
        <v>41</v>
      </c>
      <c r="D474" s="6"/>
      <c r="E474" s="4" t="s">
        <v>763</v>
      </c>
      <c r="F474" s="4" t="s">
        <v>251</v>
      </c>
      <c r="G474" s="6" t="s">
        <v>986</v>
      </c>
      <c r="H474" s="6" t="s">
        <v>765</v>
      </c>
      <c r="I474" s="5" t="s">
        <v>766</v>
      </c>
      <c r="J474" s="5" t="s">
        <v>26</v>
      </c>
      <c r="K474" s="7" t="n">
        <v>0.6</v>
      </c>
      <c r="L474" s="6"/>
      <c r="M474" s="4" t="s">
        <v>767</v>
      </c>
      <c r="N474" s="5" t="s">
        <v>987</v>
      </c>
    </row>
    <row r="475" customFormat="false" ht="46.25" hidden="false" customHeight="false" outlineLevel="0" collapsed="false">
      <c r="A475" s="4" t="s">
        <v>18</v>
      </c>
      <c r="B475" s="5" t="s">
        <v>985</v>
      </c>
      <c r="C475" s="6" t="s">
        <v>41</v>
      </c>
      <c r="D475" s="6"/>
      <c r="E475" s="4" t="s">
        <v>763</v>
      </c>
      <c r="F475" s="4" t="s">
        <v>251</v>
      </c>
      <c r="G475" s="6" t="s">
        <v>986</v>
      </c>
      <c r="H475" s="6" t="s">
        <v>769</v>
      </c>
      <c r="I475" s="5" t="s">
        <v>770</v>
      </c>
      <c r="J475" s="5" t="s">
        <v>26</v>
      </c>
      <c r="K475" s="7" t="n">
        <v>1</v>
      </c>
      <c r="L475" s="8" t="s">
        <v>771</v>
      </c>
      <c r="M475" s="4" t="s">
        <v>772</v>
      </c>
      <c r="N475" s="5" t="s">
        <v>987</v>
      </c>
    </row>
    <row r="476" customFormat="false" ht="57.45" hidden="false" customHeight="false" outlineLevel="0" collapsed="false">
      <c r="A476" s="4" t="s">
        <v>18</v>
      </c>
      <c r="B476" s="5" t="s">
        <v>988</v>
      </c>
      <c r="C476" s="6" t="s">
        <v>41</v>
      </c>
      <c r="D476" s="6"/>
      <c r="E476" s="4" t="s">
        <v>763</v>
      </c>
      <c r="F476" s="4" t="s">
        <v>882</v>
      </c>
      <c r="G476" s="6" t="s">
        <v>989</v>
      </c>
      <c r="H476" s="6" t="s">
        <v>765</v>
      </c>
      <c r="I476" s="5" t="s">
        <v>766</v>
      </c>
      <c r="J476" s="5" t="s">
        <v>26</v>
      </c>
      <c r="K476" s="7" t="n">
        <v>0.6</v>
      </c>
      <c r="L476" s="6"/>
      <c r="M476" s="4" t="s">
        <v>767</v>
      </c>
      <c r="N476" s="5" t="s">
        <v>990</v>
      </c>
    </row>
    <row r="477" customFormat="false" ht="57.45" hidden="false" customHeight="false" outlineLevel="0" collapsed="false">
      <c r="A477" s="4" t="s">
        <v>18</v>
      </c>
      <c r="B477" s="5" t="s">
        <v>988</v>
      </c>
      <c r="C477" s="6" t="s">
        <v>41</v>
      </c>
      <c r="D477" s="6"/>
      <c r="E477" s="4" t="s">
        <v>763</v>
      </c>
      <c r="F477" s="4" t="s">
        <v>882</v>
      </c>
      <c r="G477" s="6" t="s">
        <v>989</v>
      </c>
      <c r="H477" s="6" t="s">
        <v>769</v>
      </c>
      <c r="I477" s="5" t="s">
        <v>770</v>
      </c>
      <c r="J477" s="5" t="s">
        <v>26</v>
      </c>
      <c r="K477" s="7" t="n">
        <v>1</v>
      </c>
      <c r="L477" s="8" t="s">
        <v>771</v>
      </c>
      <c r="M477" s="4" t="s">
        <v>772</v>
      </c>
      <c r="N477" s="5" t="s">
        <v>990</v>
      </c>
    </row>
    <row r="478" customFormat="false" ht="23.85" hidden="false" customHeight="false" outlineLevel="0" collapsed="false">
      <c r="A478" s="4" t="s">
        <v>18</v>
      </c>
      <c r="B478" s="5" t="s">
        <v>991</v>
      </c>
      <c r="C478" s="6" t="s">
        <v>41</v>
      </c>
      <c r="D478" s="6"/>
      <c r="E478" s="4" t="s">
        <v>763</v>
      </c>
      <c r="F478" s="4" t="s">
        <v>889</v>
      </c>
      <c r="G478" s="6" t="s">
        <v>992</v>
      </c>
      <c r="H478" s="6" t="s">
        <v>765</v>
      </c>
      <c r="I478" s="5" t="s">
        <v>766</v>
      </c>
      <c r="J478" s="5" t="s">
        <v>26</v>
      </c>
      <c r="K478" s="7" t="n">
        <v>0.6</v>
      </c>
      <c r="L478" s="6"/>
      <c r="M478" s="4" t="s">
        <v>767</v>
      </c>
      <c r="N478" s="5" t="s">
        <v>993</v>
      </c>
    </row>
    <row r="479" customFormat="false" ht="46.25" hidden="false" customHeight="false" outlineLevel="0" collapsed="false">
      <c r="A479" s="4" t="s">
        <v>18</v>
      </c>
      <c r="B479" s="5" t="s">
        <v>991</v>
      </c>
      <c r="C479" s="6" t="s">
        <v>41</v>
      </c>
      <c r="D479" s="6"/>
      <c r="E479" s="4" t="s">
        <v>763</v>
      </c>
      <c r="F479" s="4" t="s">
        <v>889</v>
      </c>
      <c r="G479" s="6" t="s">
        <v>992</v>
      </c>
      <c r="H479" s="6" t="s">
        <v>769</v>
      </c>
      <c r="I479" s="5" t="s">
        <v>770</v>
      </c>
      <c r="J479" s="5" t="s">
        <v>26</v>
      </c>
      <c r="K479" s="7" t="n">
        <v>1</v>
      </c>
      <c r="L479" s="8" t="s">
        <v>771</v>
      </c>
      <c r="M479" s="4" t="s">
        <v>772</v>
      </c>
      <c r="N479" s="5" t="s">
        <v>993</v>
      </c>
    </row>
    <row r="480" customFormat="false" ht="23.85" hidden="false" customHeight="false" outlineLevel="0" collapsed="false">
      <c r="A480" s="4" t="s">
        <v>18</v>
      </c>
      <c r="B480" s="5" t="s">
        <v>994</v>
      </c>
      <c r="C480" s="6" t="s">
        <v>41</v>
      </c>
      <c r="D480" s="6"/>
      <c r="E480" s="4" t="s">
        <v>763</v>
      </c>
      <c r="F480" s="4" t="s">
        <v>512</v>
      </c>
      <c r="G480" s="6" t="s">
        <v>995</v>
      </c>
      <c r="H480" s="6" t="s">
        <v>765</v>
      </c>
      <c r="I480" s="5" t="s">
        <v>766</v>
      </c>
      <c r="J480" s="5" t="s">
        <v>26</v>
      </c>
      <c r="K480" s="7" t="n">
        <v>0.6</v>
      </c>
      <c r="L480" s="6"/>
      <c r="M480" s="4" t="s">
        <v>767</v>
      </c>
      <c r="N480" s="5" t="s">
        <v>996</v>
      </c>
    </row>
    <row r="481" customFormat="false" ht="46.25" hidden="false" customHeight="false" outlineLevel="0" collapsed="false">
      <c r="A481" s="4" t="s">
        <v>18</v>
      </c>
      <c r="B481" s="5" t="s">
        <v>994</v>
      </c>
      <c r="C481" s="6" t="s">
        <v>41</v>
      </c>
      <c r="D481" s="6"/>
      <c r="E481" s="4" t="s">
        <v>763</v>
      </c>
      <c r="F481" s="4" t="s">
        <v>512</v>
      </c>
      <c r="G481" s="6" t="s">
        <v>995</v>
      </c>
      <c r="H481" s="6" t="s">
        <v>769</v>
      </c>
      <c r="I481" s="5" t="s">
        <v>770</v>
      </c>
      <c r="J481" s="5" t="s">
        <v>26</v>
      </c>
      <c r="K481" s="7" t="n">
        <v>1</v>
      </c>
      <c r="L481" s="8" t="s">
        <v>771</v>
      </c>
      <c r="M481" s="4" t="s">
        <v>772</v>
      </c>
      <c r="N481" s="5" t="s">
        <v>996</v>
      </c>
    </row>
    <row r="482" customFormat="false" ht="23.85" hidden="false" customHeight="false" outlineLevel="0" collapsed="false">
      <c r="A482" s="4" t="s">
        <v>18</v>
      </c>
      <c r="B482" s="5" t="s">
        <v>722</v>
      </c>
      <c r="C482" s="6" t="s">
        <v>997</v>
      </c>
      <c r="D482" s="6"/>
      <c r="E482" s="4" t="s">
        <v>21</v>
      </c>
      <c r="F482" s="4" t="s">
        <v>172</v>
      </c>
      <c r="G482" s="6" t="s">
        <v>998</v>
      </c>
      <c r="H482" s="6" t="s">
        <v>24</v>
      </c>
      <c r="I482" s="5" t="s">
        <v>25</v>
      </c>
      <c r="J482" s="5" t="s">
        <v>26</v>
      </c>
      <c r="K482" s="7" t="n">
        <v>0.6</v>
      </c>
      <c r="L482" s="6"/>
      <c r="M482" s="4" t="s">
        <v>27</v>
      </c>
      <c r="N482" s="5" t="s">
        <v>999</v>
      </c>
    </row>
    <row r="483" customFormat="false" ht="23.85" hidden="false" customHeight="false" outlineLevel="0" collapsed="false">
      <c r="A483" s="4" t="s">
        <v>18</v>
      </c>
      <c r="B483" s="5" t="s">
        <v>1000</v>
      </c>
      <c r="C483" s="6" t="s">
        <v>41</v>
      </c>
      <c r="D483" s="6"/>
      <c r="E483" s="4" t="s">
        <v>21</v>
      </c>
      <c r="F483" s="4" t="s">
        <v>136</v>
      </c>
      <c r="G483" s="6" t="s">
        <v>1001</v>
      </c>
      <c r="H483" s="6" t="s">
        <v>24</v>
      </c>
      <c r="I483" s="5" t="s">
        <v>25</v>
      </c>
      <c r="J483" s="5" t="s">
        <v>26</v>
      </c>
      <c r="K483" s="7" t="n">
        <v>0.6</v>
      </c>
      <c r="L483" s="6"/>
      <c r="M483" s="4" t="s">
        <v>27</v>
      </c>
      <c r="N483" s="5" t="s">
        <v>1002</v>
      </c>
    </row>
    <row r="484" customFormat="false" ht="23.85" hidden="false" customHeight="false" outlineLevel="0" collapsed="false">
      <c r="A484" s="4" t="s">
        <v>18</v>
      </c>
      <c r="B484" s="5" t="s">
        <v>1003</v>
      </c>
      <c r="C484" s="6" t="s">
        <v>41</v>
      </c>
      <c r="D484" s="6"/>
      <c r="E484" s="4" t="s">
        <v>476</v>
      </c>
      <c r="F484" s="4" t="s">
        <v>1004</v>
      </c>
      <c r="G484" s="6" t="s">
        <v>1005</v>
      </c>
      <c r="H484" s="6" t="s">
        <v>479</v>
      </c>
      <c r="I484" s="5" t="s">
        <v>480</v>
      </c>
      <c r="J484" s="5" t="s">
        <v>26</v>
      </c>
      <c r="K484" s="7" t="n">
        <v>0.6</v>
      </c>
      <c r="L484" s="6"/>
      <c r="M484" s="4" t="s">
        <v>481</v>
      </c>
      <c r="N484" s="5" t="s">
        <v>1006</v>
      </c>
    </row>
    <row r="485" customFormat="false" ht="35.05" hidden="false" customHeight="false" outlineLevel="0" collapsed="false">
      <c r="A485" s="4" t="s">
        <v>18</v>
      </c>
      <c r="B485" s="5" t="s">
        <v>1003</v>
      </c>
      <c r="C485" s="6" t="s">
        <v>41</v>
      </c>
      <c r="D485" s="6"/>
      <c r="E485" s="4" t="s">
        <v>476</v>
      </c>
      <c r="F485" s="4" t="s">
        <v>1004</v>
      </c>
      <c r="G485" s="6" t="s">
        <v>1005</v>
      </c>
      <c r="H485" s="6" t="s">
        <v>483</v>
      </c>
      <c r="I485" s="5" t="s">
        <v>484</v>
      </c>
      <c r="J485" s="5" t="s">
        <v>26</v>
      </c>
      <c r="K485" s="7" t="n">
        <v>1</v>
      </c>
      <c r="L485" s="8" t="s">
        <v>485</v>
      </c>
      <c r="M485" s="4" t="s">
        <v>486</v>
      </c>
      <c r="N485" s="5" t="s">
        <v>1006</v>
      </c>
    </row>
    <row r="486" customFormat="false" ht="23.85" hidden="false" customHeight="false" outlineLevel="0" collapsed="false">
      <c r="A486" s="4" t="s">
        <v>18</v>
      </c>
      <c r="B486" s="5" t="s">
        <v>1007</v>
      </c>
      <c r="C486" s="6" t="s">
        <v>41</v>
      </c>
      <c r="D486" s="6"/>
      <c r="E486" s="4" t="s">
        <v>476</v>
      </c>
      <c r="F486" s="4" t="s">
        <v>1004</v>
      </c>
      <c r="G486" s="6" t="s">
        <v>1005</v>
      </c>
      <c r="H486" s="6" t="s">
        <v>479</v>
      </c>
      <c r="I486" s="5" t="s">
        <v>480</v>
      </c>
      <c r="J486" s="5" t="s">
        <v>26</v>
      </c>
      <c r="K486" s="7" t="n">
        <v>0.6</v>
      </c>
      <c r="L486" s="6"/>
      <c r="M486" s="4" t="s">
        <v>481</v>
      </c>
      <c r="N486" s="5" t="s">
        <v>1008</v>
      </c>
    </row>
    <row r="487" customFormat="false" ht="35.05" hidden="false" customHeight="false" outlineLevel="0" collapsed="false">
      <c r="A487" s="4" t="s">
        <v>18</v>
      </c>
      <c r="B487" s="5" t="s">
        <v>1007</v>
      </c>
      <c r="C487" s="6" t="s">
        <v>41</v>
      </c>
      <c r="D487" s="6"/>
      <c r="E487" s="4" t="s">
        <v>476</v>
      </c>
      <c r="F487" s="4" t="s">
        <v>1004</v>
      </c>
      <c r="G487" s="6" t="s">
        <v>1005</v>
      </c>
      <c r="H487" s="6" t="s">
        <v>483</v>
      </c>
      <c r="I487" s="5" t="s">
        <v>484</v>
      </c>
      <c r="J487" s="5" t="s">
        <v>26</v>
      </c>
      <c r="K487" s="7" t="n">
        <v>1</v>
      </c>
      <c r="L487" s="8" t="s">
        <v>485</v>
      </c>
      <c r="M487" s="4" t="s">
        <v>486</v>
      </c>
      <c r="N487" s="5" t="s">
        <v>1008</v>
      </c>
    </row>
    <row r="488" customFormat="false" ht="247.75" hidden="false" customHeight="false" outlineLevel="0" collapsed="false">
      <c r="A488" s="4" t="s">
        <v>18</v>
      </c>
      <c r="B488" s="5" t="s">
        <v>1009</v>
      </c>
      <c r="C488" s="6" t="s">
        <v>1010</v>
      </c>
      <c r="D488" s="6"/>
      <c r="E488" s="4" t="s">
        <v>21</v>
      </c>
      <c r="F488" s="4" t="s">
        <v>239</v>
      </c>
      <c r="G488" s="6" t="s">
        <v>240</v>
      </c>
      <c r="H488" s="6" t="s">
        <v>24</v>
      </c>
      <c r="I488" s="5" t="s">
        <v>25</v>
      </c>
      <c r="J488" s="5" t="s">
        <v>26</v>
      </c>
      <c r="K488" s="7" t="n">
        <v>0.6</v>
      </c>
      <c r="L488" s="6"/>
      <c r="M488" s="4" t="s">
        <v>27</v>
      </c>
      <c r="N488" s="5" t="s">
        <v>1011</v>
      </c>
    </row>
    <row r="489" customFormat="false" ht="23.85" hidden="false" customHeight="false" outlineLevel="0" collapsed="false">
      <c r="A489" s="4" t="s">
        <v>18</v>
      </c>
      <c r="B489" s="5" t="s">
        <v>1012</v>
      </c>
      <c r="C489" s="6" t="s">
        <v>41</v>
      </c>
      <c r="D489" s="6"/>
      <c r="E489" s="4" t="s">
        <v>1013</v>
      </c>
      <c r="F489" s="4" t="s">
        <v>172</v>
      </c>
      <c r="G489" s="6" t="s">
        <v>1014</v>
      </c>
      <c r="H489" s="6" t="s">
        <v>1015</v>
      </c>
      <c r="I489" s="5" t="s">
        <v>1016</v>
      </c>
      <c r="J489" s="5" t="s">
        <v>26</v>
      </c>
      <c r="K489" s="7" t="n">
        <v>0.6</v>
      </c>
      <c r="L489" s="6"/>
      <c r="M489" s="4" t="s">
        <v>1017</v>
      </c>
      <c r="N489" s="5" t="s">
        <v>1018</v>
      </c>
    </row>
    <row r="490" customFormat="false" ht="23.85" hidden="false" customHeight="false" outlineLevel="0" collapsed="false">
      <c r="A490" s="4" t="s">
        <v>18</v>
      </c>
      <c r="B490" s="5" t="s">
        <v>1019</v>
      </c>
      <c r="C490" s="6" t="s">
        <v>41</v>
      </c>
      <c r="D490" s="6"/>
      <c r="E490" s="4" t="s">
        <v>1013</v>
      </c>
      <c r="F490" s="4" t="s">
        <v>136</v>
      </c>
      <c r="G490" s="6" t="s">
        <v>1020</v>
      </c>
      <c r="H490" s="6" t="s">
        <v>1015</v>
      </c>
      <c r="I490" s="5" t="s">
        <v>1016</v>
      </c>
      <c r="J490" s="5" t="s">
        <v>26</v>
      </c>
      <c r="K490" s="7" t="n">
        <v>0.6</v>
      </c>
      <c r="L490" s="6"/>
      <c r="M490" s="4" t="s">
        <v>1017</v>
      </c>
      <c r="N490" s="5" t="s">
        <v>1021</v>
      </c>
    </row>
    <row r="491" customFormat="false" ht="23.85" hidden="false" customHeight="false" outlineLevel="0" collapsed="false">
      <c r="A491" s="4" t="s">
        <v>18</v>
      </c>
      <c r="B491" s="5" t="s">
        <v>1022</v>
      </c>
      <c r="C491" s="6" t="s">
        <v>41</v>
      </c>
      <c r="D491" s="6"/>
      <c r="E491" s="4" t="s">
        <v>1013</v>
      </c>
      <c r="F491" s="4" t="s">
        <v>334</v>
      </c>
      <c r="G491" s="6" t="s">
        <v>1023</v>
      </c>
      <c r="H491" s="6" t="s">
        <v>1015</v>
      </c>
      <c r="I491" s="5" t="s">
        <v>1016</v>
      </c>
      <c r="J491" s="5" t="s">
        <v>26</v>
      </c>
      <c r="K491" s="7" t="n">
        <v>0.6</v>
      </c>
      <c r="L491" s="6"/>
      <c r="M491" s="4" t="s">
        <v>1017</v>
      </c>
      <c r="N491" s="5" t="s">
        <v>1024</v>
      </c>
    </row>
    <row r="492" customFormat="false" ht="23.85" hidden="false" customHeight="false" outlineLevel="0" collapsed="false">
      <c r="A492" s="4" t="s">
        <v>18</v>
      </c>
      <c r="B492" s="5" t="s">
        <v>1025</v>
      </c>
      <c r="C492" s="6" t="s">
        <v>41</v>
      </c>
      <c r="D492" s="6"/>
      <c r="E492" s="4" t="s">
        <v>476</v>
      </c>
      <c r="F492" s="4" t="s">
        <v>1026</v>
      </c>
      <c r="G492" s="6" t="s">
        <v>1027</v>
      </c>
      <c r="H492" s="6" t="s">
        <v>479</v>
      </c>
      <c r="I492" s="5" t="s">
        <v>480</v>
      </c>
      <c r="J492" s="5" t="s">
        <v>26</v>
      </c>
      <c r="K492" s="7" t="n">
        <v>0.6</v>
      </c>
      <c r="L492" s="6"/>
      <c r="M492" s="4" t="s">
        <v>481</v>
      </c>
      <c r="N492" s="5" t="s">
        <v>1028</v>
      </c>
    </row>
    <row r="493" customFormat="false" ht="35.05" hidden="false" customHeight="false" outlineLevel="0" collapsed="false">
      <c r="A493" s="4" t="s">
        <v>18</v>
      </c>
      <c r="B493" s="5" t="s">
        <v>1025</v>
      </c>
      <c r="C493" s="6" t="s">
        <v>41</v>
      </c>
      <c r="D493" s="6"/>
      <c r="E493" s="4" t="s">
        <v>476</v>
      </c>
      <c r="F493" s="4" t="s">
        <v>1026</v>
      </c>
      <c r="G493" s="6" t="s">
        <v>1027</v>
      </c>
      <c r="H493" s="6" t="s">
        <v>483</v>
      </c>
      <c r="I493" s="5" t="s">
        <v>484</v>
      </c>
      <c r="J493" s="5" t="s">
        <v>26</v>
      </c>
      <c r="K493" s="7" t="n">
        <v>1</v>
      </c>
      <c r="L493" s="8" t="s">
        <v>485</v>
      </c>
      <c r="M493" s="4" t="s">
        <v>486</v>
      </c>
      <c r="N493" s="5" t="s">
        <v>1028</v>
      </c>
    </row>
    <row r="494" customFormat="false" ht="23.85" hidden="false" customHeight="false" outlineLevel="0" collapsed="false">
      <c r="A494" s="4" t="s">
        <v>18</v>
      </c>
      <c r="B494" s="5" t="s">
        <v>1029</v>
      </c>
      <c r="C494" s="6" t="s">
        <v>1030</v>
      </c>
      <c r="D494" s="6"/>
      <c r="E494" s="4" t="s">
        <v>21</v>
      </c>
      <c r="F494" s="4" t="s">
        <v>488</v>
      </c>
      <c r="G494" s="6" t="s">
        <v>1031</v>
      </c>
      <c r="H494" s="6" t="s">
        <v>24</v>
      </c>
      <c r="I494" s="5" t="s">
        <v>25</v>
      </c>
      <c r="J494" s="5" t="s">
        <v>26</v>
      </c>
      <c r="K494" s="7" t="n">
        <v>0.6</v>
      </c>
      <c r="L494" s="6"/>
      <c r="M494" s="4" t="s">
        <v>27</v>
      </c>
      <c r="N494" s="5" t="s">
        <v>1032</v>
      </c>
    </row>
    <row r="495" customFormat="false" ht="23.85" hidden="false" customHeight="false" outlineLevel="0" collapsed="false">
      <c r="A495" s="4" t="s">
        <v>18</v>
      </c>
      <c r="B495" s="5" t="s">
        <v>1033</v>
      </c>
      <c r="C495" s="6" t="s">
        <v>41</v>
      </c>
      <c r="D495" s="6"/>
      <c r="E495" s="4" t="s">
        <v>580</v>
      </c>
      <c r="F495" s="4" t="s">
        <v>1034</v>
      </c>
      <c r="G495" s="6" t="s">
        <v>1035</v>
      </c>
      <c r="H495" s="6" t="s">
        <v>583</v>
      </c>
      <c r="I495" s="5" t="s">
        <v>584</v>
      </c>
      <c r="J495" s="5" t="s">
        <v>26</v>
      </c>
      <c r="K495" s="7" t="n">
        <v>0.6</v>
      </c>
      <c r="L495" s="8" t="s">
        <v>585</v>
      </c>
      <c r="M495" s="4" t="s">
        <v>586</v>
      </c>
      <c r="N495" s="5" t="s">
        <v>1036</v>
      </c>
    </row>
    <row r="496" customFormat="false" ht="23.85" hidden="false" customHeight="false" outlineLevel="0" collapsed="false">
      <c r="A496" s="4" t="s">
        <v>18</v>
      </c>
      <c r="B496" s="5" t="s">
        <v>1033</v>
      </c>
      <c r="C496" s="6" t="s">
        <v>41</v>
      </c>
      <c r="D496" s="6"/>
      <c r="E496" s="4" t="s">
        <v>580</v>
      </c>
      <c r="F496" s="4" t="s">
        <v>1034</v>
      </c>
      <c r="G496" s="6" t="s">
        <v>1035</v>
      </c>
      <c r="H496" s="6" t="s">
        <v>588</v>
      </c>
      <c r="I496" s="5" t="s">
        <v>589</v>
      </c>
      <c r="J496" s="5" t="s">
        <v>26</v>
      </c>
      <c r="K496" s="7" t="n">
        <v>0.6</v>
      </c>
      <c r="L496" s="8" t="s">
        <v>590</v>
      </c>
      <c r="M496" s="4" t="s">
        <v>591</v>
      </c>
      <c r="N496" s="5" t="s">
        <v>1036</v>
      </c>
    </row>
    <row r="497" customFormat="false" ht="23.85" hidden="false" customHeight="false" outlineLevel="0" collapsed="false">
      <c r="A497" s="4" t="s">
        <v>18</v>
      </c>
      <c r="B497" s="5" t="s">
        <v>1037</v>
      </c>
      <c r="C497" s="6" t="s">
        <v>41</v>
      </c>
      <c r="D497" s="6"/>
      <c r="E497" s="4" t="s">
        <v>763</v>
      </c>
      <c r="F497" s="4" t="s">
        <v>186</v>
      </c>
      <c r="G497" s="6" t="s">
        <v>1038</v>
      </c>
      <c r="H497" s="6" t="s">
        <v>765</v>
      </c>
      <c r="I497" s="5" t="s">
        <v>766</v>
      </c>
      <c r="J497" s="5" t="s">
        <v>26</v>
      </c>
      <c r="K497" s="7" t="n">
        <v>0.6</v>
      </c>
      <c r="L497" s="6"/>
      <c r="M497" s="4" t="s">
        <v>767</v>
      </c>
      <c r="N497" s="5" t="s">
        <v>1039</v>
      </c>
    </row>
    <row r="498" customFormat="false" ht="46.25" hidden="false" customHeight="false" outlineLevel="0" collapsed="false">
      <c r="A498" s="4" t="s">
        <v>18</v>
      </c>
      <c r="B498" s="5" t="s">
        <v>1037</v>
      </c>
      <c r="C498" s="6" t="s">
        <v>41</v>
      </c>
      <c r="D498" s="6"/>
      <c r="E498" s="4" t="s">
        <v>763</v>
      </c>
      <c r="F498" s="4" t="s">
        <v>186</v>
      </c>
      <c r="G498" s="6" t="s">
        <v>1038</v>
      </c>
      <c r="H498" s="6" t="s">
        <v>769</v>
      </c>
      <c r="I498" s="5" t="s">
        <v>770</v>
      </c>
      <c r="J498" s="5" t="s">
        <v>26</v>
      </c>
      <c r="K498" s="7" t="n">
        <v>1</v>
      </c>
      <c r="L498" s="8" t="s">
        <v>771</v>
      </c>
      <c r="M498" s="4" t="s">
        <v>772</v>
      </c>
      <c r="N498" s="5" t="s">
        <v>1039</v>
      </c>
    </row>
    <row r="499" customFormat="false" ht="23.85" hidden="false" customHeight="false" outlineLevel="0" collapsed="false">
      <c r="A499" s="4" t="s">
        <v>18</v>
      </c>
      <c r="B499" s="5" t="s">
        <v>1040</v>
      </c>
      <c r="C499" s="6" t="s">
        <v>41</v>
      </c>
      <c r="D499" s="6"/>
      <c r="E499" s="4" t="s">
        <v>763</v>
      </c>
      <c r="F499" s="4" t="s">
        <v>718</v>
      </c>
      <c r="G499" s="6" t="s">
        <v>1041</v>
      </c>
      <c r="H499" s="6" t="s">
        <v>765</v>
      </c>
      <c r="I499" s="5" t="s">
        <v>766</v>
      </c>
      <c r="J499" s="5" t="s">
        <v>26</v>
      </c>
      <c r="K499" s="7" t="n">
        <v>0.6</v>
      </c>
      <c r="L499" s="6"/>
      <c r="M499" s="4" t="s">
        <v>767</v>
      </c>
      <c r="N499" s="5" t="s">
        <v>1042</v>
      </c>
    </row>
    <row r="500" customFormat="false" ht="46.25" hidden="false" customHeight="false" outlineLevel="0" collapsed="false">
      <c r="A500" s="4" t="s">
        <v>18</v>
      </c>
      <c r="B500" s="5" t="s">
        <v>1040</v>
      </c>
      <c r="C500" s="6" t="s">
        <v>41</v>
      </c>
      <c r="D500" s="6"/>
      <c r="E500" s="4" t="s">
        <v>763</v>
      </c>
      <c r="F500" s="4" t="s">
        <v>718</v>
      </c>
      <c r="G500" s="6" t="s">
        <v>1041</v>
      </c>
      <c r="H500" s="6" t="s">
        <v>769</v>
      </c>
      <c r="I500" s="5" t="s">
        <v>770</v>
      </c>
      <c r="J500" s="5" t="s">
        <v>26</v>
      </c>
      <c r="K500" s="7" t="n">
        <v>1</v>
      </c>
      <c r="L500" s="8" t="s">
        <v>771</v>
      </c>
      <c r="M500" s="4" t="s">
        <v>772</v>
      </c>
      <c r="N500" s="5" t="s">
        <v>1042</v>
      </c>
    </row>
    <row r="501" customFormat="false" ht="23.85" hidden="false" customHeight="false" outlineLevel="0" collapsed="false">
      <c r="A501" s="4" t="s">
        <v>18</v>
      </c>
      <c r="B501" s="5" t="s">
        <v>1043</v>
      </c>
      <c r="C501" s="6" t="s">
        <v>41</v>
      </c>
      <c r="D501" s="6"/>
      <c r="E501" s="4" t="s">
        <v>763</v>
      </c>
      <c r="F501" s="4" t="s">
        <v>48</v>
      </c>
      <c r="G501" s="6" t="s">
        <v>1044</v>
      </c>
      <c r="H501" s="6" t="s">
        <v>765</v>
      </c>
      <c r="I501" s="5" t="s">
        <v>766</v>
      </c>
      <c r="J501" s="5" t="s">
        <v>26</v>
      </c>
      <c r="K501" s="7" t="n">
        <v>0.6</v>
      </c>
      <c r="L501" s="6"/>
      <c r="M501" s="4" t="s">
        <v>767</v>
      </c>
      <c r="N501" s="5" t="s">
        <v>1045</v>
      </c>
    </row>
    <row r="502" customFormat="false" ht="46.25" hidden="false" customHeight="false" outlineLevel="0" collapsed="false">
      <c r="A502" s="4" t="s">
        <v>18</v>
      </c>
      <c r="B502" s="5" t="s">
        <v>1043</v>
      </c>
      <c r="C502" s="6" t="s">
        <v>41</v>
      </c>
      <c r="D502" s="6"/>
      <c r="E502" s="4" t="s">
        <v>763</v>
      </c>
      <c r="F502" s="4" t="s">
        <v>48</v>
      </c>
      <c r="G502" s="6" t="s">
        <v>1044</v>
      </c>
      <c r="H502" s="6" t="s">
        <v>769</v>
      </c>
      <c r="I502" s="5" t="s">
        <v>770</v>
      </c>
      <c r="J502" s="5" t="s">
        <v>26</v>
      </c>
      <c r="K502" s="7" t="n">
        <v>1</v>
      </c>
      <c r="L502" s="8" t="s">
        <v>771</v>
      </c>
      <c r="M502" s="4" t="s">
        <v>772</v>
      </c>
      <c r="N502" s="5" t="s">
        <v>1045</v>
      </c>
    </row>
    <row r="503" customFormat="false" ht="23.85" hidden="false" customHeight="false" outlineLevel="0" collapsed="false">
      <c r="A503" s="4" t="s">
        <v>18</v>
      </c>
      <c r="B503" s="5" t="s">
        <v>1046</v>
      </c>
      <c r="C503" s="6" t="s">
        <v>41</v>
      </c>
      <c r="D503" s="6"/>
      <c r="E503" s="4" t="s">
        <v>763</v>
      </c>
      <c r="F503" s="4" t="s">
        <v>395</v>
      </c>
      <c r="G503" s="6" t="s">
        <v>1047</v>
      </c>
      <c r="H503" s="6" t="s">
        <v>765</v>
      </c>
      <c r="I503" s="5" t="s">
        <v>766</v>
      </c>
      <c r="J503" s="5" t="s">
        <v>26</v>
      </c>
      <c r="K503" s="7" t="n">
        <v>0.6</v>
      </c>
      <c r="L503" s="6"/>
      <c r="M503" s="4" t="s">
        <v>767</v>
      </c>
      <c r="N503" s="5" t="s">
        <v>1048</v>
      </c>
    </row>
    <row r="504" customFormat="false" ht="46.25" hidden="false" customHeight="false" outlineLevel="0" collapsed="false">
      <c r="A504" s="4" t="s">
        <v>18</v>
      </c>
      <c r="B504" s="5" t="s">
        <v>1046</v>
      </c>
      <c r="C504" s="6" t="s">
        <v>41</v>
      </c>
      <c r="D504" s="6"/>
      <c r="E504" s="4" t="s">
        <v>763</v>
      </c>
      <c r="F504" s="4" t="s">
        <v>395</v>
      </c>
      <c r="G504" s="6" t="s">
        <v>1047</v>
      </c>
      <c r="H504" s="6" t="s">
        <v>769</v>
      </c>
      <c r="I504" s="5" t="s">
        <v>770</v>
      </c>
      <c r="J504" s="5" t="s">
        <v>26</v>
      </c>
      <c r="K504" s="7" t="n">
        <v>1</v>
      </c>
      <c r="L504" s="8" t="s">
        <v>771</v>
      </c>
      <c r="M504" s="4" t="s">
        <v>772</v>
      </c>
      <c r="N504" s="5" t="s">
        <v>1048</v>
      </c>
    </row>
    <row r="505" customFormat="false" ht="247.75" hidden="false" customHeight="false" outlineLevel="0" collapsed="false">
      <c r="A505" s="4" t="s">
        <v>18</v>
      </c>
      <c r="B505" s="5" t="s">
        <v>1049</v>
      </c>
      <c r="C505" s="6" t="s">
        <v>41</v>
      </c>
      <c r="D505" s="6"/>
      <c r="E505" s="4" t="s">
        <v>21</v>
      </c>
      <c r="F505" s="4" t="s">
        <v>239</v>
      </c>
      <c r="G505" s="6" t="s">
        <v>240</v>
      </c>
      <c r="H505" s="6" t="s">
        <v>24</v>
      </c>
      <c r="I505" s="5" t="s">
        <v>25</v>
      </c>
      <c r="J505" s="5" t="s">
        <v>26</v>
      </c>
      <c r="K505" s="7" t="n">
        <v>0.6</v>
      </c>
      <c r="L505" s="6"/>
      <c r="M505" s="4" t="s">
        <v>27</v>
      </c>
      <c r="N505" s="5" t="s">
        <v>1050</v>
      </c>
    </row>
    <row r="506" customFormat="false" ht="247.75" hidden="false" customHeight="false" outlineLevel="0" collapsed="false">
      <c r="A506" s="4" t="s">
        <v>18</v>
      </c>
      <c r="B506" s="5" t="s">
        <v>1051</v>
      </c>
      <c r="C506" s="6" t="s">
        <v>1052</v>
      </c>
      <c r="D506" s="6"/>
      <c r="E506" s="4" t="s">
        <v>21</v>
      </c>
      <c r="F506" s="4" t="s">
        <v>239</v>
      </c>
      <c r="G506" s="6" t="s">
        <v>240</v>
      </c>
      <c r="H506" s="6" t="s">
        <v>24</v>
      </c>
      <c r="I506" s="5" t="s">
        <v>25</v>
      </c>
      <c r="J506" s="5" t="s">
        <v>26</v>
      </c>
      <c r="K506" s="7" t="n">
        <v>0.6</v>
      </c>
      <c r="L506" s="6"/>
      <c r="M506" s="4" t="s">
        <v>27</v>
      </c>
      <c r="N506" s="5" t="s">
        <v>1053</v>
      </c>
    </row>
    <row r="507" customFormat="false" ht="35.05" hidden="false" customHeight="false" outlineLevel="0" collapsed="false">
      <c r="A507" s="4" t="s">
        <v>18</v>
      </c>
      <c r="B507" s="5" t="s">
        <v>1054</v>
      </c>
      <c r="C507" s="6" t="s">
        <v>41</v>
      </c>
      <c r="D507" s="6"/>
      <c r="E507" s="4" t="s">
        <v>21</v>
      </c>
      <c r="F507" s="4" t="s">
        <v>205</v>
      </c>
      <c r="G507" s="6" t="s">
        <v>444</v>
      </c>
      <c r="H507" s="6" t="s">
        <v>24</v>
      </c>
      <c r="I507" s="5" t="s">
        <v>25</v>
      </c>
      <c r="J507" s="5" t="s">
        <v>26</v>
      </c>
      <c r="K507" s="7" t="n">
        <v>0.6</v>
      </c>
      <c r="L507" s="6"/>
      <c r="M507" s="4" t="s">
        <v>27</v>
      </c>
      <c r="N507" s="5" t="s">
        <v>1055</v>
      </c>
    </row>
    <row r="508" customFormat="false" ht="35.05" hidden="false" customHeight="false" outlineLevel="0" collapsed="false">
      <c r="A508" s="4" t="s">
        <v>18</v>
      </c>
      <c r="B508" s="5" t="s">
        <v>1056</v>
      </c>
      <c r="C508" s="6" t="s">
        <v>1057</v>
      </c>
      <c r="D508" s="6"/>
      <c r="E508" s="4" t="s">
        <v>21</v>
      </c>
      <c r="F508" s="4" t="s">
        <v>205</v>
      </c>
      <c r="G508" s="6" t="s">
        <v>444</v>
      </c>
      <c r="H508" s="6" t="s">
        <v>24</v>
      </c>
      <c r="I508" s="5" t="s">
        <v>25</v>
      </c>
      <c r="J508" s="5" t="s">
        <v>26</v>
      </c>
      <c r="K508" s="7" t="n">
        <v>0.6</v>
      </c>
      <c r="L508" s="6"/>
      <c r="M508" s="4" t="s">
        <v>27</v>
      </c>
      <c r="N508" s="5" t="s">
        <v>1058</v>
      </c>
    </row>
    <row r="509" customFormat="false" ht="91" hidden="false" customHeight="false" outlineLevel="0" collapsed="false">
      <c r="A509" s="4" t="s">
        <v>18</v>
      </c>
      <c r="B509" s="5" t="s">
        <v>1056</v>
      </c>
      <c r="C509" s="6" t="s">
        <v>1057</v>
      </c>
      <c r="D509" s="6"/>
      <c r="E509" s="4" t="s">
        <v>21</v>
      </c>
      <c r="F509" s="4" t="s">
        <v>334</v>
      </c>
      <c r="G509" s="6" t="s">
        <v>1059</v>
      </c>
      <c r="H509" s="6" t="s">
        <v>24</v>
      </c>
      <c r="I509" s="5" t="s">
        <v>25</v>
      </c>
      <c r="J509" s="5" t="s">
        <v>26</v>
      </c>
      <c r="K509" s="7" t="n">
        <v>0.6</v>
      </c>
      <c r="L509" s="6"/>
      <c r="M509" s="4" t="s">
        <v>27</v>
      </c>
      <c r="N509" s="5" t="s">
        <v>1058</v>
      </c>
    </row>
    <row r="510" customFormat="false" ht="23.85" hidden="false" customHeight="false" outlineLevel="0" collapsed="false">
      <c r="A510" s="4" t="s">
        <v>18</v>
      </c>
      <c r="B510" s="5" t="s">
        <v>1060</v>
      </c>
      <c r="C510" s="6" t="s">
        <v>41</v>
      </c>
      <c r="D510" s="6"/>
      <c r="E510" s="4" t="s">
        <v>1013</v>
      </c>
      <c r="F510" s="4" t="s">
        <v>205</v>
      </c>
      <c r="G510" s="6" t="s">
        <v>1061</v>
      </c>
      <c r="H510" s="6" t="s">
        <v>1015</v>
      </c>
      <c r="I510" s="5" t="s">
        <v>1016</v>
      </c>
      <c r="J510" s="5" t="s">
        <v>26</v>
      </c>
      <c r="K510" s="7" t="n">
        <v>0.6</v>
      </c>
      <c r="L510" s="6"/>
      <c r="M510" s="4" t="s">
        <v>1017</v>
      </c>
      <c r="N510" s="5" t="s">
        <v>1062</v>
      </c>
    </row>
    <row r="511" customFormat="false" ht="23.85" hidden="false" customHeight="false" outlineLevel="0" collapsed="false">
      <c r="A511" s="4" t="s">
        <v>18</v>
      </c>
      <c r="B511" s="5" t="s">
        <v>1063</v>
      </c>
      <c r="C511" s="6" t="s">
        <v>41</v>
      </c>
      <c r="D511" s="6"/>
      <c r="E511" s="4" t="s">
        <v>763</v>
      </c>
      <c r="F511" s="4" t="s">
        <v>730</v>
      </c>
      <c r="G511" s="6" t="s">
        <v>1064</v>
      </c>
      <c r="H511" s="6" t="s">
        <v>765</v>
      </c>
      <c r="I511" s="5" t="s">
        <v>766</v>
      </c>
      <c r="J511" s="5" t="s">
        <v>26</v>
      </c>
      <c r="K511" s="7" t="n">
        <v>0.6</v>
      </c>
      <c r="L511" s="6"/>
      <c r="M511" s="4" t="s">
        <v>767</v>
      </c>
      <c r="N511" s="5" t="s">
        <v>1065</v>
      </c>
    </row>
    <row r="512" customFormat="false" ht="35.05" hidden="false" customHeight="false" outlineLevel="0" collapsed="false">
      <c r="A512" s="4" t="s">
        <v>18</v>
      </c>
      <c r="B512" s="5" t="s">
        <v>1063</v>
      </c>
      <c r="C512" s="6" t="s">
        <v>41</v>
      </c>
      <c r="D512" s="6"/>
      <c r="E512" s="4" t="s">
        <v>21</v>
      </c>
      <c r="F512" s="4" t="s">
        <v>251</v>
      </c>
      <c r="G512" s="6" t="s">
        <v>958</v>
      </c>
      <c r="H512" s="6" t="s">
        <v>24</v>
      </c>
      <c r="I512" s="5" t="s">
        <v>25</v>
      </c>
      <c r="J512" s="5" t="s">
        <v>26</v>
      </c>
      <c r="K512" s="7" t="n">
        <v>0.6</v>
      </c>
      <c r="L512" s="6"/>
      <c r="M512" s="4" t="s">
        <v>27</v>
      </c>
      <c r="N512" s="5" t="s">
        <v>1065</v>
      </c>
    </row>
    <row r="513" customFormat="false" ht="46.25" hidden="false" customHeight="false" outlineLevel="0" collapsed="false">
      <c r="A513" s="4" t="s">
        <v>18</v>
      </c>
      <c r="B513" s="5" t="s">
        <v>1063</v>
      </c>
      <c r="C513" s="6" t="s">
        <v>41</v>
      </c>
      <c r="D513" s="6"/>
      <c r="E513" s="4" t="s">
        <v>763</v>
      </c>
      <c r="F513" s="4" t="s">
        <v>730</v>
      </c>
      <c r="G513" s="6" t="s">
        <v>1064</v>
      </c>
      <c r="H513" s="6" t="s">
        <v>769</v>
      </c>
      <c r="I513" s="5" t="s">
        <v>770</v>
      </c>
      <c r="J513" s="5" t="s">
        <v>26</v>
      </c>
      <c r="K513" s="7" t="n">
        <v>1</v>
      </c>
      <c r="L513" s="8" t="s">
        <v>771</v>
      </c>
      <c r="M513" s="4" t="s">
        <v>772</v>
      </c>
      <c r="N513" s="5" t="s">
        <v>1065</v>
      </c>
    </row>
    <row r="514" customFormat="false" ht="57.45" hidden="false" customHeight="false" outlineLevel="0" collapsed="false">
      <c r="A514" s="4" t="s">
        <v>18</v>
      </c>
      <c r="B514" s="5" t="s">
        <v>1066</v>
      </c>
      <c r="C514" s="6" t="s">
        <v>1067</v>
      </c>
      <c r="D514" s="6"/>
      <c r="E514" s="4" t="s">
        <v>763</v>
      </c>
      <c r="F514" s="4" t="s">
        <v>742</v>
      </c>
      <c r="G514" s="6" t="s">
        <v>1068</v>
      </c>
      <c r="H514" s="6" t="s">
        <v>765</v>
      </c>
      <c r="I514" s="5" t="s">
        <v>766</v>
      </c>
      <c r="J514" s="5" t="s">
        <v>26</v>
      </c>
      <c r="K514" s="7" t="n">
        <v>0.6</v>
      </c>
      <c r="L514" s="6"/>
      <c r="M514" s="4" t="s">
        <v>767</v>
      </c>
      <c r="N514" s="5" t="s">
        <v>1069</v>
      </c>
    </row>
    <row r="515" customFormat="false" ht="57.45" hidden="false" customHeight="false" outlineLevel="0" collapsed="false">
      <c r="A515" s="4" t="s">
        <v>18</v>
      </c>
      <c r="B515" s="5" t="s">
        <v>1066</v>
      </c>
      <c r="C515" s="6" t="s">
        <v>1067</v>
      </c>
      <c r="D515" s="6"/>
      <c r="E515" s="4" t="s">
        <v>763</v>
      </c>
      <c r="F515" s="4" t="s">
        <v>742</v>
      </c>
      <c r="G515" s="6" t="s">
        <v>1068</v>
      </c>
      <c r="H515" s="6" t="s">
        <v>769</v>
      </c>
      <c r="I515" s="5" t="s">
        <v>770</v>
      </c>
      <c r="J515" s="5" t="s">
        <v>26</v>
      </c>
      <c r="K515" s="7" t="n">
        <v>1</v>
      </c>
      <c r="L515" s="8" t="s">
        <v>771</v>
      </c>
      <c r="M515" s="4" t="s">
        <v>772</v>
      </c>
      <c r="N515" s="5" t="s">
        <v>1069</v>
      </c>
    </row>
    <row r="516" customFormat="false" ht="35.05" hidden="false" customHeight="false" outlineLevel="0" collapsed="false">
      <c r="A516" s="4" t="s">
        <v>18</v>
      </c>
      <c r="B516" s="5" t="s">
        <v>1070</v>
      </c>
      <c r="C516" s="6" t="s">
        <v>1071</v>
      </c>
      <c r="D516" s="6"/>
      <c r="E516" s="4" t="s">
        <v>21</v>
      </c>
      <c r="F516" s="4" t="s">
        <v>205</v>
      </c>
      <c r="G516" s="6" t="s">
        <v>444</v>
      </c>
      <c r="H516" s="6" t="s">
        <v>24</v>
      </c>
      <c r="I516" s="5" t="s">
        <v>25</v>
      </c>
      <c r="J516" s="5" t="s">
        <v>26</v>
      </c>
      <c r="K516" s="7" t="n">
        <v>0.6</v>
      </c>
      <c r="L516" s="6"/>
      <c r="M516" s="4" t="s">
        <v>27</v>
      </c>
      <c r="N516" s="5" t="s">
        <v>1072</v>
      </c>
    </row>
    <row r="517" customFormat="false" ht="247.75" hidden="false" customHeight="false" outlineLevel="0" collapsed="false">
      <c r="A517" s="4" t="s">
        <v>18</v>
      </c>
      <c r="B517" s="5" t="s">
        <v>1073</v>
      </c>
      <c r="C517" s="6" t="s">
        <v>41</v>
      </c>
      <c r="D517" s="6"/>
      <c r="E517" s="4" t="s">
        <v>21</v>
      </c>
      <c r="F517" s="4" t="s">
        <v>239</v>
      </c>
      <c r="G517" s="6" t="s">
        <v>240</v>
      </c>
      <c r="H517" s="6" t="s">
        <v>24</v>
      </c>
      <c r="I517" s="5" t="s">
        <v>25</v>
      </c>
      <c r="J517" s="5" t="s">
        <v>26</v>
      </c>
      <c r="K517" s="7" t="n">
        <v>0.6</v>
      </c>
      <c r="L517" s="6"/>
      <c r="M517" s="4" t="s">
        <v>27</v>
      </c>
      <c r="N517" s="5" t="s">
        <v>1074</v>
      </c>
    </row>
    <row r="518" customFormat="false" ht="23.85" hidden="false" customHeight="false" outlineLevel="0" collapsed="false">
      <c r="A518" s="4" t="s">
        <v>18</v>
      </c>
      <c r="B518" s="5" t="s">
        <v>1075</v>
      </c>
      <c r="C518" s="6" t="s">
        <v>41</v>
      </c>
      <c r="D518" s="6"/>
      <c r="E518" s="4" t="s">
        <v>21</v>
      </c>
      <c r="F518" s="4" t="s">
        <v>172</v>
      </c>
      <c r="G518" s="6" t="s">
        <v>998</v>
      </c>
      <c r="H518" s="6" t="s">
        <v>24</v>
      </c>
      <c r="I518" s="5" t="s">
        <v>25</v>
      </c>
      <c r="J518" s="5" t="s">
        <v>26</v>
      </c>
      <c r="K518" s="7" t="n">
        <v>0.6</v>
      </c>
      <c r="L518" s="6"/>
      <c r="M518" s="4" t="s">
        <v>27</v>
      </c>
      <c r="N518" s="5" t="s">
        <v>1076</v>
      </c>
    </row>
    <row r="519" customFormat="false" ht="23.85" hidden="false" customHeight="false" outlineLevel="0" collapsed="false">
      <c r="A519" s="4" t="s">
        <v>18</v>
      </c>
      <c r="B519" s="5" t="s">
        <v>1077</v>
      </c>
      <c r="C519" s="6" t="s">
        <v>41</v>
      </c>
      <c r="D519" s="6"/>
      <c r="E519" s="4" t="s">
        <v>21</v>
      </c>
      <c r="F519" s="4" t="s">
        <v>172</v>
      </c>
      <c r="G519" s="6" t="s">
        <v>998</v>
      </c>
      <c r="H519" s="6" t="s">
        <v>24</v>
      </c>
      <c r="I519" s="5" t="s">
        <v>25</v>
      </c>
      <c r="J519" s="5" t="s">
        <v>26</v>
      </c>
      <c r="K519" s="7" t="n">
        <v>0.6</v>
      </c>
      <c r="L519" s="6"/>
      <c r="M519" s="4" t="s">
        <v>27</v>
      </c>
      <c r="N519" s="5" t="s">
        <v>1078</v>
      </c>
    </row>
    <row r="520" customFormat="false" ht="23.85" hidden="false" customHeight="false" outlineLevel="0" collapsed="false">
      <c r="A520" s="4" t="s">
        <v>18</v>
      </c>
      <c r="B520" s="5" t="s">
        <v>1079</v>
      </c>
      <c r="C520" s="6" t="s">
        <v>41</v>
      </c>
      <c r="D520" s="6"/>
      <c r="E520" s="4" t="s">
        <v>763</v>
      </c>
      <c r="F520" s="4" t="s">
        <v>1080</v>
      </c>
      <c r="G520" s="6" t="s">
        <v>1081</v>
      </c>
      <c r="H520" s="6" t="s">
        <v>765</v>
      </c>
      <c r="I520" s="5" t="s">
        <v>766</v>
      </c>
      <c r="J520" s="5" t="s">
        <v>26</v>
      </c>
      <c r="K520" s="7" t="n">
        <v>0.6</v>
      </c>
      <c r="L520" s="6"/>
      <c r="M520" s="4" t="s">
        <v>767</v>
      </c>
      <c r="N520" s="5" t="s">
        <v>1082</v>
      </c>
    </row>
    <row r="521" customFormat="false" ht="23.85" hidden="false" customHeight="false" outlineLevel="0" collapsed="false">
      <c r="A521" s="4" t="s">
        <v>18</v>
      </c>
      <c r="B521" s="5" t="s">
        <v>1079</v>
      </c>
      <c r="C521" s="6" t="s">
        <v>41</v>
      </c>
      <c r="D521" s="6"/>
      <c r="E521" s="4" t="s">
        <v>21</v>
      </c>
      <c r="F521" s="4" t="s">
        <v>172</v>
      </c>
      <c r="G521" s="6" t="s">
        <v>998</v>
      </c>
      <c r="H521" s="6" t="s">
        <v>24</v>
      </c>
      <c r="I521" s="5" t="s">
        <v>25</v>
      </c>
      <c r="J521" s="5" t="s">
        <v>26</v>
      </c>
      <c r="K521" s="7" t="n">
        <v>0.6</v>
      </c>
      <c r="L521" s="6"/>
      <c r="M521" s="4" t="s">
        <v>27</v>
      </c>
      <c r="N521" s="5" t="s">
        <v>1082</v>
      </c>
    </row>
    <row r="522" customFormat="false" ht="91" hidden="false" customHeight="false" outlineLevel="0" collapsed="false">
      <c r="A522" s="4" t="s">
        <v>18</v>
      </c>
      <c r="B522" s="5" t="s">
        <v>1079</v>
      </c>
      <c r="C522" s="6" t="s">
        <v>41</v>
      </c>
      <c r="D522" s="6"/>
      <c r="E522" s="4" t="s">
        <v>21</v>
      </c>
      <c r="F522" s="4" t="s">
        <v>334</v>
      </c>
      <c r="G522" s="6" t="s">
        <v>1059</v>
      </c>
      <c r="H522" s="6" t="s">
        <v>24</v>
      </c>
      <c r="I522" s="5" t="s">
        <v>25</v>
      </c>
      <c r="J522" s="5" t="s">
        <v>26</v>
      </c>
      <c r="K522" s="7" t="n">
        <v>0.6</v>
      </c>
      <c r="L522" s="6"/>
      <c r="M522" s="4" t="s">
        <v>27</v>
      </c>
      <c r="N522" s="5" t="s">
        <v>1082</v>
      </c>
    </row>
    <row r="523" customFormat="false" ht="46.25" hidden="false" customHeight="false" outlineLevel="0" collapsed="false">
      <c r="A523" s="4" t="s">
        <v>18</v>
      </c>
      <c r="B523" s="5" t="s">
        <v>1079</v>
      </c>
      <c r="C523" s="6" t="s">
        <v>41</v>
      </c>
      <c r="D523" s="6"/>
      <c r="E523" s="4" t="s">
        <v>763</v>
      </c>
      <c r="F523" s="4" t="s">
        <v>1080</v>
      </c>
      <c r="G523" s="6" t="s">
        <v>1081</v>
      </c>
      <c r="H523" s="6" t="s">
        <v>769</v>
      </c>
      <c r="I523" s="5" t="s">
        <v>770</v>
      </c>
      <c r="J523" s="5" t="s">
        <v>26</v>
      </c>
      <c r="K523" s="7" t="n">
        <v>1</v>
      </c>
      <c r="L523" s="8" t="s">
        <v>771</v>
      </c>
      <c r="M523" s="4" t="s">
        <v>772</v>
      </c>
      <c r="N523" s="5" t="s">
        <v>1082</v>
      </c>
    </row>
    <row r="524" customFormat="false" ht="23.85" hidden="false" customHeight="false" outlineLevel="0" collapsed="false">
      <c r="A524" s="4" t="s">
        <v>18</v>
      </c>
      <c r="B524" s="5" t="s">
        <v>1083</v>
      </c>
      <c r="C524" s="6" t="s">
        <v>1084</v>
      </c>
      <c r="D524" s="6"/>
      <c r="E524" s="4" t="s">
        <v>763</v>
      </c>
      <c r="F524" s="4" t="s">
        <v>239</v>
      </c>
      <c r="G524" s="6" t="s">
        <v>1085</v>
      </c>
      <c r="H524" s="6" t="s">
        <v>765</v>
      </c>
      <c r="I524" s="5" t="s">
        <v>766</v>
      </c>
      <c r="J524" s="5" t="s">
        <v>26</v>
      </c>
      <c r="K524" s="7" t="n">
        <v>0.6</v>
      </c>
      <c r="L524" s="6"/>
      <c r="M524" s="4" t="s">
        <v>767</v>
      </c>
      <c r="N524" s="5" t="s">
        <v>1086</v>
      </c>
    </row>
    <row r="525" customFormat="false" ht="23.85" hidden="false" customHeight="false" outlineLevel="0" collapsed="false">
      <c r="A525" s="4" t="s">
        <v>18</v>
      </c>
      <c r="B525" s="5" t="s">
        <v>1083</v>
      </c>
      <c r="C525" s="6" t="s">
        <v>1084</v>
      </c>
      <c r="D525" s="6"/>
      <c r="E525" s="4" t="s">
        <v>763</v>
      </c>
      <c r="F525" s="4" t="s">
        <v>358</v>
      </c>
      <c r="G525" s="6" t="s">
        <v>1087</v>
      </c>
      <c r="H525" s="6" t="s">
        <v>765</v>
      </c>
      <c r="I525" s="5" t="s">
        <v>766</v>
      </c>
      <c r="J525" s="5" t="s">
        <v>26</v>
      </c>
      <c r="K525" s="7" t="n">
        <v>0.6</v>
      </c>
      <c r="L525" s="6"/>
      <c r="M525" s="4" t="s">
        <v>767</v>
      </c>
      <c r="N525" s="5" t="s">
        <v>1086</v>
      </c>
    </row>
    <row r="526" customFormat="false" ht="46.25" hidden="false" customHeight="false" outlineLevel="0" collapsed="false">
      <c r="A526" s="4" t="s">
        <v>18</v>
      </c>
      <c r="B526" s="5" t="s">
        <v>1083</v>
      </c>
      <c r="C526" s="6" t="s">
        <v>1084</v>
      </c>
      <c r="D526" s="6"/>
      <c r="E526" s="4" t="s">
        <v>763</v>
      </c>
      <c r="F526" s="4" t="s">
        <v>239</v>
      </c>
      <c r="G526" s="6" t="s">
        <v>1085</v>
      </c>
      <c r="H526" s="6" t="s">
        <v>769</v>
      </c>
      <c r="I526" s="5" t="s">
        <v>770</v>
      </c>
      <c r="J526" s="5" t="s">
        <v>26</v>
      </c>
      <c r="K526" s="7" t="n">
        <v>1</v>
      </c>
      <c r="L526" s="8" t="s">
        <v>771</v>
      </c>
      <c r="M526" s="4" t="s">
        <v>772</v>
      </c>
      <c r="N526" s="5" t="s">
        <v>1086</v>
      </c>
    </row>
    <row r="527" customFormat="false" ht="46.25" hidden="false" customHeight="false" outlineLevel="0" collapsed="false">
      <c r="A527" s="4" t="s">
        <v>18</v>
      </c>
      <c r="B527" s="5" t="s">
        <v>1083</v>
      </c>
      <c r="C527" s="6" t="s">
        <v>1084</v>
      </c>
      <c r="D527" s="6"/>
      <c r="E527" s="4" t="s">
        <v>763</v>
      </c>
      <c r="F527" s="4" t="s">
        <v>358</v>
      </c>
      <c r="G527" s="6" t="s">
        <v>1087</v>
      </c>
      <c r="H527" s="6" t="s">
        <v>769</v>
      </c>
      <c r="I527" s="5" t="s">
        <v>770</v>
      </c>
      <c r="J527" s="5" t="s">
        <v>26</v>
      </c>
      <c r="K527" s="7" t="n">
        <v>1</v>
      </c>
      <c r="L527" s="8" t="s">
        <v>771</v>
      </c>
      <c r="M527" s="4" t="s">
        <v>772</v>
      </c>
      <c r="N527" s="5" t="s">
        <v>1086</v>
      </c>
    </row>
    <row r="528" customFormat="false" ht="23.85" hidden="false" customHeight="false" outlineLevel="0" collapsed="false">
      <c r="A528" s="4" t="s">
        <v>18</v>
      </c>
      <c r="B528" s="5" t="s">
        <v>1088</v>
      </c>
      <c r="C528" s="6" t="s">
        <v>41</v>
      </c>
      <c r="D528" s="6"/>
      <c r="E528" s="4" t="s">
        <v>763</v>
      </c>
      <c r="F528" s="4" t="s">
        <v>136</v>
      </c>
      <c r="G528" s="6" t="s">
        <v>1089</v>
      </c>
      <c r="H528" s="6" t="s">
        <v>765</v>
      </c>
      <c r="I528" s="5" t="s">
        <v>766</v>
      </c>
      <c r="J528" s="5" t="s">
        <v>26</v>
      </c>
      <c r="K528" s="7" t="n">
        <v>0.6</v>
      </c>
      <c r="L528" s="6"/>
      <c r="M528" s="4" t="s">
        <v>767</v>
      </c>
      <c r="N528" s="5" t="s">
        <v>1090</v>
      </c>
    </row>
    <row r="529" customFormat="false" ht="23.85" hidden="false" customHeight="false" outlineLevel="0" collapsed="false">
      <c r="A529" s="4" t="s">
        <v>18</v>
      </c>
      <c r="B529" s="5" t="s">
        <v>1088</v>
      </c>
      <c r="C529" s="6" t="s">
        <v>41</v>
      </c>
      <c r="D529" s="6"/>
      <c r="E529" s="4" t="s">
        <v>763</v>
      </c>
      <c r="F529" s="4" t="s">
        <v>798</v>
      </c>
      <c r="G529" s="6" t="s">
        <v>1091</v>
      </c>
      <c r="H529" s="6" t="s">
        <v>765</v>
      </c>
      <c r="I529" s="5" t="s">
        <v>766</v>
      </c>
      <c r="J529" s="5" t="s">
        <v>26</v>
      </c>
      <c r="K529" s="7" t="n">
        <v>0.6</v>
      </c>
      <c r="L529" s="6"/>
      <c r="M529" s="4" t="s">
        <v>767</v>
      </c>
      <c r="N529" s="5" t="s">
        <v>1090</v>
      </c>
    </row>
    <row r="530" customFormat="false" ht="46.25" hidden="false" customHeight="false" outlineLevel="0" collapsed="false">
      <c r="A530" s="4" t="s">
        <v>18</v>
      </c>
      <c r="B530" s="5" t="s">
        <v>1088</v>
      </c>
      <c r="C530" s="6" t="s">
        <v>41</v>
      </c>
      <c r="D530" s="6"/>
      <c r="E530" s="4" t="s">
        <v>763</v>
      </c>
      <c r="F530" s="4" t="s">
        <v>136</v>
      </c>
      <c r="G530" s="6" t="s">
        <v>1089</v>
      </c>
      <c r="H530" s="6" t="s">
        <v>769</v>
      </c>
      <c r="I530" s="5" t="s">
        <v>770</v>
      </c>
      <c r="J530" s="5" t="s">
        <v>26</v>
      </c>
      <c r="K530" s="7" t="n">
        <v>1</v>
      </c>
      <c r="L530" s="8" t="s">
        <v>771</v>
      </c>
      <c r="M530" s="4" t="s">
        <v>772</v>
      </c>
      <c r="N530" s="5" t="s">
        <v>1090</v>
      </c>
    </row>
    <row r="531" customFormat="false" ht="46.25" hidden="false" customHeight="false" outlineLevel="0" collapsed="false">
      <c r="A531" s="4" t="s">
        <v>18</v>
      </c>
      <c r="B531" s="5" t="s">
        <v>1088</v>
      </c>
      <c r="C531" s="6" t="s">
        <v>41</v>
      </c>
      <c r="D531" s="6"/>
      <c r="E531" s="4" t="s">
        <v>763</v>
      </c>
      <c r="F531" s="4" t="s">
        <v>798</v>
      </c>
      <c r="G531" s="6" t="s">
        <v>1091</v>
      </c>
      <c r="H531" s="6" t="s">
        <v>769</v>
      </c>
      <c r="I531" s="5" t="s">
        <v>770</v>
      </c>
      <c r="J531" s="5" t="s">
        <v>26</v>
      </c>
      <c r="K531" s="7" t="n">
        <v>1</v>
      </c>
      <c r="L531" s="8" t="s">
        <v>771</v>
      </c>
      <c r="M531" s="4" t="s">
        <v>772</v>
      </c>
      <c r="N531" s="5" t="s">
        <v>1090</v>
      </c>
    </row>
    <row r="532" customFormat="false" ht="23.85" hidden="false" customHeight="false" outlineLevel="0" collapsed="false">
      <c r="A532" s="4" t="s">
        <v>18</v>
      </c>
      <c r="B532" s="5" t="s">
        <v>1092</v>
      </c>
      <c r="C532" s="6" t="s">
        <v>41</v>
      </c>
      <c r="D532" s="6"/>
      <c r="E532" s="4" t="s">
        <v>763</v>
      </c>
      <c r="F532" s="4" t="s">
        <v>815</v>
      </c>
      <c r="G532" s="6" t="s">
        <v>1093</v>
      </c>
      <c r="H532" s="6" t="s">
        <v>765</v>
      </c>
      <c r="I532" s="5" t="s">
        <v>766</v>
      </c>
      <c r="J532" s="5" t="s">
        <v>26</v>
      </c>
      <c r="K532" s="7" t="n">
        <v>0.6</v>
      </c>
      <c r="L532" s="6"/>
      <c r="M532" s="4" t="s">
        <v>767</v>
      </c>
      <c r="N532" s="5" t="s">
        <v>1094</v>
      </c>
    </row>
    <row r="533" customFormat="false" ht="23.85" hidden="false" customHeight="false" outlineLevel="0" collapsed="false">
      <c r="A533" s="4" t="s">
        <v>18</v>
      </c>
      <c r="B533" s="5" t="s">
        <v>1092</v>
      </c>
      <c r="C533" s="6" t="s">
        <v>41</v>
      </c>
      <c r="D533" s="6"/>
      <c r="E533" s="4" t="s">
        <v>763</v>
      </c>
      <c r="F533" s="4" t="s">
        <v>334</v>
      </c>
      <c r="G533" s="6" t="s">
        <v>1095</v>
      </c>
      <c r="H533" s="6" t="s">
        <v>765</v>
      </c>
      <c r="I533" s="5" t="s">
        <v>766</v>
      </c>
      <c r="J533" s="5" t="s">
        <v>26</v>
      </c>
      <c r="K533" s="7" t="n">
        <v>0.6</v>
      </c>
      <c r="L533" s="6"/>
      <c r="M533" s="4" t="s">
        <v>767</v>
      </c>
      <c r="N533" s="5" t="s">
        <v>1094</v>
      </c>
    </row>
    <row r="534" customFormat="false" ht="46.25" hidden="false" customHeight="false" outlineLevel="0" collapsed="false">
      <c r="A534" s="4" t="s">
        <v>18</v>
      </c>
      <c r="B534" s="5" t="s">
        <v>1092</v>
      </c>
      <c r="C534" s="6" t="s">
        <v>41</v>
      </c>
      <c r="D534" s="6"/>
      <c r="E534" s="4" t="s">
        <v>763</v>
      </c>
      <c r="F534" s="4" t="s">
        <v>815</v>
      </c>
      <c r="G534" s="6" t="s">
        <v>1093</v>
      </c>
      <c r="H534" s="6" t="s">
        <v>769</v>
      </c>
      <c r="I534" s="5" t="s">
        <v>770</v>
      </c>
      <c r="J534" s="5" t="s">
        <v>26</v>
      </c>
      <c r="K534" s="7" t="n">
        <v>1</v>
      </c>
      <c r="L534" s="8" t="s">
        <v>771</v>
      </c>
      <c r="M534" s="4" t="s">
        <v>772</v>
      </c>
      <c r="N534" s="5" t="s">
        <v>1094</v>
      </c>
    </row>
    <row r="535" customFormat="false" ht="46.25" hidden="false" customHeight="false" outlineLevel="0" collapsed="false">
      <c r="A535" s="4" t="s">
        <v>18</v>
      </c>
      <c r="B535" s="5" t="s">
        <v>1092</v>
      </c>
      <c r="C535" s="6" t="s">
        <v>41</v>
      </c>
      <c r="D535" s="6"/>
      <c r="E535" s="4" t="s">
        <v>763</v>
      </c>
      <c r="F535" s="4" t="s">
        <v>334</v>
      </c>
      <c r="G535" s="6" t="s">
        <v>1095</v>
      </c>
      <c r="H535" s="6" t="s">
        <v>769</v>
      </c>
      <c r="I535" s="5" t="s">
        <v>770</v>
      </c>
      <c r="J535" s="5" t="s">
        <v>26</v>
      </c>
      <c r="K535" s="7" t="n">
        <v>1</v>
      </c>
      <c r="L535" s="8" t="s">
        <v>771</v>
      </c>
      <c r="M535" s="4" t="s">
        <v>772</v>
      </c>
      <c r="N535" s="5" t="s">
        <v>1094</v>
      </c>
    </row>
    <row r="536" customFormat="false" ht="35.05" hidden="false" customHeight="false" outlineLevel="0" collapsed="false">
      <c r="A536" s="4" t="s">
        <v>18</v>
      </c>
      <c r="B536" s="5" t="s">
        <v>1096</v>
      </c>
      <c r="C536" s="6" t="s">
        <v>41</v>
      </c>
      <c r="D536" s="6"/>
      <c r="E536" s="4" t="s">
        <v>763</v>
      </c>
      <c r="F536" s="4" t="s">
        <v>791</v>
      </c>
      <c r="G536" s="6" t="s">
        <v>1097</v>
      </c>
      <c r="H536" s="6" t="s">
        <v>765</v>
      </c>
      <c r="I536" s="5" t="s">
        <v>766</v>
      </c>
      <c r="J536" s="5" t="s">
        <v>26</v>
      </c>
      <c r="K536" s="7" t="n">
        <v>0.6</v>
      </c>
      <c r="L536" s="6"/>
      <c r="M536" s="4" t="s">
        <v>767</v>
      </c>
      <c r="N536" s="5" t="s">
        <v>1098</v>
      </c>
    </row>
    <row r="537" customFormat="false" ht="46.25" hidden="false" customHeight="false" outlineLevel="0" collapsed="false">
      <c r="A537" s="4" t="s">
        <v>18</v>
      </c>
      <c r="B537" s="5" t="s">
        <v>1096</v>
      </c>
      <c r="C537" s="6" t="s">
        <v>41</v>
      </c>
      <c r="D537" s="6"/>
      <c r="E537" s="4" t="s">
        <v>763</v>
      </c>
      <c r="F537" s="4" t="s">
        <v>791</v>
      </c>
      <c r="G537" s="6" t="s">
        <v>1097</v>
      </c>
      <c r="H537" s="6" t="s">
        <v>769</v>
      </c>
      <c r="I537" s="5" t="s">
        <v>770</v>
      </c>
      <c r="J537" s="5" t="s">
        <v>26</v>
      </c>
      <c r="K537" s="7" t="n">
        <v>1</v>
      </c>
      <c r="L537" s="8" t="s">
        <v>771</v>
      </c>
      <c r="M537" s="4" t="s">
        <v>772</v>
      </c>
      <c r="N537" s="5" t="s">
        <v>1098</v>
      </c>
    </row>
    <row r="538" customFormat="false" ht="23.85" hidden="false" customHeight="false" outlineLevel="0" collapsed="false">
      <c r="A538" s="4" t="s">
        <v>18</v>
      </c>
      <c r="B538" s="5" t="s">
        <v>1099</v>
      </c>
      <c r="C538" s="6" t="s">
        <v>41</v>
      </c>
      <c r="D538" s="6"/>
      <c r="E538" s="4" t="s">
        <v>763</v>
      </c>
      <c r="F538" s="4" t="s">
        <v>1100</v>
      </c>
      <c r="G538" s="6" t="s">
        <v>1101</v>
      </c>
      <c r="H538" s="6" t="s">
        <v>765</v>
      </c>
      <c r="I538" s="5" t="s">
        <v>766</v>
      </c>
      <c r="J538" s="5" t="s">
        <v>26</v>
      </c>
      <c r="K538" s="7" t="n">
        <v>0.6</v>
      </c>
      <c r="L538" s="6"/>
      <c r="M538" s="4" t="s">
        <v>767</v>
      </c>
      <c r="N538" s="5" t="s">
        <v>1102</v>
      </c>
    </row>
    <row r="539" customFormat="false" ht="46.25" hidden="false" customHeight="false" outlineLevel="0" collapsed="false">
      <c r="A539" s="4" t="s">
        <v>18</v>
      </c>
      <c r="B539" s="5" t="s">
        <v>1099</v>
      </c>
      <c r="C539" s="6" t="s">
        <v>41</v>
      </c>
      <c r="D539" s="6"/>
      <c r="E539" s="4" t="s">
        <v>763</v>
      </c>
      <c r="F539" s="4" t="s">
        <v>1100</v>
      </c>
      <c r="G539" s="6" t="s">
        <v>1101</v>
      </c>
      <c r="H539" s="6" t="s">
        <v>769</v>
      </c>
      <c r="I539" s="5" t="s">
        <v>770</v>
      </c>
      <c r="J539" s="5" t="s">
        <v>26</v>
      </c>
      <c r="K539" s="7" t="n">
        <v>1</v>
      </c>
      <c r="L539" s="8" t="s">
        <v>771</v>
      </c>
      <c r="M539" s="4" t="s">
        <v>772</v>
      </c>
      <c r="N539" s="5" t="s">
        <v>1102</v>
      </c>
    </row>
    <row r="540" customFormat="false" ht="23.85" hidden="false" customHeight="false" outlineLevel="0" collapsed="false">
      <c r="A540" s="4" t="s">
        <v>18</v>
      </c>
      <c r="B540" s="5" t="s">
        <v>1103</v>
      </c>
      <c r="C540" s="6" t="s">
        <v>1104</v>
      </c>
      <c r="D540" s="6"/>
      <c r="E540" s="4" t="s">
        <v>763</v>
      </c>
      <c r="F540" s="4" t="s">
        <v>508</v>
      </c>
      <c r="G540" s="6" t="s">
        <v>1105</v>
      </c>
      <c r="H540" s="6" t="s">
        <v>765</v>
      </c>
      <c r="I540" s="5" t="s">
        <v>766</v>
      </c>
      <c r="J540" s="5" t="s">
        <v>26</v>
      </c>
      <c r="K540" s="7" t="n">
        <v>0.6</v>
      </c>
      <c r="L540" s="6"/>
      <c r="M540" s="4" t="s">
        <v>767</v>
      </c>
      <c r="N540" s="5" t="s">
        <v>1106</v>
      </c>
    </row>
    <row r="541" customFormat="false" ht="46.25" hidden="false" customHeight="false" outlineLevel="0" collapsed="false">
      <c r="A541" s="4" t="s">
        <v>18</v>
      </c>
      <c r="B541" s="5" t="s">
        <v>1103</v>
      </c>
      <c r="C541" s="6" t="s">
        <v>1104</v>
      </c>
      <c r="D541" s="6"/>
      <c r="E541" s="4" t="s">
        <v>763</v>
      </c>
      <c r="F541" s="4" t="s">
        <v>508</v>
      </c>
      <c r="G541" s="6" t="s">
        <v>1105</v>
      </c>
      <c r="H541" s="6" t="s">
        <v>769</v>
      </c>
      <c r="I541" s="5" t="s">
        <v>770</v>
      </c>
      <c r="J541" s="5" t="s">
        <v>26</v>
      </c>
      <c r="K541" s="7" t="n">
        <v>1</v>
      </c>
      <c r="L541" s="8" t="s">
        <v>771</v>
      </c>
      <c r="M541" s="4" t="s">
        <v>772</v>
      </c>
      <c r="N541" s="5" t="s">
        <v>1106</v>
      </c>
    </row>
    <row r="542" customFormat="false" ht="247.75" hidden="false" customHeight="false" outlineLevel="0" collapsed="false">
      <c r="A542" s="4" t="s">
        <v>18</v>
      </c>
      <c r="B542" s="5" t="s">
        <v>1107</v>
      </c>
      <c r="C542" s="6" t="s">
        <v>41</v>
      </c>
      <c r="D542" s="6"/>
      <c r="E542" s="4" t="s">
        <v>21</v>
      </c>
      <c r="F542" s="4" t="s">
        <v>239</v>
      </c>
      <c r="G542" s="6" t="s">
        <v>240</v>
      </c>
      <c r="H542" s="6" t="s">
        <v>24</v>
      </c>
      <c r="I542" s="5" t="s">
        <v>25</v>
      </c>
      <c r="J542" s="5" t="s">
        <v>26</v>
      </c>
      <c r="K542" s="7" t="n">
        <v>0.6</v>
      </c>
      <c r="L542" s="6"/>
      <c r="M542" s="4" t="s">
        <v>27</v>
      </c>
      <c r="N542" s="5" t="s">
        <v>1108</v>
      </c>
    </row>
    <row r="543" customFormat="false" ht="247.75" hidden="false" customHeight="false" outlineLevel="0" collapsed="false">
      <c r="A543" s="4" t="s">
        <v>18</v>
      </c>
      <c r="B543" s="5" t="s">
        <v>1109</v>
      </c>
      <c r="C543" s="6" t="s">
        <v>1110</v>
      </c>
      <c r="D543" s="6"/>
      <c r="E543" s="4" t="s">
        <v>21</v>
      </c>
      <c r="F543" s="4" t="s">
        <v>239</v>
      </c>
      <c r="G543" s="6" t="s">
        <v>240</v>
      </c>
      <c r="H543" s="6" t="s">
        <v>24</v>
      </c>
      <c r="I543" s="5" t="s">
        <v>25</v>
      </c>
      <c r="J543" s="5" t="s">
        <v>26</v>
      </c>
      <c r="K543" s="7" t="n">
        <v>0.6</v>
      </c>
      <c r="L543" s="6"/>
      <c r="M543" s="4" t="s">
        <v>27</v>
      </c>
      <c r="N543" s="5" t="s">
        <v>1111</v>
      </c>
    </row>
    <row r="544" customFormat="false" ht="247.75" hidden="false" customHeight="false" outlineLevel="0" collapsed="false">
      <c r="A544" s="4" t="s">
        <v>18</v>
      </c>
      <c r="B544" s="5" t="s">
        <v>1112</v>
      </c>
      <c r="C544" s="6" t="s">
        <v>41</v>
      </c>
      <c r="D544" s="6"/>
      <c r="E544" s="4" t="s">
        <v>21</v>
      </c>
      <c r="F544" s="4" t="s">
        <v>239</v>
      </c>
      <c r="G544" s="6" t="s">
        <v>240</v>
      </c>
      <c r="H544" s="6" t="s">
        <v>24</v>
      </c>
      <c r="I544" s="5" t="s">
        <v>25</v>
      </c>
      <c r="J544" s="5" t="s">
        <v>26</v>
      </c>
      <c r="K544" s="7" t="n">
        <v>0.6</v>
      </c>
      <c r="L544" s="6"/>
      <c r="M544" s="4" t="s">
        <v>27</v>
      </c>
      <c r="N544" s="5" t="s">
        <v>1113</v>
      </c>
    </row>
    <row r="545" customFormat="false" ht="247.75" hidden="false" customHeight="false" outlineLevel="0" collapsed="false">
      <c r="A545" s="4" t="s">
        <v>18</v>
      </c>
      <c r="B545" s="5" t="s">
        <v>1114</v>
      </c>
      <c r="C545" s="6" t="s">
        <v>41</v>
      </c>
      <c r="D545" s="6"/>
      <c r="E545" s="4" t="s">
        <v>21</v>
      </c>
      <c r="F545" s="4" t="s">
        <v>239</v>
      </c>
      <c r="G545" s="6" t="s">
        <v>240</v>
      </c>
      <c r="H545" s="6" t="s">
        <v>24</v>
      </c>
      <c r="I545" s="5" t="s">
        <v>25</v>
      </c>
      <c r="J545" s="5" t="s">
        <v>26</v>
      </c>
      <c r="K545" s="7" t="n">
        <v>0.6</v>
      </c>
      <c r="L545" s="6"/>
      <c r="M545" s="4" t="s">
        <v>27</v>
      </c>
      <c r="N545" s="5" t="s">
        <v>1115</v>
      </c>
    </row>
    <row r="546" customFormat="false" ht="23.85" hidden="false" customHeight="false" outlineLevel="0" collapsed="false">
      <c r="A546" s="4" t="s">
        <v>18</v>
      </c>
      <c r="B546" s="5" t="s">
        <v>1116</v>
      </c>
      <c r="C546" s="6" t="s">
        <v>41</v>
      </c>
      <c r="D546" s="6"/>
      <c r="E546" s="4" t="s">
        <v>1013</v>
      </c>
      <c r="F546" s="4" t="s">
        <v>251</v>
      </c>
      <c r="G546" s="6" t="s">
        <v>1117</v>
      </c>
      <c r="H546" s="6" t="s">
        <v>1015</v>
      </c>
      <c r="I546" s="5" t="s">
        <v>1016</v>
      </c>
      <c r="J546" s="5" t="s">
        <v>26</v>
      </c>
      <c r="K546" s="7" t="n">
        <v>0.6</v>
      </c>
      <c r="L546" s="6"/>
      <c r="M546" s="4" t="s">
        <v>1017</v>
      </c>
      <c r="N546" s="5" t="s">
        <v>1118</v>
      </c>
    </row>
    <row r="547" customFormat="false" ht="35.05" hidden="false" customHeight="false" outlineLevel="0" collapsed="false">
      <c r="A547" s="4" t="s">
        <v>18</v>
      </c>
      <c r="B547" s="5" t="s">
        <v>1119</v>
      </c>
      <c r="C547" s="6" t="s">
        <v>41</v>
      </c>
      <c r="D547" s="6"/>
      <c r="E547" s="4" t="s">
        <v>629</v>
      </c>
      <c r="F547" s="4" t="s">
        <v>602</v>
      </c>
      <c r="G547" s="6" t="s">
        <v>1120</v>
      </c>
      <c r="H547" s="6" t="s">
        <v>1121</v>
      </c>
      <c r="I547" s="5" t="s">
        <v>1122</v>
      </c>
      <c r="J547" s="5" t="s">
        <v>26</v>
      </c>
      <c r="K547" s="7" t="n">
        <v>0.6</v>
      </c>
      <c r="L547" s="8" t="s">
        <v>1123</v>
      </c>
      <c r="M547" s="4" t="s">
        <v>1124</v>
      </c>
      <c r="N547" s="5" t="s">
        <v>1125</v>
      </c>
    </row>
    <row r="548" customFormat="false" ht="247.75" hidden="false" customHeight="false" outlineLevel="0" collapsed="false">
      <c r="A548" s="4" t="s">
        <v>18</v>
      </c>
      <c r="B548" s="5" t="s">
        <v>1126</v>
      </c>
      <c r="C548" s="6" t="s">
        <v>41</v>
      </c>
      <c r="D548" s="6"/>
      <c r="E548" s="4" t="s">
        <v>21</v>
      </c>
      <c r="F548" s="4" t="s">
        <v>239</v>
      </c>
      <c r="G548" s="6" t="s">
        <v>240</v>
      </c>
      <c r="H548" s="6" t="s">
        <v>24</v>
      </c>
      <c r="I548" s="5" t="s">
        <v>25</v>
      </c>
      <c r="J548" s="5" t="s">
        <v>26</v>
      </c>
      <c r="K548" s="7" t="n">
        <v>0.6</v>
      </c>
      <c r="L548" s="6"/>
      <c r="M548" s="4" t="s">
        <v>27</v>
      </c>
      <c r="N548" s="5" t="s">
        <v>1127</v>
      </c>
    </row>
    <row r="549" customFormat="false" ht="35.05" hidden="false" customHeight="false" outlineLevel="0" collapsed="false">
      <c r="A549" s="4" t="s">
        <v>18</v>
      </c>
      <c r="B549" s="5" t="s">
        <v>1128</v>
      </c>
      <c r="C549" s="6" t="s">
        <v>41</v>
      </c>
      <c r="D549" s="6"/>
      <c r="E549" s="4" t="s">
        <v>1129</v>
      </c>
      <c r="F549" s="4" t="s">
        <v>1130</v>
      </c>
      <c r="G549" s="6" t="s">
        <v>1131</v>
      </c>
      <c r="H549" s="6" t="s">
        <v>1132</v>
      </c>
      <c r="I549" s="5" t="s">
        <v>1133</v>
      </c>
      <c r="J549" s="5" t="s">
        <v>26</v>
      </c>
      <c r="K549" s="7" t="n">
        <v>0.6</v>
      </c>
      <c r="L549" s="6"/>
      <c r="M549" s="4" t="s">
        <v>1134</v>
      </c>
      <c r="N549" s="5" t="s">
        <v>1135</v>
      </c>
    </row>
    <row r="550" customFormat="false" ht="35.05" hidden="false" customHeight="false" outlineLevel="0" collapsed="false">
      <c r="A550" s="4" t="s">
        <v>18</v>
      </c>
      <c r="B550" s="5" t="s">
        <v>1128</v>
      </c>
      <c r="C550" s="6" t="s">
        <v>41</v>
      </c>
      <c r="D550" s="6"/>
      <c r="E550" s="4" t="s">
        <v>1129</v>
      </c>
      <c r="F550" s="4" t="s">
        <v>1130</v>
      </c>
      <c r="G550" s="6" t="s">
        <v>1131</v>
      </c>
      <c r="H550" s="6" t="s">
        <v>1136</v>
      </c>
      <c r="I550" s="5" t="s">
        <v>1137</v>
      </c>
      <c r="J550" s="5" t="s">
        <v>26</v>
      </c>
      <c r="K550" s="7" t="n">
        <v>1</v>
      </c>
      <c r="L550" s="8" t="s">
        <v>485</v>
      </c>
      <c r="M550" s="4" t="s">
        <v>1138</v>
      </c>
      <c r="N550" s="5" t="s">
        <v>1135</v>
      </c>
    </row>
    <row r="551" customFormat="false" ht="247.75" hidden="false" customHeight="false" outlineLevel="0" collapsed="false">
      <c r="A551" s="4" t="s">
        <v>18</v>
      </c>
      <c r="B551" s="5" t="s">
        <v>1139</v>
      </c>
      <c r="C551" s="6" t="s">
        <v>41</v>
      </c>
      <c r="D551" s="6"/>
      <c r="E551" s="4" t="s">
        <v>21</v>
      </c>
      <c r="F551" s="4" t="s">
        <v>239</v>
      </c>
      <c r="G551" s="6" t="s">
        <v>240</v>
      </c>
      <c r="H551" s="6" t="s">
        <v>24</v>
      </c>
      <c r="I551" s="5" t="s">
        <v>25</v>
      </c>
      <c r="J551" s="5" t="s">
        <v>26</v>
      </c>
      <c r="K551" s="7" t="n">
        <v>0.6</v>
      </c>
      <c r="L551" s="6"/>
      <c r="M551" s="4" t="s">
        <v>27</v>
      </c>
      <c r="N551" s="5" t="s">
        <v>1140</v>
      </c>
    </row>
    <row r="552" customFormat="false" ht="35.05" hidden="false" customHeight="false" outlineLevel="0" collapsed="false">
      <c r="A552" s="4" t="s">
        <v>18</v>
      </c>
      <c r="B552" s="5" t="s">
        <v>1141</v>
      </c>
      <c r="C552" s="6" t="s">
        <v>41</v>
      </c>
      <c r="D552" s="6"/>
      <c r="E552" s="4" t="s">
        <v>1142</v>
      </c>
      <c r="F552" s="4" t="s">
        <v>136</v>
      </c>
      <c r="G552" s="6" t="s">
        <v>1143</v>
      </c>
      <c r="H552" s="6" t="s">
        <v>1136</v>
      </c>
      <c r="I552" s="5" t="s">
        <v>1144</v>
      </c>
      <c r="J552" s="5" t="s">
        <v>26</v>
      </c>
      <c r="K552" s="7" t="n">
        <v>1</v>
      </c>
      <c r="L552" s="6"/>
      <c r="M552" s="4" t="s">
        <v>1145</v>
      </c>
      <c r="N552" s="5" t="s">
        <v>1146</v>
      </c>
    </row>
    <row r="553" customFormat="false" ht="23.85" hidden="false" customHeight="false" outlineLevel="0" collapsed="false">
      <c r="A553" s="4" t="s">
        <v>18</v>
      </c>
      <c r="B553" s="5" t="s">
        <v>1147</v>
      </c>
      <c r="C553" s="6" t="s">
        <v>41</v>
      </c>
      <c r="D553" s="6"/>
      <c r="E553" s="4" t="s">
        <v>763</v>
      </c>
      <c r="F553" s="4" t="s">
        <v>842</v>
      </c>
      <c r="G553" s="6" t="s">
        <v>1148</v>
      </c>
      <c r="H553" s="6" t="s">
        <v>765</v>
      </c>
      <c r="I553" s="5" t="s">
        <v>766</v>
      </c>
      <c r="J553" s="5" t="s">
        <v>26</v>
      </c>
      <c r="K553" s="7" t="n">
        <v>0.6</v>
      </c>
      <c r="L553" s="6"/>
      <c r="M553" s="4" t="s">
        <v>767</v>
      </c>
      <c r="N553" s="5" t="s">
        <v>1149</v>
      </c>
    </row>
    <row r="554" customFormat="false" ht="46.25" hidden="false" customHeight="false" outlineLevel="0" collapsed="false">
      <c r="A554" s="4" t="s">
        <v>18</v>
      </c>
      <c r="B554" s="5" t="s">
        <v>1147</v>
      </c>
      <c r="C554" s="6" t="s">
        <v>41</v>
      </c>
      <c r="D554" s="6"/>
      <c r="E554" s="4" t="s">
        <v>763</v>
      </c>
      <c r="F554" s="4" t="s">
        <v>842</v>
      </c>
      <c r="G554" s="6" t="s">
        <v>1148</v>
      </c>
      <c r="H554" s="6" t="s">
        <v>769</v>
      </c>
      <c r="I554" s="5" t="s">
        <v>770</v>
      </c>
      <c r="J554" s="5" t="s">
        <v>26</v>
      </c>
      <c r="K554" s="7" t="n">
        <v>1</v>
      </c>
      <c r="L554" s="8" t="s">
        <v>771</v>
      </c>
      <c r="M554" s="4" t="s">
        <v>772</v>
      </c>
      <c r="N554" s="5" t="s">
        <v>1149</v>
      </c>
    </row>
    <row r="555" customFormat="false" ht="23.85" hidden="false" customHeight="false" outlineLevel="0" collapsed="false">
      <c r="A555" s="4" t="s">
        <v>18</v>
      </c>
      <c r="B555" s="5" t="s">
        <v>1150</v>
      </c>
      <c r="C555" s="6" t="s">
        <v>41</v>
      </c>
      <c r="D555" s="6"/>
      <c r="E555" s="4" t="s">
        <v>763</v>
      </c>
      <c r="F555" s="4" t="s">
        <v>734</v>
      </c>
      <c r="G555" s="6" t="s">
        <v>1151</v>
      </c>
      <c r="H555" s="6" t="s">
        <v>765</v>
      </c>
      <c r="I555" s="5" t="s">
        <v>766</v>
      </c>
      <c r="J555" s="5" t="s">
        <v>26</v>
      </c>
      <c r="K555" s="7" t="n">
        <v>0.6</v>
      </c>
      <c r="L555" s="6"/>
      <c r="M555" s="4" t="s">
        <v>767</v>
      </c>
      <c r="N555" s="5" t="s">
        <v>1152</v>
      </c>
    </row>
    <row r="556" customFormat="false" ht="46.25" hidden="false" customHeight="false" outlineLevel="0" collapsed="false">
      <c r="A556" s="4" t="s">
        <v>18</v>
      </c>
      <c r="B556" s="5" t="s">
        <v>1150</v>
      </c>
      <c r="C556" s="6" t="s">
        <v>41</v>
      </c>
      <c r="D556" s="6"/>
      <c r="E556" s="4" t="s">
        <v>763</v>
      </c>
      <c r="F556" s="4" t="s">
        <v>734</v>
      </c>
      <c r="G556" s="6" t="s">
        <v>1151</v>
      </c>
      <c r="H556" s="6" t="s">
        <v>769</v>
      </c>
      <c r="I556" s="5" t="s">
        <v>770</v>
      </c>
      <c r="J556" s="5" t="s">
        <v>26</v>
      </c>
      <c r="K556" s="7" t="n">
        <v>1</v>
      </c>
      <c r="L556" s="8" t="s">
        <v>771</v>
      </c>
      <c r="M556" s="4" t="s">
        <v>772</v>
      </c>
      <c r="N556" s="5" t="s">
        <v>1152</v>
      </c>
    </row>
    <row r="557" customFormat="false" ht="23.85" hidden="false" customHeight="false" outlineLevel="0" collapsed="false">
      <c r="A557" s="4" t="s">
        <v>18</v>
      </c>
      <c r="B557" s="5" t="s">
        <v>1153</v>
      </c>
      <c r="C557" s="6" t="s">
        <v>41</v>
      </c>
      <c r="D557" s="6"/>
      <c r="E557" s="4" t="s">
        <v>763</v>
      </c>
      <c r="F557" s="4" t="s">
        <v>833</v>
      </c>
      <c r="G557" s="6" t="s">
        <v>1154</v>
      </c>
      <c r="H557" s="6" t="s">
        <v>765</v>
      </c>
      <c r="I557" s="5" t="s">
        <v>766</v>
      </c>
      <c r="J557" s="5" t="s">
        <v>26</v>
      </c>
      <c r="K557" s="7" t="n">
        <v>0.6</v>
      </c>
      <c r="L557" s="6"/>
      <c r="M557" s="4" t="s">
        <v>767</v>
      </c>
      <c r="N557" s="5" t="s">
        <v>1155</v>
      </c>
    </row>
    <row r="558" customFormat="false" ht="46.25" hidden="false" customHeight="false" outlineLevel="0" collapsed="false">
      <c r="A558" s="4" t="s">
        <v>18</v>
      </c>
      <c r="B558" s="5" t="s">
        <v>1153</v>
      </c>
      <c r="C558" s="6" t="s">
        <v>41</v>
      </c>
      <c r="D558" s="6"/>
      <c r="E558" s="4" t="s">
        <v>763</v>
      </c>
      <c r="F558" s="4" t="s">
        <v>833</v>
      </c>
      <c r="G558" s="6" t="s">
        <v>1154</v>
      </c>
      <c r="H558" s="6" t="s">
        <v>769</v>
      </c>
      <c r="I558" s="5" t="s">
        <v>770</v>
      </c>
      <c r="J558" s="5" t="s">
        <v>26</v>
      </c>
      <c r="K558" s="7" t="n">
        <v>1</v>
      </c>
      <c r="L558" s="8" t="s">
        <v>771</v>
      </c>
      <c r="M558" s="4" t="s">
        <v>772</v>
      </c>
      <c r="N558" s="5" t="s">
        <v>1155</v>
      </c>
    </row>
    <row r="559" customFormat="false" ht="23.85" hidden="false" customHeight="false" outlineLevel="0" collapsed="false">
      <c r="A559" s="4" t="s">
        <v>18</v>
      </c>
      <c r="B559" s="5" t="s">
        <v>1156</v>
      </c>
      <c r="C559" s="6" t="s">
        <v>41</v>
      </c>
      <c r="D559" s="6"/>
      <c r="E559" s="4" t="s">
        <v>763</v>
      </c>
      <c r="F559" s="4" t="s">
        <v>534</v>
      </c>
      <c r="G559" s="6" t="s">
        <v>1157</v>
      </c>
      <c r="H559" s="6" t="s">
        <v>765</v>
      </c>
      <c r="I559" s="5" t="s">
        <v>766</v>
      </c>
      <c r="J559" s="5" t="s">
        <v>26</v>
      </c>
      <c r="K559" s="7" t="n">
        <v>0.6</v>
      </c>
      <c r="L559" s="6"/>
      <c r="M559" s="4" t="s">
        <v>767</v>
      </c>
      <c r="N559" s="5" t="s">
        <v>1158</v>
      </c>
    </row>
    <row r="560" customFormat="false" ht="46.25" hidden="false" customHeight="false" outlineLevel="0" collapsed="false">
      <c r="A560" s="4" t="s">
        <v>18</v>
      </c>
      <c r="B560" s="5" t="s">
        <v>1156</v>
      </c>
      <c r="C560" s="6" t="s">
        <v>41</v>
      </c>
      <c r="D560" s="6"/>
      <c r="E560" s="4" t="s">
        <v>763</v>
      </c>
      <c r="F560" s="4" t="s">
        <v>534</v>
      </c>
      <c r="G560" s="6" t="s">
        <v>1157</v>
      </c>
      <c r="H560" s="6" t="s">
        <v>769</v>
      </c>
      <c r="I560" s="5" t="s">
        <v>770</v>
      </c>
      <c r="J560" s="5" t="s">
        <v>26</v>
      </c>
      <c r="K560" s="7" t="n">
        <v>1</v>
      </c>
      <c r="L560" s="8" t="s">
        <v>771</v>
      </c>
      <c r="M560" s="4" t="s">
        <v>772</v>
      </c>
      <c r="N560" s="5" t="s">
        <v>1158</v>
      </c>
    </row>
    <row r="561" customFormat="false" ht="23.85" hidden="false" customHeight="false" outlineLevel="0" collapsed="false">
      <c r="A561" s="4" t="s">
        <v>18</v>
      </c>
      <c r="B561" s="5" t="s">
        <v>1159</v>
      </c>
      <c r="C561" s="6" t="s">
        <v>41</v>
      </c>
      <c r="D561" s="6"/>
      <c r="E561" s="4" t="s">
        <v>763</v>
      </c>
      <c r="F561" s="4" t="s">
        <v>107</v>
      </c>
      <c r="G561" s="6" t="s">
        <v>1160</v>
      </c>
      <c r="H561" s="6" t="s">
        <v>765</v>
      </c>
      <c r="I561" s="5" t="s">
        <v>766</v>
      </c>
      <c r="J561" s="5" t="s">
        <v>26</v>
      </c>
      <c r="K561" s="7" t="n">
        <v>0.6</v>
      </c>
      <c r="L561" s="6"/>
      <c r="M561" s="4" t="s">
        <v>767</v>
      </c>
      <c r="N561" s="5" t="s">
        <v>1161</v>
      </c>
    </row>
    <row r="562" customFormat="false" ht="23.85" hidden="false" customHeight="false" outlineLevel="0" collapsed="false">
      <c r="A562" s="4" t="s">
        <v>18</v>
      </c>
      <c r="B562" s="5" t="s">
        <v>1159</v>
      </c>
      <c r="C562" s="6" t="s">
        <v>41</v>
      </c>
      <c r="D562" s="6"/>
      <c r="E562" s="4" t="s">
        <v>763</v>
      </c>
      <c r="F562" s="4" t="s">
        <v>89</v>
      </c>
      <c r="G562" s="6" t="s">
        <v>1162</v>
      </c>
      <c r="H562" s="6" t="s">
        <v>765</v>
      </c>
      <c r="I562" s="5" t="s">
        <v>766</v>
      </c>
      <c r="J562" s="5" t="s">
        <v>26</v>
      </c>
      <c r="K562" s="7" t="n">
        <v>0.6</v>
      </c>
      <c r="L562" s="6"/>
      <c r="M562" s="4" t="s">
        <v>767</v>
      </c>
      <c r="N562" s="5" t="s">
        <v>1161</v>
      </c>
    </row>
    <row r="563" customFormat="false" ht="23.85" hidden="false" customHeight="false" outlineLevel="0" collapsed="false">
      <c r="A563" s="4" t="s">
        <v>18</v>
      </c>
      <c r="B563" s="5" t="s">
        <v>1159</v>
      </c>
      <c r="C563" s="6" t="s">
        <v>41</v>
      </c>
      <c r="D563" s="6"/>
      <c r="E563" s="4" t="s">
        <v>763</v>
      </c>
      <c r="F563" s="4" t="s">
        <v>658</v>
      </c>
      <c r="G563" s="6" t="s">
        <v>1163</v>
      </c>
      <c r="H563" s="6" t="s">
        <v>765</v>
      </c>
      <c r="I563" s="5" t="s">
        <v>766</v>
      </c>
      <c r="J563" s="5" t="s">
        <v>26</v>
      </c>
      <c r="K563" s="7" t="n">
        <v>0.6</v>
      </c>
      <c r="L563" s="6"/>
      <c r="M563" s="4" t="s">
        <v>767</v>
      </c>
      <c r="N563" s="5" t="s">
        <v>1161</v>
      </c>
    </row>
    <row r="564" customFormat="false" ht="46.25" hidden="false" customHeight="false" outlineLevel="0" collapsed="false">
      <c r="A564" s="4" t="s">
        <v>18</v>
      </c>
      <c r="B564" s="5" t="s">
        <v>1159</v>
      </c>
      <c r="C564" s="6" t="s">
        <v>41</v>
      </c>
      <c r="D564" s="6"/>
      <c r="E564" s="4" t="s">
        <v>763</v>
      </c>
      <c r="F564" s="4" t="s">
        <v>107</v>
      </c>
      <c r="G564" s="6" t="s">
        <v>1160</v>
      </c>
      <c r="H564" s="6" t="s">
        <v>769</v>
      </c>
      <c r="I564" s="5" t="s">
        <v>770</v>
      </c>
      <c r="J564" s="5" t="s">
        <v>26</v>
      </c>
      <c r="K564" s="7" t="n">
        <v>1</v>
      </c>
      <c r="L564" s="8" t="s">
        <v>771</v>
      </c>
      <c r="M564" s="4" t="s">
        <v>772</v>
      </c>
      <c r="N564" s="5" t="s">
        <v>1161</v>
      </c>
    </row>
    <row r="565" customFormat="false" ht="46.25" hidden="false" customHeight="false" outlineLevel="0" collapsed="false">
      <c r="A565" s="4" t="s">
        <v>18</v>
      </c>
      <c r="B565" s="5" t="s">
        <v>1159</v>
      </c>
      <c r="C565" s="6" t="s">
        <v>41</v>
      </c>
      <c r="D565" s="6"/>
      <c r="E565" s="4" t="s">
        <v>763</v>
      </c>
      <c r="F565" s="4" t="s">
        <v>89</v>
      </c>
      <c r="G565" s="6" t="s">
        <v>1162</v>
      </c>
      <c r="H565" s="6" t="s">
        <v>769</v>
      </c>
      <c r="I565" s="5" t="s">
        <v>770</v>
      </c>
      <c r="J565" s="5" t="s">
        <v>26</v>
      </c>
      <c r="K565" s="7" t="n">
        <v>1</v>
      </c>
      <c r="L565" s="8" t="s">
        <v>771</v>
      </c>
      <c r="M565" s="4" t="s">
        <v>772</v>
      </c>
      <c r="N565" s="5" t="s">
        <v>1161</v>
      </c>
    </row>
    <row r="566" customFormat="false" ht="46.25" hidden="false" customHeight="false" outlineLevel="0" collapsed="false">
      <c r="A566" s="4" t="s">
        <v>18</v>
      </c>
      <c r="B566" s="5" t="s">
        <v>1159</v>
      </c>
      <c r="C566" s="6" t="s">
        <v>41</v>
      </c>
      <c r="D566" s="6"/>
      <c r="E566" s="4" t="s">
        <v>763</v>
      </c>
      <c r="F566" s="4" t="s">
        <v>658</v>
      </c>
      <c r="G566" s="6" t="s">
        <v>1163</v>
      </c>
      <c r="H566" s="6" t="s">
        <v>769</v>
      </c>
      <c r="I566" s="5" t="s">
        <v>770</v>
      </c>
      <c r="J566" s="5" t="s">
        <v>26</v>
      </c>
      <c r="K566" s="7" t="n">
        <v>1</v>
      </c>
      <c r="L566" s="8" t="s">
        <v>771</v>
      </c>
      <c r="M566" s="4" t="s">
        <v>772</v>
      </c>
      <c r="N566" s="5" t="s">
        <v>1161</v>
      </c>
    </row>
    <row r="567" customFormat="false" ht="35.05" hidden="false" customHeight="false" outlineLevel="0" collapsed="false">
      <c r="A567" s="4" t="s">
        <v>18</v>
      </c>
      <c r="B567" s="5" t="s">
        <v>1164</v>
      </c>
      <c r="C567" s="6" t="s">
        <v>41</v>
      </c>
      <c r="D567" s="6"/>
      <c r="E567" s="4" t="s">
        <v>1129</v>
      </c>
      <c r="F567" s="4" t="s">
        <v>1165</v>
      </c>
      <c r="G567" s="6" t="s">
        <v>1166</v>
      </c>
      <c r="H567" s="6" t="s">
        <v>1132</v>
      </c>
      <c r="I567" s="5" t="s">
        <v>1133</v>
      </c>
      <c r="J567" s="5" t="s">
        <v>26</v>
      </c>
      <c r="K567" s="7" t="n">
        <v>0.6</v>
      </c>
      <c r="L567" s="6"/>
      <c r="M567" s="4" t="s">
        <v>1134</v>
      </c>
      <c r="N567" s="5" t="s">
        <v>1167</v>
      </c>
    </row>
    <row r="568" customFormat="false" ht="35.05" hidden="false" customHeight="false" outlineLevel="0" collapsed="false">
      <c r="A568" s="4" t="s">
        <v>18</v>
      </c>
      <c r="B568" s="5" t="s">
        <v>1164</v>
      </c>
      <c r="C568" s="6" t="s">
        <v>41</v>
      </c>
      <c r="D568" s="6"/>
      <c r="E568" s="4" t="s">
        <v>1129</v>
      </c>
      <c r="F568" s="4" t="s">
        <v>1165</v>
      </c>
      <c r="G568" s="6" t="s">
        <v>1166</v>
      </c>
      <c r="H568" s="6" t="s">
        <v>1136</v>
      </c>
      <c r="I568" s="5" t="s">
        <v>1137</v>
      </c>
      <c r="J568" s="5" t="s">
        <v>26</v>
      </c>
      <c r="K568" s="7" t="n">
        <v>1</v>
      </c>
      <c r="L568" s="8" t="s">
        <v>485</v>
      </c>
      <c r="M568" s="4" t="s">
        <v>1138</v>
      </c>
      <c r="N568" s="5" t="s">
        <v>1167</v>
      </c>
    </row>
    <row r="569" customFormat="false" ht="35.05" hidden="false" customHeight="false" outlineLevel="0" collapsed="false">
      <c r="A569" s="4" t="s">
        <v>18</v>
      </c>
      <c r="B569" s="5" t="s">
        <v>1168</v>
      </c>
      <c r="C569" s="6" t="s">
        <v>41</v>
      </c>
      <c r="D569" s="6"/>
      <c r="E569" s="4" t="s">
        <v>1129</v>
      </c>
      <c r="F569" s="4" t="s">
        <v>1169</v>
      </c>
      <c r="G569" s="6" t="s">
        <v>1170</v>
      </c>
      <c r="H569" s="6" t="s">
        <v>1132</v>
      </c>
      <c r="I569" s="5" t="s">
        <v>1133</v>
      </c>
      <c r="J569" s="5" t="s">
        <v>26</v>
      </c>
      <c r="K569" s="7" t="n">
        <v>0.6</v>
      </c>
      <c r="L569" s="6"/>
      <c r="M569" s="4" t="s">
        <v>1134</v>
      </c>
      <c r="N569" s="5" t="s">
        <v>1171</v>
      </c>
    </row>
    <row r="570" customFormat="false" ht="35.05" hidden="false" customHeight="false" outlineLevel="0" collapsed="false">
      <c r="A570" s="4" t="s">
        <v>18</v>
      </c>
      <c r="B570" s="5" t="s">
        <v>1168</v>
      </c>
      <c r="C570" s="6" t="s">
        <v>41</v>
      </c>
      <c r="D570" s="6"/>
      <c r="E570" s="4" t="s">
        <v>1129</v>
      </c>
      <c r="F570" s="4" t="s">
        <v>1169</v>
      </c>
      <c r="G570" s="6" t="s">
        <v>1170</v>
      </c>
      <c r="H570" s="6" t="s">
        <v>1136</v>
      </c>
      <c r="I570" s="5" t="s">
        <v>1137</v>
      </c>
      <c r="J570" s="5" t="s">
        <v>26</v>
      </c>
      <c r="K570" s="7" t="n">
        <v>1</v>
      </c>
      <c r="L570" s="8" t="s">
        <v>485</v>
      </c>
      <c r="M570" s="4" t="s">
        <v>1138</v>
      </c>
      <c r="N570" s="5" t="s">
        <v>1171</v>
      </c>
    </row>
    <row r="571" customFormat="false" ht="46.25" hidden="false" customHeight="false" outlineLevel="0" collapsed="false">
      <c r="A571" s="4" t="s">
        <v>18</v>
      </c>
      <c r="B571" s="5" t="s">
        <v>1172</v>
      </c>
      <c r="C571" s="6" t="s">
        <v>41</v>
      </c>
      <c r="D571" s="6"/>
      <c r="E571" s="4" t="s">
        <v>1129</v>
      </c>
      <c r="F571" s="4" t="s">
        <v>1173</v>
      </c>
      <c r="G571" s="6" t="s">
        <v>1174</v>
      </c>
      <c r="H571" s="6" t="s">
        <v>1132</v>
      </c>
      <c r="I571" s="5" t="s">
        <v>1133</v>
      </c>
      <c r="J571" s="5" t="s">
        <v>26</v>
      </c>
      <c r="K571" s="7" t="n">
        <v>0.6</v>
      </c>
      <c r="L571" s="6"/>
      <c r="M571" s="4" t="s">
        <v>1134</v>
      </c>
      <c r="N571" s="5" t="s">
        <v>1175</v>
      </c>
    </row>
    <row r="572" customFormat="false" ht="46.25" hidden="false" customHeight="false" outlineLevel="0" collapsed="false">
      <c r="A572" s="4" t="s">
        <v>18</v>
      </c>
      <c r="B572" s="5" t="s">
        <v>1172</v>
      </c>
      <c r="C572" s="6" t="s">
        <v>41</v>
      </c>
      <c r="D572" s="6"/>
      <c r="E572" s="4" t="s">
        <v>1129</v>
      </c>
      <c r="F572" s="4" t="s">
        <v>1173</v>
      </c>
      <c r="G572" s="6" t="s">
        <v>1174</v>
      </c>
      <c r="H572" s="6" t="s">
        <v>1136</v>
      </c>
      <c r="I572" s="5" t="s">
        <v>1137</v>
      </c>
      <c r="J572" s="5" t="s">
        <v>26</v>
      </c>
      <c r="K572" s="7" t="n">
        <v>1</v>
      </c>
      <c r="L572" s="8" t="s">
        <v>485</v>
      </c>
      <c r="M572" s="4" t="s">
        <v>1138</v>
      </c>
      <c r="N572" s="5" t="s">
        <v>1175</v>
      </c>
    </row>
    <row r="573" customFormat="false" ht="46.25" hidden="false" customHeight="false" outlineLevel="0" collapsed="false">
      <c r="A573" s="4" t="s">
        <v>18</v>
      </c>
      <c r="B573" s="5" t="s">
        <v>1176</v>
      </c>
      <c r="C573" s="6" t="s">
        <v>41</v>
      </c>
      <c r="D573" s="6"/>
      <c r="E573" s="4" t="s">
        <v>1129</v>
      </c>
      <c r="F573" s="4" t="s">
        <v>1177</v>
      </c>
      <c r="G573" s="6" t="s">
        <v>1178</v>
      </c>
      <c r="H573" s="6" t="s">
        <v>1132</v>
      </c>
      <c r="I573" s="5" t="s">
        <v>1133</v>
      </c>
      <c r="J573" s="5" t="s">
        <v>26</v>
      </c>
      <c r="K573" s="7" t="n">
        <v>0.6</v>
      </c>
      <c r="L573" s="6"/>
      <c r="M573" s="4" t="s">
        <v>1134</v>
      </c>
      <c r="N573" s="5" t="s">
        <v>1179</v>
      </c>
    </row>
    <row r="574" customFormat="false" ht="46.25" hidden="false" customHeight="false" outlineLevel="0" collapsed="false">
      <c r="A574" s="4" t="s">
        <v>18</v>
      </c>
      <c r="B574" s="5" t="s">
        <v>1176</v>
      </c>
      <c r="C574" s="6" t="s">
        <v>41</v>
      </c>
      <c r="D574" s="6"/>
      <c r="E574" s="4" t="s">
        <v>1129</v>
      </c>
      <c r="F574" s="4" t="s">
        <v>1177</v>
      </c>
      <c r="G574" s="6" t="s">
        <v>1178</v>
      </c>
      <c r="H574" s="6" t="s">
        <v>1136</v>
      </c>
      <c r="I574" s="5" t="s">
        <v>1137</v>
      </c>
      <c r="J574" s="5" t="s">
        <v>26</v>
      </c>
      <c r="K574" s="7" t="n">
        <v>1</v>
      </c>
      <c r="L574" s="8" t="s">
        <v>485</v>
      </c>
      <c r="M574" s="4" t="s">
        <v>1138</v>
      </c>
      <c r="N574" s="5" t="s">
        <v>1179</v>
      </c>
    </row>
    <row r="575" customFormat="false" ht="46.25" hidden="false" customHeight="false" outlineLevel="0" collapsed="false">
      <c r="A575" s="4" t="s">
        <v>18</v>
      </c>
      <c r="B575" s="5" t="s">
        <v>1180</v>
      </c>
      <c r="C575" s="6" t="s">
        <v>41</v>
      </c>
      <c r="D575" s="6"/>
      <c r="E575" s="4" t="s">
        <v>1129</v>
      </c>
      <c r="F575" s="4" t="s">
        <v>1177</v>
      </c>
      <c r="G575" s="6" t="s">
        <v>1178</v>
      </c>
      <c r="H575" s="6" t="s">
        <v>1132</v>
      </c>
      <c r="I575" s="5" t="s">
        <v>1133</v>
      </c>
      <c r="J575" s="5" t="s">
        <v>26</v>
      </c>
      <c r="K575" s="7" t="n">
        <v>0.6</v>
      </c>
      <c r="L575" s="6"/>
      <c r="M575" s="4" t="s">
        <v>1134</v>
      </c>
      <c r="N575" s="5" t="s">
        <v>1181</v>
      </c>
    </row>
    <row r="576" customFormat="false" ht="46.25" hidden="false" customHeight="false" outlineLevel="0" collapsed="false">
      <c r="A576" s="4" t="s">
        <v>18</v>
      </c>
      <c r="B576" s="5" t="s">
        <v>1180</v>
      </c>
      <c r="C576" s="6" t="s">
        <v>41</v>
      </c>
      <c r="D576" s="6"/>
      <c r="E576" s="4" t="s">
        <v>1129</v>
      </c>
      <c r="F576" s="4" t="s">
        <v>1177</v>
      </c>
      <c r="G576" s="6" t="s">
        <v>1178</v>
      </c>
      <c r="H576" s="6" t="s">
        <v>1136</v>
      </c>
      <c r="I576" s="5" t="s">
        <v>1137</v>
      </c>
      <c r="J576" s="5" t="s">
        <v>26</v>
      </c>
      <c r="K576" s="7" t="n">
        <v>1</v>
      </c>
      <c r="L576" s="8" t="s">
        <v>485</v>
      </c>
      <c r="M576" s="4" t="s">
        <v>1138</v>
      </c>
      <c r="N576" s="5" t="s">
        <v>1181</v>
      </c>
    </row>
    <row r="577" customFormat="false" ht="23.85" hidden="false" customHeight="false" outlineLevel="0" collapsed="false">
      <c r="A577" s="4" t="s">
        <v>18</v>
      </c>
      <c r="B577" s="5" t="s">
        <v>1182</v>
      </c>
      <c r="C577" s="6" t="s">
        <v>41</v>
      </c>
      <c r="D577" s="6"/>
      <c r="E577" s="4" t="s">
        <v>580</v>
      </c>
      <c r="F577" s="4" t="s">
        <v>1183</v>
      </c>
      <c r="G577" s="6" t="s">
        <v>1184</v>
      </c>
      <c r="H577" s="6" t="s">
        <v>583</v>
      </c>
      <c r="I577" s="5" t="s">
        <v>584</v>
      </c>
      <c r="J577" s="5" t="s">
        <v>26</v>
      </c>
      <c r="K577" s="7" t="n">
        <v>0.6</v>
      </c>
      <c r="L577" s="8" t="s">
        <v>585</v>
      </c>
      <c r="M577" s="4" t="s">
        <v>586</v>
      </c>
      <c r="N577" s="5" t="s">
        <v>1185</v>
      </c>
    </row>
    <row r="578" customFormat="false" ht="23.85" hidden="false" customHeight="false" outlineLevel="0" collapsed="false">
      <c r="A578" s="4" t="s">
        <v>18</v>
      </c>
      <c r="B578" s="5" t="s">
        <v>1182</v>
      </c>
      <c r="C578" s="6" t="s">
        <v>41</v>
      </c>
      <c r="D578" s="6"/>
      <c r="E578" s="4" t="s">
        <v>580</v>
      </c>
      <c r="F578" s="4" t="s">
        <v>1183</v>
      </c>
      <c r="G578" s="6" t="s">
        <v>1184</v>
      </c>
      <c r="H578" s="6" t="s">
        <v>588</v>
      </c>
      <c r="I578" s="5" t="s">
        <v>589</v>
      </c>
      <c r="J578" s="5" t="s">
        <v>26</v>
      </c>
      <c r="K578" s="7" t="n">
        <v>0.6</v>
      </c>
      <c r="L578" s="8" t="s">
        <v>590</v>
      </c>
      <c r="M578" s="4" t="s">
        <v>591</v>
      </c>
      <c r="N578" s="5" t="s">
        <v>1185</v>
      </c>
    </row>
    <row r="579" customFormat="false" ht="23.85" hidden="false" customHeight="false" outlineLevel="0" collapsed="false">
      <c r="A579" s="4" t="s">
        <v>18</v>
      </c>
      <c r="B579" s="5" t="s">
        <v>1186</v>
      </c>
      <c r="C579" s="6" t="s">
        <v>41</v>
      </c>
      <c r="D579" s="6"/>
      <c r="E579" s="4" t="s">
        <v>580</v>
      </c>
      <c r="F579" s="4" t="s">
        <v>1187</v>
      </c>
      <c r="G579" s="6" t="s">
        <v>1188</v>
      </c>
      <c r="H579" s="6" t="s">
        <v>583</v>
      </c>
      <c r="I579" s="5" t="s">
        <v>584</v>
      </c>
      <c r="J579" s="5" t="s">
        <v>26</v>
      </c>
      <c r="K579" s="7" t="n">
        <v>0.6</v>
      </c>
      <c r="L579" s="8" t="s">
        <v>585</v>
      </c>
      <c r="M579" s="4" t="s">
        <v>586</v>
      </c>
      <c r="N579" s="5" t="s">
        <v>1189</v>
      </c>
    </row>
    <row r="580" customFormat="false" ht="23.85" hidden="false" customHeight="false" outlineLevel="0" collapsed="false">
      <c r="A580" s="4" t="s">
        <v>18</v>
      </c>
      <c r="B580" s="5" t="s">
        <v>1186</v>
      </c>
      <c r="C580" s="6" t="s">
        <v>41</v>
      </c>
      <c r="D580" s="6"/>
      <c r="E580" s="4" t="s">
        <v>580</v>
      </c>
      <c r="F580" s="4" t="s">
        <v>1187</v>
      </c>
      <c r="G580" s="6" t="s">
        <v>1188</v>
      </c>
      <c r="H580" s="6" t="s">
        <v>588</v>
      </c>
      <c r="I580" s="5" t="s">
        <v>589</v>
      </c>
      <c r="J580" s="5" t="s">
        <v>26</v>
      </c>
      <c r="K580" s="7" t="n">
        <v>0.6</v>
      </c>
      <c r="L580" s="8" t="s">
        <v>590</v>
      </c>
      <c r="M580" s="4" t="s">
        <v>591</v>
      </c>
      <c r="N580" s="5" t="s">
        <v>1189</v>
      </c>
    </row>
    <row r="581" customFormat="false" ht="35.05" hidden="false" customHeight="false" outlineLevel="0" collapsed="false">
      <c r="A581" s="4" t="s">
        <v>18</v>
      </c>
      <c r="B581" s="5" t="s">
        <v>1190</v>
      </c>
      <c r="C581" s="6" t="s">
        <v>41</v>
      </c>
      <c r="D581" s="6"/>
      <c r="E581" s="4" t="s">
        <v>1129</v>
      </c>
      <c r="F581" s="4" t="s">
        <v>1191</v>
      </c>
      <c r="G581" s="6" t="s">
        <v>1192</v>
      </c>
      <c r="H581" s="6" t="s">
        <v>1132</v>
      </c>
      <c r="I581" s="5" t="s">
        <v>1133</v>
      </c>
      <c r="J581" s="5" t="s">
        <v>26</v>
      </c>
      <c r="K581" s="7" t="n">
        <v>0.6</v>
      </c>
      <c r="L581" s="6"/>
      <c r="M581" s="4" t="s">
        <v>1134</v>
      </c>
      <c r="N581" s="5" t="s">
        <v>1193</v>
      </c>
    </row>
    <row r="582" customFormat="false" ht="35.05" hidden="false" customHeight="false" outlineLevel="0" collapsed="false">
      <c r="A582" s="4" t="s">
        <v>18</v>
      </c>
      <c r="B582" s="5" t="s">
        <v>1190</v>
      </c>
      <c r="C582" s="6" t="s">
        <v>41</v>
      </c>
      <c r="D582" s="6"/>
      <c r="E582" s="4" t="s">
        <v>1129</v>
      </c>
      <c r="F582" s="4" t="s">
        <v>1191</v>
      </c>
      <c r="G582" s="6" t="s">
        <v>1192</v>
      </c>
      <c r="H582" s="6" t="s">
        <v>1136</v>
      </c>
      <c r="I582" s="5" t="s">
        <v>1137</v>
      </c>
      <c r="J582" s="5" t="s">
        <v>26</v>
      </c>
      <c r="K582" s="7" t="n">
        <v>1</v>
      </c>
      <c r="L582" s="8" t="s">
        <v>485</v>
      </c>
      <c r="M582" s="4" t="s">
        <v>1138</v>
      </c>
      <c r="N582" s="5" t="s">
        <v>1193</v>
      </c>
    </row>
    <row r="583" customFormat="false" ht="35.05" hidden="false" customHeight="false" outlineLevel="0" collapsed="false">
      <c r="A583" s="4" t="s">
        <v>18</v>
      </c>
      <c r="B583" s="5" t="s">
        <v>1194</v>
      </c>
      <c r="C583" s="6" t="s">
        <v>41</v>
      </c>
      <c r="D583" s="6"/>
      <c r="E583" s="4" t="s">
        <v>1129</v>
      </c>
      <c r="F583" s="4" t="s">
        <v>1195</v>
      </c>
      <c r="G583" s="6" t="s">
        <v>1196</v>
      </c>
      <c r="H583" s="6" t="s">
        <v>1132</v>
      </c>
      <c r="I583" s="5" t="s">
        <v>1133</v>
      </c>
      <c r="J583" s="5" t="s">
        <v>26</v>
      </c>
      <c r="K583" s="7" t="n">
        <v>0.6</v>
      </c>
      <c r="L583" s="6"/>
      <c r="M583" s="4" t="s">
        <v>1134</v>
      </c>
      <c r="N583" s="5" t="s">
        <v>1197</v>
      </c>
    </row>
    <row r="584" customFormat="false" ht="35.05" hidden="false" customHeight="false" outlineLevel="0" collapsed="false">
      <c r="A584" s="4" t="s">
        <v>18</v>
      </c>
      <c r="B584" s="5" t="s">
        <v>1194</v>
      </c>
      <c r="C584" s="6" t="s">
        <v>41</v>
      </c>
      <c r="D584" s="6"/>
      <c r="E584" s="4" t="s">
        <v>1129</v>
      </c>
      <c r="F584" s="4" t="s">
        <v>1195</v>
      </c>
      <c r="G584" s="6" t="s">
        <v>1196</v>
      </c>
      <c r="H584" s="6" t="s">
        <v>1136</v>
      </c>
      <c r="I584" s="5" t="s">
        <v>1137</v>
      </c>
      <c r="J584" s="5" t="s">
        <v>26</v>
      </c>
      <c r="K584" s="7" t="n">
        <v>1</v>
      </c>
      <c r="L584" s="8" t="s">
        <v>485</v>
      </c>
      <c r="M584" s="4" t="s">
        <v>1138</v>
      </c>
      <c r="N584" s="5" t="s">
        <v>1197</v>
      </c>
    </row>
    <row r="585" customFormat="false" ht="35.05" hidden="false" customHeight="false" outlineLevel="0" collapsed="false">
      <c r="A585" s="4" t="s">
        <v>18</v>
      </c>
      <c r="B585" s="5" t="s">
        <v>1198</v>
      </c>
      <c r="C585" s="6" t="s">
        <v>41</v>
      </c>
      <c r="D585" s="6"/>
      <c r="E585" s="4" t="s">
        <v>1129</v>
      </c>
      <c r="F585" s="4"/>
      <c r="G585" s="6"/>
      <c r="H585" s="6" t="s">
        <v>1132</v>
      </c>
      <c r="I585" s="5" t="s">
        <v>1133</v>
      </c>
      <c r="J585" s="5" t="s">
        <v>26</v>
      </c>
      <c r="K585" s="7" t="n">
        <v>0.6</v>
      </c>
      <c r="L585" s="6"/>
      <c r="M585" s="4" t="s">
        <v>1134</v>
      </c>
      <c r="N585" s="5" t="s">
        <v>1199</v>
      </c>
    </row>
    <row r="586" customFormat="false" ht="35.05" hidden="false" customHeight="false" outlineLevel="0" collapsed="false">
      <c r="A586" s="4" t="s">
        <v>18</v>
      </c>
      <c r="B586" s="5" t="s">
        <v>1198</v>
      </c>
      <c r="C586" s="6" t="s">
        <v>41</v>
      </c>
      <c r="D586" s="6"/>
      <c r="E586" s="4" t="s">
        <v>1129</v>
      </c>
      <c r="F586" s="4"/>
      <c r="G586" s="6"/>
      <c r="H586" s="6" t="s">
        <v>1136</v>
      </c>
      <c r="I586" s="5" t="s">
        <v>1137</v>
      </c>
      <c r="J586" s="5" t="s">
        <v>26</v>
      </c>
      <c r="K586" s="7" t="n">
        <v>1</v>
      </c>
      <c r="L586" s="8" t="s">
        <v>485</v>
      </c>
      <c r="M586" s="4" t="s">
        <v>1138</v>
      </c>
      <c r="N586" s="5" t="s">
        <v>1199</v>
      </c>
    </row>
    <row r="587" customFormat="false" ht="23.85" hidden="false" customHeight="false" outlineLevel="0" collapsed="false">
      <c r="A587" s="4" t="s">
        <v>18</v>
      </c>
      <c r="B587" s="5" t="s">
        <v>1200</v>
      </c>
      <c r="C587" s="6" t="s">
        <v>41</v>
      </c>
      <c r="D587" s="6"/>
      <c r="E587" s="4" t="s">
        <v>580</v>
      </c>
      <c r="F587" s="4" t="s">
        <v>1201</v>
      </c>
      <c r="G587" s="6" t="s">
        <v>1202</v>
      </c>
      <c r="H587" s="6" t="s">
        <v>583</v>
      </c>
      <c r="I587" s="5" t="s">
        <v>584</v>
      </c>
      <c r="J587" s="5" t="s">
        <v>26</v>
      </c>
      <c r="K587" s="7" t="n">
        <v>0.6</v>
      </c>
      <c r="L587" s="8" t="s">
        <v>585</v>
      </c>
      <c r="M587" s="4" t="s">
        <v>586</v>
      </c>
      <c r="N587" s="5" t="s">
        <v>1203</v>
      </c>
    </row>
    <row r="588" customFormat="false" ht="23.85" hidden="false" customHeight="false" outlineLevel="0" collapsed="false">
      <c r="A588" s="4" t="s">
        <v>18</v>
      </c>
      <c r="B588" s="5" t="s">
        <v>1200</v>
      </c>
      <c r="C588" s="6" t="s">
        <v>41</v>
      </c>
      <c r="D588" s="6"/>
      <c r="E588" s="4" t="s">
        <v>580</v>
      </c>
      <c r="F588" s="4" t="s">
        <v>1201</v>
      </c>
      <c r="G588" s="6" t="s">
        <v>1202</v>
      </c>
      <c r="H588" s="6" t="s">
        <v>588</v>
      </c>
      <c r="I588" s="5" t="s">
        <v>589</v>
      </c>
      <c r="J588" s="5" t="s">
        <v>26</v>
      </c>
      <c r="K588" s="7" t="n">
        <v>0.6</v>
      </c>
      <c r="L588" s="8" t="s">
        <v>590</v>
      </c>
      <c r="M588" s="4" t="s">
        <v>591</v>
      </c>
      <c r="N588" s="5" t="s">
        <v>1203</v>
      </c>
    </row>
    <row r="589" customFormat="false" ht="35.05" hidden="false" customHeight="false" outlineLevel="0" collapsed="false">
      <c r="A589" s="4" t="s">
        <v>18</v>
      </c>
      <c r="B589" s="5" t="s">
        <v>1204</v>
      </c>
      <c r="C589" s="6" t="s">
        <v>41</v>
      </c>
      <c r="D589" s="6"/>
      <c r="E589" s="4" t="s">
        <v>1129</v>
      </c>
      <c r="F589" s="4" t="s">
        <v>1034</v>
      </c>
      <c r="G589" s="6" t="s">
        <v>1205</v>
      </c>
      <c r="H589" s="6" t="s">
        <v>1132</v>
      </c>
      <c r="I589" s="5" t="s">
        <v>1133</v>
      </c>
      <c r="J589" s="5" t="s">
        <v>26</v>
      </c>
      <c r="K589" s="7" t="n">
        <v>0.6</v>
      </c>
      <c r="L589" s="6"/>
      <c r="M589" s="4" t="s">
        <v>1134</v>
      </c>
      <c r="N589" s="5" t="s">
        <v>1206</v>
      </c>
    </row>
    <row r="590" customFormat="false" ht="35.05" hidden="false" customHeight="false" outlineLevel="0" collapsed="false">
      <c r="A590" s="4" t="s">
        <v>18</v>
      </c>
      <c r="B590" s="5" t="s">
        <v>1204</v>
      </c>
      <c r="C590" s="6" t="s">
        <v>41</v>
      </c>
      <c r="D590" s="6"/>
      <c r="E590" s="4" t="s">
        <v>1129</v>
      </c>
      <c r="F590" s="4" t="s">
        <v>1034</v>
      </c>
      <c r="G590" s="6" t="s">
        <v>1205</v>
      </c>
      <c r="H590" s="6" t="s">
        <v>1136</v>
      </c>
      <c r="I590" s="5" t="s">
        <v>1137</v>
      </c>
      <c r="J590" s="5" t="s">
        <v>26</v>
      </c>
      <c r="K590" s="7" t="n">
        <v>1</v>
      </c>
      <c r="L590" s="8" t="s">
        <v>485</v>
      </c>
      <c r="M590" s="4" t="s">
        <v>1138</v>
      </c>
      <c r="N590" s="5" t="s">
        <v>1206</v>
      </c>
    </row>
    <row r="591" customFormat="false" ht="23.85" hidden="false" customHeight="false" outlineLevel="0" collapsed="false">
      <c r="A591" s="4" t="s">
        <v>18</v>
      </c>
      <c r="B591" s="5" t="s">
        <v>1207</v>
      </c>
      <c r="C591" s="6" t="s">
        <v>41</v>
      </c>
      <c r="D591" s="6"/>
      <c r="E591" s="4" t="s">
        <v>763</v>
      </c>
      <c r="F591" s="4" t="s">
        <v>839</v>
      </c>
      <c r="G591" s="6" t="s">
        <v>1208</v>
      </c>
      <c r="H591" s="6" t="s">
        <v>765</v>
      </c>
      <c r="I591" s="5" t="s">
        <v>766</v>
      </c>
      <c r="J591" s="5" t="s">
        <v>26</v>
      </c>
      <c r="K591" s="7" t="n">
        <v>0.6</v>
      </c>
      <c r="L591" s="6"/>
      <c r="M591" s="4" t="s">
        <v>767</v>
      </c>
      <c r="N591" s="5" t="s">
        <v>1209</v>
      </c>
    </row>
    <row r="592" customFormat="false" ht="46.25" hidden="false" customHeight="false" outlineLevel="0" collapsed="false">
      <c r="A592" s="4" t="s">
        <v>18</v>
      </c>
      <c r="B592" s="5" t="s">
        <v>1207</v>
      </c>
      <c r="C592" s="6" t="s">
        <v>41</v>
      </c>
      <c r="D592" s="6"/>
      <c r="E592" s="4" t="s">
        <v>763</v>
      </c>
      <c r="F592" s="4" t="s">
        <v>839</v>
      </c>
      <c r="G592" s="6" t="s">
        <v>1208</v>
      </c>
      <c r="H592" s="6" t="s">
        <v>769</v>
      </c>
      <c r="I592" s="5" t="s">
        <v>770</v>
      </c>
      <c r="J592" s="5" t="s">
        <v>26</v>
      </c>
      <c r="K592" s="7" t="n">
        <v>1</v>
      </c>
      <c r="L592" s="8" t="s">
        <v>771</v>
      </c>
      <c r="M592" s="4" t="s">
        <v>772</v>
      </c>
      <c r="N592" s="5" t="s">
        <v>1209</v>
      </c>
    </row>
    <row r="593" customFormat="false" ht="23.85" hidden="false" customHeight="false" outlineLevel="0" collapsed="false">
      <c r="A593" s="4" t="s">
        <v>18</v>
      </c>
      <c r="B593" s="5" t="s">
        <v>1210</v>
      </c>
      <c r="C593" s="6" t="s">
        <v>41</v>
      </c>
      <c r="D593" s="6"/>
      <c r="E593" s="4" t="s">
        <v>763</v>
      </c>
      <c r="F593" s="4" t="s">
        <v>600</v>
      </c>
      <c r="G593" s="6" t="s">
        <v>1211</v>
      </c>
      <c r="H593" s="6" t="s">
        <v>765</v>
      </c>
      <c r="I593" s="5" t="s">
        <v>766</v>
      </c>
      <c r="J593" s="5" t="s">
        <v>26</v>
      </c>
      <c r="K593" s="7" t="n">
        <v>0.6</v>
      </c>
      <c r="L593" s="6"/>
      <c r="M593" s="4" t="s">
        <v>767</v>
      </c>
      <c r="N593" s="5" t="s">
        <v>1212</v>
      </c>
    </row>
    <row r="594" customFormat="false" ht="46.25" hidden="false" customHeight="false" outlineLevel="0" collapsed="false">
      <c r="A594" s="4" t="s">
        <v>18</v>
      </c>
      <c r="B594" s="5" t="s">
        <v>1210</v>
      </c>
      <c r="C594" s="6" t="s">
        <v>41</v>
      </c>
      <c r="D594" s="6"/>
      <c r="E594" s="4" t="s">
        <v>763</v>
      </c>
      <c r="F594" s="4" t="s">
        <v>600</v>
      </c>
      <c r="G594" s="6" t="s">
        <v>1211</v>
      </c>
      <c r="H594" s="6" t="s">
        <v>769</v>
      </c>
      <c r="I594" s="5" t="s">
        <v>770</v>
      </c>
      <c r="J594" s="5" t="s">
        <v>26</v>
      </c>
      <c r="K594" s="7" t="n">
        <v>1</v>
      </c>
      <c r="L594" s="8" t="s">
        <v>771</v>
      </c>
      <c r="M594" s="4" t="s">
        <v>772</v>
      </c>
      <c r="N594" s="5" t="s">
        <v>1212</v>
      </c>
    </row>
    <row r="595" customFormat="false" ht="46.25" hidden="false" customHeight="false" outlineLevel="0" collapsed="false">
      <c r="A595" s="4" t="s">
        <v>18</v>
      </c>
      <c r="B595" s="5" t="s">
        <v>1213</v>
      </c>
      <c r="C595" s="6" t="s">
        <v>1214</v>
      </c>
      <c r="D595" s="6"/>
      <c r="E595" s="4" t="s">
        <v>1129</v>
      </c>
      <c r="F595" s="4" t="s">
        <v>1215</v>
      </c>
      <c r="G595" s="6" t="s">
        <v>1216</v>
      </c>
      <c r="H595" s="6" t="s">
        <v>1132</v>
      </c>
      <c r="I595" s="5" t="s">
        <v>1133</v>
      </c>
      <c r="J595" s="5" t="s">
        <v>26</v>
      </c>
      <c r="K595" s="7" t="n">
        <v>0.6</v>
      </c>
      <c r="L595" s="6"/>
      <c r="M595" s="4" t="s">
        <v>1134</v>
      </c>
      <c r="N595" s="5" t="s">
        <v>1217</v>
      </c>
    </row>
    <row r="596" customFormat="false" ht="46.25" hidden="false" customHeight="false" outlineLevel="0" collapsed="false">
      <c r="A596" s="4" t="s">
        <v>18</v>
      </c>
      <c r="B596" s="5" t="s">
        <v>1213</v>
      </c>
      <c r="C596" s="6" t="s">
        <v>1214</v>
      </c>
      <c r="D596" s="6"/>
      <c r="E596" s="4" t="s">
        <v>1129</v>
      </c>
      <c r="F596" s="4" t="s">
        <v>1215</v>
      </c>
      <c r="G596" s="6" t="s">
        <v>1216</v>
      </c>
      <c r="H596" s="6" t="s">
        <v>1136</v>
      </c>
      <c r="I596" s="5" t="s">
        <v>1137</v>
      </c>
      <c r="J596" s="5" t="s">
        <v>26</v>
      </c>
      <c r="K596" s="7" t="n">
        <v>1</v>
      </c>
      <c r="L596" s="8" t="s">
        <v>485</v>
      </c>
      <c r="M596" s="4" t="s">
        <v>1138</v>
      </c>
      <c r="N596" s="5" t="s">
        <v>1217</v>
      </c>
    </row>
    <row r="597" customFormat="false" ht="23.85" hidden="false" customHeight="false" outlineLevel="0" collapsed="false">
      <c r="A597" s="4" t="s">
        <v>18</v>
      </c>
      <c r="B597" s="5" t="s">
        <v>1218</v>
      </c>
      <c r="C597" s="6" t="s">
        <v>41</v>
      </c>
      <c r="D597" s="6"/>
      <c r="E597" s="4" t="s">
        <v>580</v>
      </c>
      <c r="F597" s="4" t="s">
        <v>1219</v>
      </c>
      <c r="G597" s="6" t="s">
        <v>1220</v>
      </c>
      <c r="H597" s="6" t="s">
        <v>583</v>
      </c>
      <c r="I597" s="5" t="s">
        <v>584</v>
      </c>
      <c r="J597" s="5" t="s">
        <v>26</v>
      </c>
      <c r="K597" s="7" t="n">
        <v>0.6</v>
      </c>
      <c r="L597" s="8" t="s">
        <v>585</v>
      </c>
      <c r="M597" s="4" t="s">
        <v>586</v>
      </c>
      <c r="N597" s="5" t="s">
        <v>1221</v>
      </c>
    </row>
    <row r="598" customFormat="false" ht="23.85" hidden="false" customHeight="false" outlineLevel="0" collapsed="false">
      <c r="A598" s="4" t="s">
        <v>18</v>
      </c>
      <c r="B598" s="5" t="s">
        <v>1218</v>
      </c>
      <c r="C598" s="6" t="s">
        <v>41</v>
      </c>
      <c r="D598" s="6"/>
      <c r="E598" s="4" t="s">
        <v>580</v>
      </c>
      <c r="F598" s="4" t="s">
        <v>1219</v>
      </c>
      <c r="G598" s="6" t="s">
        <v>1220</v>
      </c>
      <c r="H598" s="6" t="s">
        <v>588</v>
      </c>
      <c r="I598" s="5" t="s">
        <v>589</v>
      </c>
      <c r="J598" s="5" t="s">
        <v>26</v>
      </c>
      <c r="K598" s="7" t="n">
        <v>0.6</v>
      </c>
      <c r="L598" s="8" t="s">
        <v>590</v>
      </c>
      <c r="M598" s="4" t="s">
        <v>591</v>
      </c>
      <c r="N598" s="5" t="s">
        <v>1221</v>
      </c>
    </row>
    <row r="599" customFormat="false" ht="23.85" hidden="false" customHeight="false" outlineLevel="0" collapsed="false">
      <c r="A599" s="4" t="s">
        <v>18</v>
      </c>
      <c r="B599" s="5" t="s">
        <v>1222</v>
      </c>
      <c r="C599" s="6" t="s">
        <v>1223</v>
      </c>
      <c r="D599" s="6"/>
      <c r="E599" s="4" t="s">
        <v>580</v>
      </c>
      <c r="F599" s="4" t="s">
        <v>1219</v>
      </c>
      <c r="G599" s="6" t="s">
        <v>1220</v>
      </c>
      <c r="H599" s="6" t="s">
        <v>583</v>
      </c>
      <c r="I599" s="5" t="s">
        <v>584</v>
      </c>
      <c r="J599" s="5" t="s">
        <v>26</v>
      </c>
      <c r="K599" s="7" t="n">
        <v>0.6</v>
      </c>
      <c r="L599" s="8" t="s">
        <v>585</v>
      </c>
      <c r="M599" s="4" t="s">
        <v>586</v>
      </c>
      <c r="N599" s="5" t="s">
        <v>1224</v>
      </c>
    </row>
    <row r="600" customFormat="false" ht="23.85" hidden="false" customHeight="false" outlineLevel="0" collapsed="false">
      <c r="A600" s="4" t="s">
        <v>18</v>
      </c>
      <c r="B600" s="5" t="s">
        <v>1222</v>
      </c>
      <c r="C600" s="6" t="s">
        <v>1223</v>
      </c>
      <c r="D600" s="6"/>
      <c r="E600" s="4" t="s">
        <v>580</v>
      </c>
      <c r="F600" s="4" t="s">
        <v>1219</v>
      </c>
      <c r="G600" s="6" t="s">
        <v>1220</v>
      </c>
      <c r="H600" s="6" t="s">
        <v>588</v>
      </c>
      <c r="I600" s="5" t="s">
        <v>589</v>
      </c>
      <c r="J600" s="5" t="s">
        <v>26</v>
      </c>
      <c r="K600" s="7" t="n">
        <v>0.6</v>
      </c>
      <c r="L600" s="8" t="s">
        <v>590</v>
      </c>
      <c r="M600" s="4" t="s">
        <v>591</v>
      </c>
      <c r="N600" s="5" t="s">
        <v>1224</v>
      </c>
    </row>
    <row r="601" customFormat="false" ht="23.85" hidden="false" customHeight="false" outlineLevel="0" collapsed="false">
      <c r="A601" s="4" t="s">
        <v>18</v>
      </c>
      <c r="B601" s="5" t="s">
        <v>1225</v>
      </c>
      <c r="C601" s="6" t="s">
        <v>41</v>
      </c>
      <c r="D601" s="6"/>
      <c r="E601" s="4" t="s">
        <v>580</v>
      </c>
      <c r="F601" s="4" t="s">
        <v>1226</v>
      </c>
      <c r="G601" s="6" t="s">
        <v>1227</v>
      </c>
      <c r="H601" s="6" t="s">
        <v>583</v>
      </c>
      <c r="I601" s="5" t="s">
        <v>584</v>
      </c>
      <c r="J601" s="5" t="s">
        <v>26</v>
      </c>
      <c r="K601" s="7" t="n">
        <v>0.6</v>
      </c>
      <c r="L601" s="8" t="s">
        <v>585</v>
      </c>
      <c r="M601" s="4" t="s">
        <v>586</v>
      </c>
      <c r="N601" s="5" t="s">
        <v>1228</v>
      </c>
    </row>
    <row r="602" customFormat="false" ht="23.85" hidden="false" customHeight="false" outlineLevel="0" collapsed="false">
      <c r="A602" s="4" t="s">
        <v>18</v>
      </c>
      <c r="B602" s="5" t="s">
        <v>1225</v>
      </c>
      <c r="C602" s="6" t="s">
        <v>41</v>
      </c>
      <c r="D602" s="6"/>
      <c r="E602" s="4" t="s">
        <v>580</v>
      </c>
      <c r="F602" s="4" t="s">
        <v>1226</v>
      </c>
      <c r="G602" s="6" t="s">
        <v>1227</v>
      </c>
      <c r="H602" s="6" t="s">
        <v>588</v>
      </c>
      <c r="I602" s="5" t="s">
        <v>589</v>
      </c>
      <c r="J602" s="5" t="s">
        <v>26</v>
      </c>
      <c r="K602" s="7" t="n">
        <v>0.6</v>
      </c>
      <c r="L602" s="8" t="s">
        <v>590</v>
      </c>
      <c r="M602" s="4" t="s">
        <v>591</v>
      </c>
      <c r="N602" s="5" t="s">
        <v>1228</v>
      </c>
    </row>
    <row r="603" customFormat="false" ht="23.85" hidden="false" customHeight="false" outlineLevel="0" collapsed="false">
      <c r="A603" s="4" t="s">
        <v>18</v>
      </c>
      <c r="B603" s="5" t="s">
        <v>1225</v>
      </c>
      <c r="C603" s="6" t="s">
        <v>41</v>
      </c>
      <c r="D603" s="6"/>
      <c r="E603" s="4" t="s">
        <v>580</v>
      </c>
      <c r="F603" s="4" t="s">
        <v>1229</v>
      </c>
      <c r="G603" s="6" t="s">
        <v>1230</v>
      </c>
      <c r="H603" s="6" t="s">
        <v>583</v>
      </c>
      <c r="I603" s="5" t="s">
        <v>584</v>
      </c>
      <c r="J603" s="5" t="s">
        <v>26</v>
      </c>
      <c r="K603" s="7" t="n">
        <v>0.6</v>
      </c>
      <c r="L603" s="8" t="s">
        <v>585</v>
      </c>
      <c r="M603" s="4" t="s">
        <v>586</v>
      </c>
      <c r="N603" s="5" t="s">
        <v>1228</v>
      </c>
    </row>
    <row r="604" customFormat="false" ht="23.85" hidden="false" customHeight="false" outlineLevel="0" collapsed="false">
      <c r="A604" s="4" t="s">
        <v>18</v>
      </c>
      <c r="B604" s="5" t="s">
        <v>1225</v>
      </c>
      <c r="C604" s="6" t="s">
        <v>41</v>
      </c>
      <c r="D604" s="6"/>
      <c r="E604" s="4" t="s">
        <v>580</v>
      </c>
      <c r="F604" s="4" t="s">
        <v>1229</v>
      </c>
      <c r="G604" s="6" t="s">
        <v>1230</v>
      </c>
      <c r="H604" s="6" t="s">
        <v>588</v>
      </c>
      <c r="I604" s="5" t="s">
        <v>589</v>
      </c>
      <c r="J604" s="5" t="s">
        <v>26</v>
      </c>
      <c r="K604" s="7" t="n">
        <v>0.6</v>
      </c>
      <c r="L604" s="8" t="s">
        <v>590</v>
      </c>
      <c r="M604" s="4" t="s">
        <v>591</v>
      </c>
      <c r="N604" s="5" t="s">
        <v>1228</v>
      </c>
    </row>
    <row r="605" customFormat="false" ht="23.85" hidden="false" customHeight="false" outlineLevel="0" collapsed="false">
      <c r="A605" s="4" t="s">
        <v>18</v>
      </c>
      <c r="B605" s="5" t="s">
        <v>1225</v>
      </c>
      <c r="C605" s="6" t="s">
        <v>41</v>
      </c>
      <c r="D605" s="6"/>
      <c r="E605" s="4" t="s">
        <v>580</v>
      </c>
      <c r="F605" s="4" t="s">
        <v>1183</v>
      </c>
      <c r="G605" s="6" t="s">
        <v>1184</v>
      </c>
      <c r="H605" s="6" t="s">
        <v>583</v>
      </c>
      <c r="I605" s="5" t="s">
        <v>584</v>
      </c>
      <c r="J605" s="5" t="s">
        <v>26</v>
      </c>
      <c r="K605" s="7" t="n">
        <v>0.6</v>
      </c>
      <c r="L605" s="8" t="s">
        <v>585</v>
      </c>
      <c r="M605" s="4" t="s">
        <v>586</v>
      </c>
      <c r="N605" s="5" t="s">
        <v>1228</v>
      </c>
    </row>
    <row r="606" customFormat="false" ht="23.85" hidden="false" customHeight="false" outlineLevel="0" collapsed="false">
      <c r="A606" s="4" t="s">
        <v>18</v>
      </c>
      <c r="B606" s="5" t="s">
        <v>1225</v>
      </c>
      <c r="C606" s="6" t="s">
        <v>41</v>
      </c>
      <c r="D606" s="6"/>
      <c r="E606" s="4" t="s">
        <v>580</v>
      </c>
      <c r="F606" s="4" t="s">
        <v>1183</v>
      </c>
      <c r="G606" s="6" t="s">
        <v>1184</v>
      </c>
      <c r="H606" s="6" t="s">
        <v>588</v>
      </c>
      <c r="I606" s="5" t="s">
        <v>589</v>
      </c>
      <c r="J606" s="5" t="s">
        <v>26</v>
      </c>
      <c r="K606" s="7" t="n">
        <v>0.6</v>
      </c>
      <c r="L606" s="8" t="s">
        <v>590</v>
      </c>
      <c r="M606" s="4" t="s">
        <v>591</v>
      </c>
      <c r="N606" s="5" t="s">
        <v>1228</v>
      </c>
    </row>
    <row r="607" customFormat="false" ht="23.85" hidden="false" customHeight="false" outlineLevel="0" collapsed="false">
      <c r="A607" s="4" t="s">
        <v>18</v>
      </c>
      <c r="B607" s="5" t="s">
        <v>1231</v>
      </c>
      <c r="C607" s="6" t="s">
        <v>1232</v>
      </c>
      <c r="D607" s="6"/>
      <c r="E607" s="4" t="s">
        <v>580</v>
      </c>
      <c r="F607" s="4" t="s">
        <v>1233</v>
      </c>
      <c r="G607" s="6" t="s">
        <v>1234</v>
      </c>
      <c r="H607" s="6" t="s">
        <v>583</v>
      </c>
      <c r="I607" s="5" t="s">
        <v>584</v>
      </c>
      <c r="J607" s="5" t="s">
        <v>26</v>
      </c>
      <c r="K607" s="7" t="n">
        <v>0.6</v>
      </c>
      <c r="L607" s="8" t="s">
        <v>585</v>
      </c>
      <c r="M607" s="4" t="s">
        <v>586</v>
      </c>
      <c r="N607" s="5" t="s">
        <v>1235</v>
      </c>
    </row>
    <row r="608" customFormat="false" ht="23.85" hidden="false" customHeight="false" outlineLevel="0" collapsed="false">
      <c r="A608" s="4" t="s">
        <v>18</v>
      </c>
      <c r="B608" s="5" t="s">
        <v>1231</v>
      </c>
      <c r="C608" s="6" t="s">
        <v>1232</v>
      </c>
      <c r="D608" s="6"/>
      <c r="E608" s="4" t="s">
        <v>580</v>
      </c>
      <c r="F608" s="4" t="s">
        <v>1233</v>
      </c>
      <c r="G608" s="6" t="s">
        <v>1234</v>
      </c>
      <c r="H608" s="6" t="s">
        <v>588</v>
      </c>
      <c r="I608" s="5" t="s">
        <v>589</v>
      </c>
      <c r="J608" s="5" t="s">
        <v>26</v>
      </c>
      <c r="K608" s="7" t="n">
        <v>0.6</v>
      </c>
      <c r="L608" s="8" t="s">
        <v>590</v>
      </c>
      <c r="M608" s="4" t="s">
        <v>591</v>
      </c>
      <c r="N608" s="5" t="s">
        <v>1235</v>
      </c>
    </row>
    <row r="609" customFormat="false" ht="23.85" hidden="false" customHeight="false" outlineLevel="0" collapsed="false">
      <c r="A609" s="4" t="s">
        <v>18</v>
      </c>
      <c r="B609" s="5" t="s">
        <v>1236</v>
      </c>
      <c r="C609" s="6" t="s">
        <v>1237</v>
      </c>
      <c r="D609" s="6"/>
      <c r="E609" s="4" t="s">
        <v>580</v>
      </c>
      <c r="F609" s="4" t="s">
        <v>1238</v>
      </c>
      <c r="G609" s="6" t="s">
        <v>1239</v>
      </c>
      <c r="H609" s="6" t="s">
        <v>583</v>
      </c>
      <c r="I609" s="5" t="s">
        <v>584</v>
      </c>
      <c r="J609" s="5" t="s">
        <v>26</v>
      </c>
      <c r="K609" s="7" t="n">
        <v>0.6</v>
      </c>
      <c r="L609" s="8" t="s">
        <v>585</v>
      </c>
      <c r="M609" s="4" t="s">
        <v>586</v>
      </c>
      <c r="N609" s="5" t="s">
        <v>1240</v>
      </c>
    </row>
    <row r="610" customFormat="false" ht="23.85" hidden="false" customHeight="false" outlineLevel="0" collapsed="false">
      <c r="A610" s="4" t="s">
        <v>18</v>
      </c>
      <c r="B610" s="5" t="s">
        <v>1236</v>
      </c>
      <c r="C610" s="6" t="s">
        <v>1237</v>
      </c>
      <c r="D610" s="6"/>
      <c r="E610" s="4" t="s">
        <v>580</v>
      </c>
      <c r="F610" s="4" t="s">
        <v>1238</v>
      </c>
      <c r="G610" s="6" t="s">
        <v>1239</v>
      </c>
      <c r="H610" s="6" t="s">
        <v>588</v>
      </c>
      <c r="I610" s="5" t="s">
        <v>589</v>
      </c>
      <c r="J610" s="5" t="s">
        <v>26</v>
      </c>
      <c r="K610" s="7" t="n">
        <v>0.6</v>
      </c>
      <c r="L610" s="8" t="s">
        <v>590</v>
      </c>
      <c r="M610" s="4" t="s">
        <v>591</v>
      </c>
      <c r="N610" s="5" t="s">
        <v>1240</v>
      </c>
    </row>
    <row r="611" customFormat="false" ht="23.85" hidden="false" customHeight="false" outlineLevel="0" collapsed="false">
      <c r="A611" s="4" t="s">
        <v>18</v>
      </c>
      <c r="B611" s="5" t="s">
        <v>1236</v>
      </c>
      <c r="C611" s="6" t="s">
        <v>1237</v>
      </c>
      <c r="D611" s="6"/>
      <c r="E611" s="4" t="s">
        <v>580</v>
      </c>
      <c r="F611" s="4" t="s">
        <v>1241</v>
      </c>
      <c r="G611" s="6" t="s">
        <v>1242</v>
      </c>
      <c r="H611" s="6" t="s">
        <v>583</v>
      </c>
      <c r="I611" s="5" t="s">
        <v>584</v>
      </c>
      <c r="J611" s="5" t="s">
        <v>26</v>
      </c>
      <c r="K611" s="7" t="n">
        <v>0.6</v>
      </c>
      <c r="L611" s="8" t="s">
        <v>585</v>
      </c>
      <c r="M611" s="4" t="s">
        <v>586</v>
      </c>
      <c r="N611" s="5" t="s">
        <v>1240</v>
      </c>
    </row>
    <row r="612" customFormat="false" ht="23.85" hidden="false" customHeight="false" outlineLevel="0" collapsed="false">
      <c r="A612" s="4" t="s">
        <v>18</v>
      </c>
      <c r="B612" s="5" t="s">
        <v>1236</v>
      </c>
      <c r="C612" s="6" t="s">
        <v>1237</v>
      </c>
      <c r="D612" s="6"/>
      <c r="E612" s="4" t="s">
        <v>580</v>
      </c>
      <c r="F612" s="4" t="s">
        <v>1241</v>
      </c>
      <c r="G612" s="6" t="s">
        <v>1242</v>
      </c>
      <c r="H612" s="6" t="s">
        <v>588</v>
      </c>
      <c r="I612" s="5" t="s">
        <v>589</v>
      </c>
      <c r="J612" s="5" t="s">
        <v>26</v>
      </c>
      <c r="K612" s="7" t="n">
        <v>0.6</v>
      </c>
      <c r="L612" s="8" t="s">
        <v>590</v>
      </c>
      <c r="M612" s="4" t="s">
        <v>591</v>
      </c>
      <c r="N612" s="5" t="s">
        <v>1240</v>
      </c>
    </row>
    <row r="613" customFormat="false" ht="23.85" hidden="false" customHeight="false" outlineLevel="0" collapsed="false">
      <c r="A613" s="4" t="s">
        <v>18</v>
      </c>
      <c r="B613" s="5" t="s">
        <v>1243</v>
      </c>
      <c r="C613" s="6" t="s">
        <v>1244</v>
      </c>
      <c r="D613" s="6"/>
      <c r="E613" s="4" t="s">
        <v>580</v>
      </c>
      <c r="F613" s="4" t="s">
        <v>1201</v>
      </c>
      <c r="G613" s="6" t="s">
        <v>1202</v>
      </c>
      <c r="H613" s="6" t="s">
        <v>583</v>
      </c>
      <c r="I613" s="5" t="s">
        <v>584</v>
      </c>
      <c r="J613" s="5" t="s">
        <v>26</v>
      </c>
      <c r="K613" s="7" t="n">
        <v>0.6</v>
      </c>
      <c r="L613" s="8" t="s">
        <v>585</v>
      </c>
      <c r="M613" s="4" t="s">
        <v>586</v>
      </c>
      <c r="N613" s="5" t="s">
        <v>1245</v>
      </c>
    </row>
    <row r="614" customFormat="false" ht="23.85" hidden="false" customHeight="false" outlineLevel="0" collapsed="false">
      <c r="A614" s="4" t="s">
        <v>18</v>
      </c>
      <c r="B614" s="5" t="s">
        <v>1243</v>
      </c>
      <c r="C614" s="6" t="s">
        <v>1244</v>
      </c>
      <c r="D614" s="6"/>
      <c r="E614" s="4" t="s">
        <v>580</v>
      </c>
      <c r="F614" s="4" t="s">
        <v>1201</v>
      </c>
      <c r="G614" s="6" t="s">
        <v>1202</v>
      </c>
      <c r="H614" s="6" t="s">
        <v>588</v>
      </c>
      <c r="I614" s="5" t="s">
        <v>589</v>
      </c>
      <c r="J614" s="5" t="s">
        <v>26</v>
      </c>
      <c r="K614" s="7" t="n">
        <v>0.6</v>
      </c>
      <c r="L614" s="8" t="s">
        <v>590</v>
      </c>
      <c r="M614" s="4" t="s">
        <v>591</v>
      </c>
      <c r="N614" s="5" t="s">
        <v>1245</v>
      </c>
    </row>
    <row r="615" customFormat="false" ht="23.85" hidden="false" customHeight="false" outlineLevel="0" collapsed="false">
      <c r="A615" s="4" t="s">
        <v>18</v>
      </c>
      <c r="B615" s="5" t="s">
        <v>1246</v>
      </c>
      <c r="C615" s="6" t="s">
        <v>41</v>
      </c>
      <c r="D615" s="6"/>
      <c r="E615" s="4" t="s">
        <v>580</v>
      </c>
      <c r="F615" s="4" t="s">
        <v>1173</v>
      </c>
      <c r="G615" s="6" t="s">
        <v>1247</v>
      </c>
      <c r="H615" s="6" t="s">
        <v>583</v>
      </c>
      <c r="I615" s="5" t="s">
        <v>584</v>
      </c>
      <c r="J615" s="5" t="s">
        <v>26</v>
      </c>
      <c r="K615" s="7" t="n">
        <v>0.6</v>
      </c>
      <c r="L615" s="8" t="s">
        <v>585</v>
      </c>
      <c r="M615" s="4" t="s">
        <v>586</v>
      </c>
      <c r="N615" s="5" t="s">
        <v>1248</v>
      </c>
    </row>
    <row r="616" customFormat="false" ht="23.85" hidden="false" customHeight="false" outlineLevel="0" collapsed="false">
      <c r="A616" s="4" t="s">
        <v>18</v>
      </c>
      <c r="B616" s="5" t="s">
        <v>1246</v>
      </c>
      <c r="C616" s="6" t="s">
        <v>41</v>
      </c>
      <c r="D616" s="6"/>
      <c r="E616" s="4" t="s">
        <v>580</v>
      </c>
      <c r="F616" s="4" t="s">
        <v>1173</v>
      </c>
      <c r="G616" s="6" t="s">
        <v>1247</v>
      </c>
      <c r="H616" s="6" t="s">
        <v>588</v>
      </c>
      <c r="I616" s="5" t="s">
        <v>589</v>
      </c>
      <c r="J616" s="5" t="s">
        <v>26</v>
      </c>
      <c r="K616" s="7" t="n">
        <v>0.6</v>
      </c>
      <c r="L616" s="8" t="s">
        <v>590</v>
      </c>
      <c r="M616" s="4" t="s">
        <v>591</v>
      </c>
      <c r="N616" s="5" t="s">
        <v>1248</v>
      </c>
    </row>
    <row r="617" customFormat="false" ht="23.85" hidden="false" customHeight="false" outlineLevel="0" collapsed="false">
      <c r="A617" s="4" t="s">
        <v>18</v>
      </c>
      <c r="B617" s="5" t="s">
        <v>1249</v>
      </c>
      <c r="C617" s="6" t="s">
        <v>41</v>
      </c>
      <c r="D617" s="6"/>
      <c r="E617" s="4" t="s">
        <v>580</v>
      </c>
      <c r="F617" s="4" t="s">
        <v>1250</v>
      </c>
      <c r="G617" s="6" t="s">
        <v>1251</v>
      </c>
      <c r="H617" s="6" t="s">
        <v>583</v>
      </c>
      <c r="I617" s="5" t="s">
        <v>584</v>
      </c>
      <c r="J617" s="5" t="s">
        <v>26</v>
      </c>
      <c r="K617" s="7" t="n">
        <v>0.6</v>
      </c>
      <c r="L617" s="8" t="s">
        <v>585</v>
      </c>
      <c r="M617" s="4" t="s">
        <v>586</v>
      </c>
      <c r="N617" s="5" t="s">
        <v>1252</v>
      </c>
    </row>
    <row r="618" customFormat="false" ht="23.85" hidden="false" customHeight="false" outlineLevel="0" collapsed="false">
      <c r="A618" s="4" t="s">
        <v>18</v>
      </c>
      <c r="B618" s="5" t="s">
        <v>1249</v>
      </c>
      <c r="C618" s="6" t="s">
        <v>41</v>
      </c>
      <c r="D618" s="6"/>
      <c r="E618" s="4" t="s">
        <v>580</v>
      </c>
      <c r="F618" s="4" t="s">
        <v>1250</v>
      </c>
      <c r="G618" s="6" t="s">
        <v>1251</v>
      </c>
      <c r="H618" s="6" t="s">
        <v>588</v>
      </c>
      <c r="I618" s="5" t="s">
        <v>589</v>
      </c>
      <c r="J618" s="5" t="s">
        <v>26</v>
      </c>
      <c r="K618" s="7" t="n">
        <v>0.6</v>
      </c>
      <c r="L618" s="8" t="s">
        <v>590</v>
      </c>
      <c r="M618" s="4" t="s">
        <v>591</v>
      </c>
      <c r="N618" s="5" t="s">
        <v>1252</v>
      </c>
    </row>
    <row r="619" customFormat="false" ht="35.05" hidden="false" customHeight="false" outlineLevel="0" collapsed="false">
      <c r="A619" s="4" t="s">
        <v>18</v>
      </c>
      <c r="B619" s="5" t="s">
        <v>1253</v>
      </c>
      <c r="C619" s="6" t="s">
        <v>41</v>
      </c>
      <c r="D619" s="6"/>
      <c r="E619" s="4" t="s">
        <v>1129</v>
      </c>
      <c r="F619" s="4" t="s">
        <v>1254</v>
      </c>
      <c r="G619" s="6" t="s">
        <v>1255</v>
      </c>
      <c r="H619" s="6" t="s">
        <v>1132</v>
      </c>
      <c r="I619" s="5" t="s">
        <v>1133</v>
      </c>
      <c r="J619" s="5" t="s">
        <v>26</v>
      </c>
      <c r="K619" s="7" t="n">
        <v>0.6</v>
      </c>
      <c r="L619" s="6"/>
      <c r="M619" s="4" t="s">
        <v>1134</v>
      </c>
      <c r="N619" s="5" t="s">
        <v>1256</v>
      </c>
    </row>
    <row r="620" customFormat="false" ht="35.05" hidden="false" customHeight="false" outlineLevel="0" collapsed="false">
      <c r="A620" s="4" t="s">
        <v>18</v>
      </c>
      <c r="B620" s="5" t="s">
        <v>1253</v>
      </c>
      <c r="C620" s="6" t="s">
        <v>41</v>
      </c>
      <c r="D620" s="6"/>
      <c r="E620" s="4" t="s">
        <v>1129</v>
      </c>
      <c r="F620" s="4" t="s">
        <v>1254</v>
      </c>
      <c r="G620" s="6" t="s">
        <v>1255</v>
      </c>
      <c r="H620" s="6" t="s">
        <v>1136</v>
      </c>
      <c r="I620" s="5" t="s">
        <v>1137</v>
      </c>
      <c r="J620" s="5" t="s">
        <v>26</v>
      </c>
      <c r="K620" s="7" t="n">
        <v>1</v>
      </c>
      <c r="L620" s="8" t="s">
        <v>485</v>
      </c>
      <c r="M620" s="4" t="s">
        <v>1138</v>
      </c>
      <c r="N620" s="5" t="s">
        <v>1256</v>
      </c>
    </row>
    <row r="621" customFormat="false" ht="57.45" hidden="false" customHeight="false" outlineLevel="0" collapsed="false">
      <c r="A621" s="4" t="s">
        <v>18</v>
      </c>
      <c r="B621" s="5" t="s">
        <v>1257</v>
      </c>
      <c r="C621" s="6" t="s">
        <v>1258</v>
      </c>
      <c r="D621" s="6"/>
      <c r="E621" s="4" t="s">
        <v>580</v>
      </c>
      <c r="F621" s="4" t="s">
        <v>1254</v>
      </c>
      <c r="G621" s="6" t="s">
        <v>1259</v>
      </c>
      <c r="H621" s="6" t="s">
        <v>583</v>
      </c>
      <c r="I621" s="5" t="s">
        <v>584</v>
      </c>
      <c r="J621" s="5" t="s">
        <v>26</v>
      </c>
      <c r="K621" s="7" t="n">
        <v>0.6</v>
      </c>
      <c r="L621" s="8" t="s">
        <v>585</v>
      </c>
      <c r="M621" s="4" t="s">
        <v>586</v>
      </c>
      <c r="N621" s="5" t="s">
        <v>1260</v>
      </c>
    </row>
    <row r="622" customFormat="false" ht="57.45" hidden="false" customHeight="false" outlineLevel="0" collapsed="false">
      <c r="A622" s="4" t="s">
        <v>18</v>
      </c>
      <c r="B622" s="5" t="s">
        <v>1257</v>
      </c>
      <c r="C622" s="6" t="s">
        <v>1258</v>
      </c>
      <c r="D622" s="6"/>
      <c r="E622" s="4" t="s">
        <v>580</v>
      </c>
      <c r="F622" s="4" t="s">
        <v>1254</v>
      </c>
      <c r="G622" s="6" t="s">
        <v>1259</v>
      </c>
      <c r="H622" s="6" t="s">
        <v>588</v>
      </c>
      <c r="I622" s="5" t="s">
        <v>589</v>
      </c>
      <c r="J622" s="5" t="s">
        <v>26</v>
      </c>
      <c r="K622" s="7" t="n">
        <v>0.6</v>
      </c>
      <c r="L622" s="8" t="s">
        <v>590</v>
      </c>
      <c r="M622" s="4" t="s">
        <v>591</v>
      </c>
      <c r="N622" s="5" t="s">
        <v>1260</v>
      </c>
    </row>
    <row r="623" customFormat="false" ht="35.05" hidden="false" customHeight="false" outlineLevel="0" collapsed="false">
      <c r="A623" s="4" t="s">
        <v>18</v>
      </c>
      <c r="B623" s="5" t="s">
        <v>1261</v>
      </c>
      <c r="C623" s="6" t="s">
        <v>41</v>
      </c>
      <c r="D623" s="6"/>
      <c r="E623" s="4" t="s">
        <v>1129</v>
      </c>
      <c r="F623" s="4" t="s">
        <v>1262</v>
      </c>
      <c r="G623" s="6" t="s">
        <v>1263</v>
      </c>
      <c r="H623" s="6" t="s">
        <v>1132</v>
      </c>
      <c r="I623" s="5" t="s">
        <v>1133</v>
      </c>
      <c r="J623" s="5" t="s">
        <v>26</v>
      </c>
      <c r="K623" s="7" t="n">
        <v>0.6</v>
      </c>
      <c r="L623" s="6"/>
      <c r="M623" s="4" t="s">
        <v>1134</v>
      </c>
      <c r="N623" s="5" t="s">
        <v>1264</v>
      </c>
    </row>
    <row r="624" customFormat="false" ht="35.05" hidden="false" customHeight="false" outlineLevel="0" collapsed="false">
      <c r="A624" s="4" t="s">
        <v>18</v>
      </c>
      <c r="B624" s="5" t="s">
        <v>1261</v>
      </c>
      <c r="C624" s="6" t="s">
        <v>41</v>
      </c>
      <c r="D624" s="6"/>
      <c r="E624" s="4" t="s">
        <v>1129</v>
      </c>
      <c r="F624" s="4" t="s">
        <v>1265</v>
      </c>
      <c r="G624" s="6" t="s">
        <v>1266</v>
      </c>
      <c r="H624" s="6" t="s">
        <v>1132</v>
      </c>
      <c r="I624" s="5" t="s">
        <v>1133</v>
      </c>
      <c r="J624" s="5" t="s">
        <v>26</v>
      </c>
      <c r="K624" s="7" t="n">
        <v>0.6</v>
      </c>
      <c r="L624" s="6"/>
      <c r="M624" s="4" t="s">
        <v>1134</v>
      </c>
      <c r="N624" s="5" t="s">
        <v>1264</v>
      </c>
    </row>
    <row r="625" customFormat="false" ht="35.05" hidden="false" customHeight="false" outlineLevel="0" collapsed="false">
      <c r="A625" s="4" t="s">
        <v>18</v>
      </c>
      <c r="B625" s="5" t="s">
        <v>1261</v>
      </c>
      <c r="C625" s="6" t="s">
        <v>41</v>
      </c>
      <c r="D625" s="6"/>
      <c r="E625" s="4" t="s">
        <v>1129</v>
      </c>
      <c r="F625" s="4" t="s">
        <v>1267</v>
      </c>
      <c r="G625" s="6" t="s">
        <v>1268</v>
      </c>
      <c r="H625" s="6" t="s">
        <v>1132</v>
      </c>
      <c r="I625" s="5" t="s">
        <v>1133</v>
      </c>
      <c r="J625" s="5" t="s">
        <v>26</v>
      </c>
      <c r="K625" s="7" t="n">
        <v>0.6</v>
      </c>
      <c r="L625" s="6"/>
      <c r="M625" s="4" t="s">
        <v>1134</v>
      </c>
      <c r="N625" s="5" t="s">
        <v>1264</v>
      </c>
    </row>
    <row r="626" customFormat="false" ht="35.05" hidden="false" customHeight="false" outlineLevel="0" collapsed="false">
      <c r="A626" s="4" t="s">
        <v>18</v>
      </c>
      <c r="B626" s="5" t="s">
        <v>1261</v>
      </c>
      <c r="C626" s="6" t="s">
        <v>41</v>
      </c>
      <c r="D626" s="6"/>
      <c r="E626" s="4" t="s">
        <v>1129</v>
      </c>
      <c r="F626" s="4" t="s">
        <v>1269</v>
      </c>
      <c r="G626" s="6" t="s">
        <v>1270</v>
      </c>
      <c r="H626" s="6" t="s">
        <v>1132</v>
      </c>
      <c r="I626" s="5" t="s">
        <v>1133</v>
      </c>
      <c r="J626" s="5" t="s">
        <v>26</v>
      </c>
      <c r="K626" s="7" t="n">
        <v>0.6</v>
      </c>
      <c r="L626" s="6"/>
      <c r="M626" s="4" t="s">
        <v>1134</v>
      </c>
      <c r="N626" s="5" t="s">
        <v>1264</v>
      </c>
    </row>
    <row r="627" customFormat="false" ht="35.05" hidden="false" customHeight="false" outlineLevel="0" collapsed="false">
      <c r="A627" s="4" t="s">
        <v>18</v>
      </c>
      <c r="B627" s="5" t="s">
        <v>1261</v>
      </c>
      <c r="C627" s="6" t="s">
        <v>41</v>
      </c>
      <c r="D627" s="6"/>
      <c r="E627" s="4" t="s">
        <v>1129</v>
      </c>
      <c r="F627" s="4" t="s">
        <v>1262</v>
      </c>
      <c r="G627" s="6" t="s">
        <v>1263</v>
      </c>
      <c r="H627" s="6" t="s">
        <v>1136</v>
      </c>
      <c r="I627" s="5" t="s">
        <v>1137</v>
      </c>
      <c r="J627" s="5" t="s">
        <v>26</v>
      </c>
      <c r="K627" s="7" t="n">
        <v>1</v>
      </c>
      <c r="L627" s="8" t="s">
        <v>485</v>
      </c>
      <c r="M627" s="4" t="s">
        <v>1138</v>
      </c>
      <c r="N627" s="5" t="s">
        <v>1264</v>
      </c>
    </row>
    <row r="628" customFormat="false" ht="35.05" hidden="false" customHeight="false" outlineLevel="0" collapsed="false">
      <c r="A628" s="4" t="s">
        <v>18</v>
      </c>
      <c r="B628" s="5" t="s">
        <v>1261</v>
      </c>
      <c r="C628" s="6" t="s">
        <v>41</v>
      </c>
      <c r="D628" s="6"/>
      <c r="E628" s="4" t="s">
        <v>1129</v>
      </c>
      <c r="F628" s="4" t="s">
        <v>1265</v>
      </c>
      <c r="G628" s="6" t="s">
        <v>1266</v>
      </c>
      <c r="H628" s="6" t="s">
        <v>1136</v>
      </c>
      <c r="I628" s="5" t="s">
        <v>1137</v>
      </c>
      <c r="J628" s="5" t="s">
        <v>26</v>
      </c>
      <c r="K628" s="7" t="n">
        <v>1</v>
      </c>
      <c r="L628" s="8" t="s">
        <v>485</v>
      </c>
      <c r="M628" s="4" t="s">
        <v>1138</v>
      </c>
      <c r="N628" s="5" t="s">
        <v>1264</v>
      </c>
    </row>
    <row r="629" customFormat="false" ht="35.05" hidden="false" customHeight="false" outlineLevel="0" collapsed="false">
      <c r="A629" s="4" t="s">
        <v>18</v>
      </c>
      <c r="B629" s="5" t="s">
        <v>1261</v>
      </c>
      <c r="C629" s="6" t="s">
        <v>41</v>
      </c>
      <c r="D629" s="6"/>
      <c r="E629" s="4" t="s">
        <v>1129</v>
      </c>
      <c r="F629" s="4" t="s">
        <v>1267</v>
      </c>
      <c r="G629" s="6" t="s">
        <v>1268</v>
      </c>
      <c r="H629" s="6" t="s">
        <v>1136</v>
      </c>
      <c r="I629" s="5" t="s">
        <v>1137</v>
      </c>
      <c r="J629" s="5" t="s">
        <v>26</v>
      </c>
      <c r="K629" s="7" t="n">
        <v>1</v>
      </c>
      <c r="L629" s="8" t="s">
        <v>485</v>
      </c>
      <c r="M629" s="4" t="s">
        <v>1138</v>
      </c>
      <c r="N629" s="5" t="s">
        <v>1264</v>
      </c>
    </row>
    <row r="630" customFormat="false" ht="35.05" hidden="false" customHeight="false" outlineLevel="0" collapsed="false">
      <c r="A630" s="4" t="s">
        <v>18</v>
      </c>
      <c r="B630" s="5" t="s">
        <v>1261</v>
      </c>
      <c r="C630" s="6" t="s">
        <v>41</v>
      </c>
      <c r="D630" s="6"/>
      <c r="E630" s="4" t="s">
        <v>1129</v>
      </c>
      <c r="F630" s="4" t="s">
        <v>1269</v>
      </c>
      <c r="G630" s="6" t="s">
        <v>1270</v>
      </c>
      <c r="H630" s="6" t="s">
        <v>1136</v>
      </c>
      <c r="I630" s="5" t="s">
        <v>1137</v>
      </c>
      <c r="J630" s="5" t="s">
        <v>26</v>
      </c>
      <c r="K630" s="7" t="n">
        <v>1</v>
      </c>
      <c r="L630" s="8" t="s">
        <v>485</v>
      </c>
      <c r="M630" s="4" t="s">
        <v>1138</v>
      </c>
      <c r="N630" s="5" t="s">
        <v>1264</v>
      </c>
    </row>
    <row r="631" customFormat="false" ht="35.05" hidden="false" customHeight="false" outlineLevel="0" collapsed="false">
      <c r="A631" s="4" t="s">
        <v>18</v>
      </c>
      <c r="B631" s="5" t="s">
        <v>1271</v>
      </c>
      <c r="C631" s="6" t="s">
        <v>41</v>
      </c>
      <c r="D631" s="6"/>
      <c r="E631" s="4" t="s">
        <v>1129</v>
      </c>
      <c r="F631" s="4" t="s">
        <v>1272</v>
      </c>
      <c r="G631" s="6" t="s">
        <v>1273</v>
      </c>
      <c r="H631" s="6" t="s">
        <v>1132</v>
      </c>
      <c r="I631" s="5" t="s">
        <v>1133</v>
      </c>
      <c r="J631" s="5" t="s">
        <v>26</v>
      </c>
      <c r="K631" s="7" t="n">
        <v>0.6</v>
      </c>
      <c r="L631" s="6"/>
      <c r="M631" s="4" t="s">
        <v>1134</v>
      </c>
      <c r="N631" s="5" t="s">
        <v>1274</v>
      </c>
    </row>
    <row r="632" customFormat="false" ht="35.05" hidden="false" customHeight="false" outlineLevel="0" collapsed="false">
      <c r="A632" s="4" t="s">
        <v>18</v>
      </c>
      <c r="B632" s="5" t="s">
        <v>1271</v>
      </c>
      <c r="C632" s="6" t="s">
        <v>41</v>
      </c>
      <c r="D632" s="6"/>
      <c r="E632" s="4" t="s">
        <v>1129</v>
      </c>
      <c r="F632" s="4" t="s">
        <v>1275</v>
      </c>
      <c r="G632" s="6" t="s">
        <v>1276</v>
      </c>
      <c r="H632" s="6" t="s">
        <v>1132</v>
      </c>
      <c r="I632" s="5" t="s">
        <v>1133</v>
      </c>
      <c r="J632" s="5" t="s">
        <v>26</v>
      </c>
      <c r="K632" s="7" t="n">
        <v>0.6</v>
      </c>
      <c r="L632" s="6"/>
      <c r="M632" s="4" t="s">
        <v>1134</v>
      </c>
      <c r="N632" s="5" t="s">
        <v>1274</v>
      </c>
    </row>
    <row r="633" customFormat="false" ht="35.05" hidden="false" customHeight="false" outlineLevel="0" collapsed="false">
      <c r="A633" s="4" t="s">
        <v>18</v>
      </c>
      <c r="B633" s="5" t="s">
        <v>1271</v>
      </c>
      <c r="C633" s="6" t="s">
        <v>41</v>
      </c>
      <c r="D633" s="6"/>
      <c r="E633" s="4" t="s">
        <v>1129</v>
      </c>
      <c r="F633" s="4" t="s">
        <v>1277</v>
      </c>
      <c r="G633" s="6" t="s">
        <v>1278</v>
      </c>
      <c r="H633" s="6" t="s">
        <v>1132</v>
      </c>
      <c r="I633" s="5" t="s">
        <v>1133</v>
      </c>
      <c r="J633" s="5" t="s">
        <v>26</v>
      </c>
      <c r="K633" s="7" t="n">
        <v>0.6</v>
      </c>
      <c r="L633" s="6"/>
      <c r="M633" s="4" t="s">
        <v>1134</v>
      </c>
      <c r="N633" s="5" t="s">
        <v>1274</v>
      </c>
    </row>
    <row r="634" customFormat="false" ht="35.05" hidden="false" customHeight="false" outlineLevel="0" collapsed="false">
      <c r="A634" s="4" t="s">
        <v>18</v>
      </c>
      <c r="B634" s="5" t="s">
        <v>1271</v>
      </c>
      <c r="C634" s="6" t="s">
        <v>41</v>
      </c>
      <c r="D634" s="6"/>
      <c r="E634" s="4" t="s">
        <v>1129</v>
      </c>
      <c r="F634" s="4" t="s">
        <v>1279</v>
      </c>
      <c r="G634" s="6" t="s">
        <v>1280</v>
      </c>
      <c r="H634" s="6" t="s">
        <v>1132</v>
      </c>
      <c r="I634" s="5" t="s">
        <v>1133</v>
      </c>
      <c r="J634" s="5" t="s">
        <v>26</v>
      </c>
      <c r="K634" s="7" t="n">
        <v>0.6</v>
      </c>
      <c r="L634" s="6"/>
      <c r="M634" s="4" t="s">
        <v>1134</v>
      </c>
      <c r="N634" s="5" t="s">
        <v>1274</v>
      </c>
    </row>
    <row r="635" customFormat="false" ht="35.05" hidden="false" customHeight="false" outlineLevel="0" collapsed="false">
      <c r="A635" s="4" t="s">
        <v>18</v>
      </c>
      <c r="B635" s="5" t="s">
        <v>1271</v>
      </c>
      <c r="C635" s="6" t="s">
        <v>41</v>
      </c>
      <c r="D635" s="6"/>
      <c r="E635" s="4" t="s">
        <v>1129</v>
      </c>
      <c r="F635" s="4" t="s">
        <v>1281</v>
      </c>
      <c r="G635" s="6" t="s">
        <v>1282</v>
      </c>
      <c r="H635" s="6" t="s">
        <v>1132</v>
      </c>
      <c r="I635" s="5" t="s">
        <v>1133</v>
      </c>
      <c r="J635" s="5" t="s">
        <v>26</v>
      </c>
      <c r="K635" s="7" t="n">
        <v>0.6</v>
      </c>
      <c r="L635" s="6"/>
      <c r="M635" s="4" t="s">
        <v>1134</v>
      </c>
      <c r="N635" s="5" t="s">
        <v>1274</v>
      </c>
    </row>
    <row r="636" customFormat="false" ht="35.05" hidden="false" customHeight="false" outlineLevel="0" collapsed="false">
      <c r="A636" s="4" t="s">
        <v>18</v>
      </c>
      <c r="B636" s="5" t="s">
        <v>1271</v>
      </c>
      <c r="C636" s="6" t="s">
        <v>41</v>
      </c>
      <c r="D636" s="6"/>
      <c r="E636" s="4" t="s">
        <v>1129</v>
      </c>
      <c r="F636" s="4" t="s">
        <v>1283</v>
      </c>
      <c r="G636" s="6" t="s">
        <v>1284</v>
      </c>
      <c r="H636" s="6" t="s">
        <v>1132</v>
      </c>
      <c r="I636" s="5" t="s">
        <v>1133</v>
      </c>
      <c r="J636" s="5" t="s">
        <v>26</v>
      </c>
      <c r="K636" s="7" t="n">
        <v>0.6</v>
      </c>
      <c r="L636" s="6"/>
      <c r="M636" s="4" t="s">
        <v>1134</v>
      </c>
      <c r="N636" s="5" t="s">
        <v>1274</v>
      </c>
    </row>
    <row r="637" customFormat="false" ht="35.05" hidden="false" customHeight="false" outlineLevel="0" collapsed="false">
      <c r="A637" s="4" t="s">
        <v>18</v>
      </c>
      <c r="B637" s="5" t="s">
        <v>1271</v>
      </c>
      <c r="C637" s="6" t="s">
        <v>41</v>
      </c>
      <c r="D637" s="6"/>
      <c r="E637" s="4" t="s">
        <v>1129</v>
      </c>
      <c r="F637" s="4" t="s">
        <v>1272</v>
      </c>
      <c r="G637" s="6" t="s">
        <v>1273</v>
      </c>
      <c r="H637" s="6" t="s">
        <v>1136</v>
      </c>
      <c r="I637" s="5" t="s">
        <v>1137</v>
      </c>
      <c r="J637" s="5" t="s">
        <v>26</v>
      </c>
      <c r="K637" s="7" t="n">
        <v>1</v>
      </c>
      <c r="L637" s="8" t="s">
        <v>485</v>
      </c>
      <c r="M637" s="4" t="s">
        <v>1138</v>
      </c>
      <c r="N637" s="5" t="s">
        <v>1274</v>
      </c>
    </row>
    <row r="638" customFormat="false" ht="35.05" hidden="false" customHeight="false" outlineLevel="0" collapsed="false">
      <c r="A638" s="4" t="s">
        <v>18</v>
      </c>
      <c r="B638" s="5" t="s">
        <v>1271</v>
      </c>
      <c r="C638" s="6" t="s">
        <v>41</v>
      </c>
      <c r="D638" s="6"/>
      <c r="E638" s="4" t="s">
        <v>1129</v>
      </c>
      <c r="F638" s="4" t="s">
        <v>1275</v>
      </c>
      <c r="G638" s="6" t="s">
        <v>1276</v>
      </c>
      <c r="H638" s="6" t="s">
        <v>1136</v>
      </c>
      <c r="I638" s="5" t="s">
        <v>1137</v>
      </c>
      <c r="J638" s="5" t="s">
        <v>26</v>
      </c>
      <c r="K638" s="7" t="n">
        <v>1</v>
      </c>
      <c r="L638" s="8" t="s">
        <v>485</v>
      </c>
      <c r="M638" s="4" t="s">
        <v>1138</v>
      </c>
      <c r="N638" s="5" t="s">
        <v>1274</v>
      </c>
    </row>
    <row r="639" customFormat="false" ht="35.05" hidden="false" customHeight="false" outlineLevel="0" collapsed="false">
      <c r="A639" s="4" t="s">
        <v>18</v>
      </c>
      <c r="B639" s="5" t="s">
        <v>1271</v>
      </c>
      <c r="C639" s="6" t="s">
        <v>41</v>
      </c>
      <c r="D639" s="6"/>
      <c r="E639" s="4" t="s">
        <v>1129</v>
      </c>
      <c r="F639" s="4" t="s">
        <v>1277</v>
      </c>
      <c r="G639" s="6" t="s">
        <v>1278</v>
      </c>
      <c r="H639" s="6" t="s">
        <v>1136</v>
      </c>
      <c r="I639" s="5" t="s">
        <v>1137</v>
      </c>
      <c r="J639" s="5" t="s">
        <v>26</v>
      </c>
      <c r="K639" s="7" t="n">
        <v>1</v>
      </c>
      <c r="L639" s="8" t="s">
        <v>485</v>
      </c>
      <c r="M639" s="4" t="s">
        <v>1138</v>
      </c>
      <c r="N639" s="5" t="s">
        <v>1274</v>
      </c>
    </row>
    <row r="640" customFormat="false" ht="35.05" hidden="false" customHeight="false" outlineLevel="0" collapsed="false">
      <c r="A640" s="4" t="s">
        <v>18</v>
      </c>
      <c r="B640" s="5" t="s">
        <v>1271</v>
      </c>
      <c r="C640" s="6" t="s">
        <v>41</v>
      </c>
      <c r="D640" s="6"/>
      <c r="E640" s="4" t="s">
        <v>1129</v>
      </c>
      <c r="F640" s="4" t="s">
        <v>1279</v>
      </c>
      <c r="G640" s="6" t="s">
        <v>1280</v>
      </c>
      <c r="H640" s="6" t="s">
        <v>1136</v>
      </c>
      <c r="I640" s="5" t="s">
        <v>1137</v>
      </c>
      <c r="J640" s="5" t="s">
        <v>26</v>
      </c>
      <c r="K640" s="7" t="n">
        <v>1</v>
      </c>
      <c r="L640" s="8" t="s">
        <v>485</v>
      </c>
      <c r="M640" s="4" t="s">
        <v>1138</v>
      </c>
      <c r="N640" s="5" t="s">
        <v>1274</v>
      </c>
    </row>
    <row r="641" customFormat="false" ht="35.05" hidden="false" customHeight="false" outlineLevel="0" collapsed="false">
      <c r="A641" s="4" t="s">
        <v>18</v>
      </c>
      <c r="B641" s="5" t="s">
        <v>1271</v>
      </c>
      <c r="C641" s="6" t="s">
        <v>41</v>
      </c>
      <c r="D641" s="6"/>
      <c r="E641" s="4" t="s">
        <v>1129</v>
      </c>
      <c r="F641" s="4" t="s">
        <v>1281</v>
      </c>
      <c r="G641" s="6" t="s">
        <v>1282</v>
      </c>
      <c r="H641" s="6" t="s">
        <v>1136</v>
      </c>
      <c r="I641" s="5" t="s">
        <v>1137</v>
      </c>
      <c r="J641" s="5" t="s">
        <v>26</v>
      </c>
      <c r="K641" s="7" t="n">
        <v>1</v>
      </c>
      <c r="L641" s="8" t="s">
        <v>485</v>
      </c>
      <c r="M641" s="4" t="s">
        <v>1138</v>
      </c>
      <c r="N641" s="5" t="s">
        <v>1274</v>
      </c>
    </row>
    <row r="642" customFormat="false" ht="35.05" hidden="false" customHeight="false" outlineLevel="0" collapsed="false">
      <c r="A642" s="4" t="s">
        <v>18</v>
      </c>
      <c r="B642" s="5" t="s">
        <v>1271</v>
      </c>
      <c r="C642" s="6" t="s">
        <v>41</v>
      </c>
      <c r="D642" s="6"/>
      <c r="E642" s="4" t="s">
        <v>1129</v>
      </c>
      <c r="F642" s="4" t="s">
        <v>1283</v>
      </c>
      <c r="G642" s="6" t="s">
        <v>1284</v>
      </c>
      <c r="H642" s="6" t="s">
        <v>1136</v>
      </c>
      <c r="I642" s="5" t="s">
        <v>1137</v>
      </c>
      <c r="J642" s="5" t="s">
        <v>26</v>
      </c>
      <c r="K642" s="7" t="n">
        <v>1</v>
      </c>
      <c r="L642" s="8" t="s">
        <v>485</v>
      </c>
      <c r="M642" s="4" t="s">
        <v>1138</v>
      </c>
      <c r="N642" s="5" t="s">
        <v>1274</v>
      </c>
    </row>
    <row r="643" customFormat="false" ht="23.85" hidden="false" customHeight="false" outlineLevel="0" collapsed="false">
      <c r="A643" s="4" t="s">
        <v>18</v>
      </c>
      <c r="B643" s="5" t="s">
        <v>1285</v>
      </c>
      <c r="C643" s="6" t="s">
        <v>1286</v>
      </c>
      <c r="D643" s="6"/>
      <c r="E643" s="4" t="s">
        <v>580</v>
      </c>
      <c r="F643" s="4" t="s">
        <v>1130</v>
      </c>
      <c r="G643" s="6" t="s">
        <v>1287</v>
      </c>
      <c r="H643" s="6" t="s">
        <v>583</v>
      </c>
      <c r="I643" s="5" t="s">
        <v>584</v>
      </c>
      <c r="J643" s="5" t="s">
        <v>26</v>
      </c>
      <c r="K643" s="7" t="n">
        <v>0.6</v>
      </c>
      <c r="L643" s="8" t="s">
        <v>585</v>
      </c>
      <c r="M643" s="4" t="s">
        <v>586</v>
      </c>
      <c r="N643" s="5" t="s">
        <v>1288</v>
      </c>
    </row>
    <row r="644" customFormat="false" ht="23.85" hidden="false" customHeight="false" outlineLevel="0" collapsed="false">
      <c r="A644" s="4" t="s">
        <v>18</v>
      </c>
      <c r="B644" s="5" t="s">
        <v>1285</v>
      </c>
      <c r="C644" s="6" t="s">
        <v>1286</v>
      </c>
      <c r="D644" s="6"/>
      <c r="E644" s="4" t="s">
        <v>580</v>
      </c>
      <c r="F644" s="4" t="s">
        <v>1130</v>
      </c>
      <c r="G644" s="6" t="s">
        <v>1287</v>
      </c>
      <c r="H644" s="6" t="s">
        <v>588</v>
      </c>
      <c r="I644" s="5" t="s">
        <v>589</v>
      </c>
      <c r="J644" s="5" t="s">
        <v>26</v>
      </c>
      <c r="K644" s="7" t="n">
        <v>0.6</v>
      </c>
      <c r="L644" s="8" t="s">
        <v>590</v>
      </c>
      <c r="M644" s="4" t="s">
        <v>591</v>
      </c>
      <c r="N644" s="5" t="s">
        <v>1288</v>
      </c>
    </row>
    <row r="645" customFormat="false" ht="46.25" hidden="false" customHeight="false" outlineLevel="0" collapsed="false">
      <c r="A645" s="4" t="s">
        <v>18</v>
      </c>
      <c r="B645" s="5" t="s">
        <v>1285</v>
      </c>
      <c r="C645" s="6" t="s">
        <v>1286</v>
      </c>
      <c r="D645" s="6"/>
      <c r="E645" s="4" t="s">
        <v>580</v>
      </c>
      <c r="F645" s="4" t="s">
        <v>1289</v>
      </c>
      <c r="G645" s="6" t="s">
        <v>1290</v>
      </c>
      <c r="H645" s="6" t="s">
        <v>583</v>
      </c>
      <c r="I645" s="5" t="s">
        <v>584</v>
      </c>
      <c r="J645" s="5" t="s">
        <v>26</v>
      </c>
      <c r="K645" s="7" t="n">
        <v>0.6</v>
      </c>
      <c r="L645" s="8" t="s">
        <v>585</v>
      </c>
      <c r="M645" s="4" t="s">
        <v>586</v>
      </c>
      <c r="N645" s="5" t="s">
        <v>1288</v>
      </c>
    </row>
    <row r="646" customFormat="false" ht="46.25" hidden="false" customHeight="false" outlineLevel="0" collapsed="false">
      <c r="A646" s="4" t="s">
        <v>18</v>
      </c>
      <c r="B646" s="5" t="s">
        <v>1285</v>
      </c>
      <c r="C646" s="6" t="s">
        <v>1286</v>
      </c>
      <c r="D646" s="6"/>
      <c r="E646" s="4" t="s">
        <v>580</v>
      </c>
      <c r="F646" s="4" t="s">
        <v>1289</v>
      </c>
      <c r="G646" s="6" t="s">
        <v>1290</v>
      </c>
      <c r="H646" s="6" t="s">
        <v>588</v>
      </c>
      <c r="I646" s="5" t="s">
        <v>589</v>
      </c>
      <c r="J646" s="5" t="s">
        <v>26</v>
      </c>
      <c r="K646" s="7" t="n">
        <v>0.6</v>
      </c>
      <c r="L646" s="8" t="s">
        <v>590</v>
      </c>
      <c r="M646" s="4" t="s">
        <v>591</v>
      </c>
      <c r="N646" s="5" t="s">
        <v>1288</v>
      </c>
    </row>
    <row r="647" customFormat="false" ht="35.05" hidden="false" customHeight="false" outlineLevel="0" collapsed="false">
      <c r="A647" s="4" t="s">
        <v>18</v>
      </c>
      <c r="B647" s="5" t="s">
        <v>1291</v>
      </c>
      <c r="C647" s="6" t="s">
        <v>41</v>
      </c>
      <c r="D647" s="6"/>
      <c r="E647" s="4" t="s">
        <v>580</v>
      </c>
      <c r="F647" s="4" t="s">
        <v>1292</v>
      </c>
      <c r="G647" s="6" t="s">
        <v>1293</v>
      </c>
      <c r="H647" s="6" t="s">
        <v>583</v>
      </c>
      <c r="I647" s="5" t="s">
        <v>584</v>
      </c>
      <c r="J647" s="5" t="s">
        <v>26</v>
      </c>
      <c r="K647" s="7" t="n">
        <v>0.6</v>
      </c>
      <c r="L647" s="8" t="s">
        <v>585</v>
      </c>
      <c r="M647" s="4" t="s">
        <v>586</v>
      </c>
      <c r="N647" s="5" t="s">
        <v>1294</v>
      </c>
    </row>
    <row r="648" customFormat="false" ht="35.05" hidden="false" customHeight="false" outlineLevel="0" collapsed="false">
      <c r="A648" s="4" t="s">
        <v>18</v>
      </c>
      <c r="B648" s="5" t="s">
        <v>1291</v>
      </c>
      <c r="C648" s="6" t="s">
        <v>41</v>
      </c>
      <c r="D648" s="6"/>
      <c r="E648" s="4" t="s">
        <v>580</v>
      </c>
      <c r="F648" s="4" t="s">
        <v>1292</v>
      </c>
      <c r="G648" s="6" t="s">
        <v>1293</v>
      </c>
      <c r="H648" s="6" t="s">
        <v>588</v>
      </c>
      <c r="I648" s="5" t="s">
        <v>589</v>
      </c>
      <c r="J648" s="5" t="s">
        <v>26</v>
      </c>
      <c r="K648" s="7" t="n">
        <v>0.6</v>
      </c>
      <c r="L648" s="8" t="s">
        <v>590</v>
      </c>
      <c r="M648" s="4" t="s">
        <v>591</v>
      </c>
      <c r="N648" s="5" t="s">
        <v>1294</v>
      </c>
    </row>
    <row r="649" customFormat="false" ht="35.05" hidden="false" customHeight="false" outlineLevel="0" collapsed="false">
      <c r="A649" s="4" t="s">
        <v>18</v>
      </c>
      <c r="B649" s="5" t="s">
        <v>1295</v>
      </c>
      <c r="C649" s="6" t="s">
        <v>41</v>
      </c>
      <c r="D649" s="6"/>
      <c r="E649" s="4" t="s">
        <v>1142</v>
      </c>
      <c r="F649" s="4" t="s">
        <v>1130</v>
      </c>
      <c r="G649" s="6" t="s">
        <v>1296</v>
      </c>
      <c r="H649" s="6" t="s">
        <v>1136</v>
      </c>
      <c r="I649" s="5" t="s">
        <v>1144</v>
      </c>
      <c r="J649" s="5" t="s">
        <v>26</v>
      </c>
      <c r="K649" s="7" t="n">
        <v>1</v>
      </c>
      <c r="L649" s="6"/>
      <c r="M649" s="4" t="s">
        <v>1145</v>
      </c>
      <c r="N649" s="5" t="s">
        <v>1297</v>
      </c>
    </row>
    <row r="650" customFormat="false" ht="46.25" hidden="false" customHeight="false" outlineLevel="0" collapsed="false">
      <c r="A650" s="4" t="s">
        <v>18</v>
      </c>
      <c r="B650" s="5" t="s">
        <v>1298</v>
      </c>
      <c r="C650" s="6" t="s">
        <v>41</v>
      </c>
      <c r="D650" s="6"/>
      <c r="E650" s="4" t="s">
        <v>1142</v>
      </c>
      <c r="F650" s="4" t="s">
        <v>1292</v>
      </c>
      <c r="G650" s="6" t="s">
        <v>1299</v>
      </c>
      <c r="H650" s="6" t="s">
        <v>1136</v>
      </c>
      <c r="I650" s="5" t="s">
        <v>1144</v>
      </c>
      <c r="J650" s="5" t="s">
        <v>26</v>
      </c>
      <c r="K650" s="7" t="n">
        <v>1</v>
      </c>
      <c r="L650" s="6"/>
      <c r="M650" s="4" t="s">
        <v>1145</v>
      </c>
      <c r="N650" s="5" t="s">
        <v>1300</v>
      </c>
    </row>
    <row r="651" customFormat="false" ht="35.05" hidden="false" customHeight="false" outlineLevel="0" collapsed="false">
      <c r="A651" s="4" t="s">
        <v>18</v>
      </c>
      <c r="B651" s="5" t="s">
        <v>1301</v>
      </c>
      <c r="C651" s="6" t="s">
        <v>41</v>
      </c>
      <c r="D651" s="6"/>
      <c r="E651" s="4" t="s">
        <v>1142</v>
      </c>
      <c r="F651" s="4" t="s">
        <v>186</v>
      </c>
      <c r="G651" s="6" t="s">
        <v>1302</v>
      </c>
      <c r="H651" s="6" t="s">
        <v>1136</v>
      </c>
      <c r="I651" s="5" t="s">
        <v>1144</v>
      </c>
      <c r="J651" s="5" t="s">
        <v>26</v>
      </c>
      <c r="K651" s="7" t="n">
        <v>1</v>
      </c>
      <c r="L651" s="6"/>
      <c r="M651" s="4" t="s">
        <v>1145</v>
      </c>
      <c r="N651" s="5" t="s">
        <v>1303</v>
      </c>
    </row>
    <row r="652" customFormat="false" ht="35.05" hidden="false" customHeight="false" outlineLevel="0" collapsed="false">
      <c r="A652" s="4" t="s">
        <v>18</v>
      </c>
      <c r="B652" s="5" t="s">
        <v>1304</v>
      </c>
      <c r="C652" s="6" t="s">
        <v>1305</v>
      </c>
      <c r="D652" s="6"/>
      <c r="E652" s="4" t="s">
        <v>580</v>
      </c>
      <c r="F652" s="4" t="s">
        <v>1306</v>
      </c>
      <c r="G652" s="6" t="s">
        <v>1307</v>
      </c>
      <c r="H652" s="6" t="s">
        <v>583</v>
      </c>
      <c r="I652" s="5" t="s">
        <v>584</v>
      </c>
      <c r="J652" s="5" t="s">
        <v>26</v>
      </c>
      <c r="K652" s="7" t="n">
        <v>0.6</v>
      </c>
      <c r="L652" s="8" t="s">
        <v>585</v>
      </c>
      <c r="M652" s="4" t="s">
        <v>586</v>
      </c>
      <c r="N652" s="5" t="s">
        <v>1308</v>
      </c>
    </row>
    <row r="653" customFormat="false" ht="35.05" hidden="false" customHeight="false" outlineLevel="0" collapsed="false">
      <c r="A653" s="4" t="s">
        <v>18</v>
      </c>
      <c r="B653" s="5" t="s">
        <v>1304</v>
      </c>
      <c r="C653" s="6" t="s">
        <v>1305</v>
      </c>
      <c r="D653" s="6"/>
      <c r="E653" s="4" t="s">
        <v>580</v>
      </c>
      <c r="F653" s="4" t="s">
        <v>1306</v>
      </c>
      <c r="G653" s="6" t="s">
        <v>1307</v>
      </c>
      <c r="H653" s="6" t="s">
        <v>588</v>
      </c>
      <c r="I653" s="5" t="s">
        <v>589</v>
      </c>
      <c r="J653" s="5" t="s">
        <v>26</v>
      </c>
      <c r="K653" s="7" t="n">
        <v>0.6</v>
      </c>
      <c r="L653" s="8" t="s">
        <v>590</v>
      </c>
      <c r="M653" s="4" t="s">
        <v>591</v>
      </c>
      <c r="N653" s="5" t="s">
        <v>1308</v>
      </c>
    </row>
    <row r="654" customFormat="false" ht="23.85" hidden="false" customHeight="false" outlineLevel="0" collapsed="false">
      <c r="A654" s="4" t="s">
        <v>18</v>
      </c>
      <c r="B654" s="5" t="s">
        <v>1309</v>
      </c>
      <c r="C654" s="6" t="s">
        <v>41</v>
      </c>
      <c r="D654" s="6"/>
      <c r="E654" s="4" t="s">
        <v>580</v>
      </c>
      <c r="F654" s="4" t="s">
        <v>1310</v>
      </c>
      <c r="G654" s="6" t="s">
        <v>1311</v>
      </c>
      <c r="H654" s="6" t="s">
        <v>583</v>
      </c>
      <c r="I654" s="5" t="s">
        <v>584</v>
      </c>
      <c r="J654" s="5" t="s">
        <v>26</v>
      </c>
      <c r="K654" s="7" t="n">
        <v>0.6</v>
      </c>
      <c r="L654" s="8" t="s">
        <v>585</v>
      </c>
      <c r="M654" s="4" t="s">
        <v>586</v>
      </c>
      <c r="N654" s="5" t="s">
        <v>1312</v>
      </c>
    </row>
    <row r="655" customFormat="false" ht="23.85" hidden="false" customHeight="false" outlineLevel="0" collapsed="false">
      <c r="A655" s="4" t="s">
        <v>18</v>
      </c>
      <c r="B655" s="5" t="s">
        <v>1309</v>
      </c>
      <c r="C655" s="6" t="s">
        <v>41</v>
      </c>
      <c r="D655" s="6"/>
      <c r="E655" s="4" t="s">
        <v>580</v>
      </c>
      <c r="F655" s="4" t="s">
        <v>1310</v>
      </c>
      <c r="G655" s="6" t="s">
        <v>1311</v>
      </c>
      <c r="H655" s="6" t="s">
        <v>588</v>
      </c>
      <c r="I655" s="5" t="s">
        <v>589</v>
      </c>
      <c r="J655" s="5" t="s">
        <v>26</v>
      </c>
      <c r="K655" s="7" t="n">
        <v>0.6</v>
      </c>
      <c r="L655" s="8" t="s">
        <v>590</v>
      </c>
      <c r="M655" s="4" t="s">
        <v>591</v>
      </c>
      <c r="N655" s="5" t="s">
        <v>1312</v>
      </c>
    </row>
    <row r="656" customFormat="false" ht="23.85" hidden="false" customHeight="false" outlineLevel="0" collapsed="false">
      <c r="A656" s="4" t="s">
        <v>18</v>
      </c>
      <c r="B656" s="5" t="s">
        <v>1313</v>
      </c>
      <c r="C656" s="6" t="s">
        <v>41</v>
      </c>
      <c r="D656" s="6"/>
      <c r="E656" s="4" t="s">
        <v>580</v>
      </c>
      <c r="F656" s="4" t="s">
        <v>1314</v>
      </c>
      <c r="G656" s="6" t="s">
        <v>1315</v>
      </c>
      <c r="H656" s="6" t="s">
        <v>583</v>
      </c>
      <c r="I656" s="5" t="s">
        <v>584</v>
      </c>
      <c r="J656" s="5" t="s">
        <v>26</v>
      </c>
      <c r="K656" s="7" t="n">
        <v>0.6</v>
      </c>
      <c r="L656" s="8" t="s">
        <v>585</v>
      </c>
      <c r="M656" s="4" t="s">
        <v>586</v>
      </c>
      <c r="N656" s="5" t="s">
        <v>1316</v>
      </c>
    </row>
    <row r="657" customFormat="false" ht="23.85" hidden="false" customHeight="false" outlineLevel="0" collapsed="false">
      <c r="A657" s="4" t="s">
        <v>18</v>
      </c>
      <c r="B657" s="5" t="s">
        <v>1313</v>
      </c>
      <c r="C657" s="6" t="s">
        <v>41</v>
      </c>
      <c r="D657" s="6"/>
      <c r="E657" s="4" t="s">
        <v>580</v>
      </c>
      <c r="F657" s="4" t="s">
        <v>1314</v>
      </c>
      <c r="G657" s="6" t="s">
        <v>1315</v>
      </c>
      <c r="H657" s="6" t="s">
        <v>588</v>
      </c>
      <c r="I657" s="5" t="s">
        <v>589</v>
      </c>
      <c r="J657" s="5" t="s">
        <v>26</v>
      </c>
      <c r="K657" s="7" t="n">
        <v>0.6</v>
      </c>
      <c r="L657" s="8" t="s">
        <v>590</v>
      </c>
      <c r="M657" s="4" t="s">
        <v>591</v>
      </c>
      <c r="N657" s="5" t="s">
        <v>1316</v>
      </c>
    </row>
    <row r="658" customFormat="false" ht="23.85" hidden="false" customHeight="false" outlineLevel="0" collapsed="false">
      <c r="A658" s="4" t="s">
        <v>18</v>
      </c>
      <c r="B658" s="5" t="s">
        <v>1317</v>
      </c>
      <c r="C658" s="6" t="s">
        <v>1318</v>
      </c>
      <c r="D658" s="6"/>
      <c r="E658" s="4" t="s">
        <v>580</v>
      </c>
      <c r="F658" s="4" t="s">
        <v>1319</v>
      </c>
      <c r="G658" s="6" t="s">
        <v>1320</v>
      </c>
      <c r="H658" s="6" t="s">
        <v>583</v>
      </c>
      <c r="I658" s="5" t="s">
        <v>584</v>
      </c>
      <c r="J658" s="5" t="s">
        <v>26</v>
      </c>
      <c r="K658" s="7" t="n">
        <v>0.6</v>
      </c>
      <c r="L658" s="8" t="s">
        <v>585</v>
      </c>
      <c r="M658" s="4" t="s">
        <v>586</v>
      </c>
      <c r="N658" s="5" t="s">
        <v>1321</v>
      </c>
    </row>
    <row r="659" customFormat="false" ht="23.85" hidden="false" customHeight="false" outlineLevel="0" collapsed="false">
      <c r="A659" s="4" t="s">
        <v>18</v>
      </c>
      <c r="B659" s="5" t="s">
        <v>1317</v>
      </c>
      <c r="C659" s="6" t="s">
        <v>1318</v>
      </c>
      <c r="D659" s="6"/>
      <c r="E659" s="4" t="s">
        <v>580</v>
      </c>
      <c r="F659" s="4" t="s">
        <v>1319</v>
      </c>
      <c r="G659" s="6" t="s">
        <v>1320</v>
      </c>
      <c r="H659" s="6" t="s">
        <v>588</v>
      </c>
      <c r="I659" s="5" t="s">
        <v>589</v>
      </c>
      <c r="J659" s="5" t="s">
        <v>26</v>
      </c>
      <c r="K659" s="7" t="n">
        <v>0.6</v>
      </c>
      <c r="L659" s="8" t="s">
        <v>590</v>
      </c>
      <c r="M659" s="4" t="s">
        <v>591</v>
      </c>
      <c r="N659" s="5" t="s">
        <v>1321</v>
      </c>
    </row>
    <row r="660" customFormat="false" ht="35.05" hidden="false" customHeight="false" outlineLevel="0" collapsed="false">
      <c r="A660" s="4" t="s">
        <v>18</v>
      </c>
      <c r="B660" s="5" t="s">
        <v>1322</v>
      </c>
      <c r="C660" s="6" t="s">
        <v>41</v>
      </c>
      <c r="D660" s="6"/>
      <c r="E660" s="4" t="s">
        <v>580</v>
      </c>
      <c r="F660" s="4" t="s">
        <v>1323</v>
      </c>
      <c r="G660" s="6" t="s">
        <v>1324</v>
      </c>
      <c r="H660" s="6" t="s">
        <v>583</v>
      </c>
      <c r="I660" s="5" t="s">
        <v>584</v>
      </c>
      <c r="J660" s="5" t="s">
        <v>26</v>
      </c>
      <c r="K660" s="7" t="n">
        <v>0.6</v>
      </c>
      <c r="L660" s="8" t="s">
        <v>585</v>
      </c>
      <c r="M660" s="4" t="s">
        <v>586</v>
      </c>
      <c r="N660" s="5" t="s">
        <v>1325</v>
      </c>
    </row>
    <row r="661" customFormat="false" ht="35.05" hidden="false" customHeight="false" outlineLevel="0" collapsed="false">
      <c r="A661" s="4" t="s">
        <v>18</v>
      </c>
      <c r="B661" s="5" t="s">
        <v>1322</v>
      </c>
      <c r="C661" s="6" t="s">
        <v>41</v>
      </c>
      <c r="D661" s="6"/>
      <c r="E661" s="4" t="s">
        <v>580</v>
      </c>
      <c r="F661" s="4" t="s">
        <v>1323</v>
      </c>
      <c r="G661" s="6" t="s">
        <v>1324</v>
      </c>
      <c r="H661" s="6" t="s">
        <v>588</v>
      </c>
      <c r="I661" s="5" t="s">
        <v>589</v>
      </c>
      <c r="J661" s="5" t="s">
        <v>26</v>
      </c>
      <c r="K661" s="7" t="n">
        <v>0.6</v>
      </c>
      <c r="L661" s="8" t="s">
        <v>590</v>
      </c>
      <c r="M661" s="4" t="s">
        <v>591</v>
      </c>
      <c r="N661" s="5" t="s">
        <v>1325</v>
      </c>
    </row>
    <row r="662" customFormat="false" ht="23.85" hidden="false" customHeight="false" outlineLevel="0" collapsed="false">
      <c r="A662" s="4" t="s">
        <v>18</v>
      </c>
      <c r="B662" s="5" t="s">
        <v>1326</v>
      </c>
      <c r="C662" s="6" t="s">
        <v>41</v>
      </c>
      <c r="D662" s="6"/>
      <c r="E662" s="4" t="s">
        <v>580</v>
      </c>
      <c r="F662" s="4" t="s">
        <v>1327</v>
      </c>
      <c r="G662" s="6" t="s">
        <v>1328</v>
      </c>
      <c r="H662" s="6" t="s">
        <v>583</v>
      </c>
      <c r="I662" s="5" t="s">
        <v>584</v>
      </c>
      <c r="J662" s="5" t="s">
        <v>26</v>
      </c>
      <c r="K662" s="7" t="n">
        <v>0.6</v>
      </c>
      <c r="L662" s="8" t="s">
        <v>585</v>
      </c>
      <c r="M662" s="4" t="s">
        <v>586</v>
      </c>
      <c r="N662" s="5" t="s">
        <v>1329</v>
      </c>
    </row>
    <row r="663" customFormat="false" ht="23.85" hidden="false" customHeight="false" outlineLevel="0" collapsed="false">
      <c r="A663" s="4" t="s">
        <v>18</v>
      </c>
      <c r="B663" s="5" t="s">
        <v>1326</v>
      </c>
      <c r="C663" s="6" t="s">
        <v>41</v>
      </c>
      <c r="D663" s="6"/>
      <c r="E663" s="4" t="s">
        <v>580</v>
      </c>
      <c r="F663" s="4" t="s">
        <v>1327</v>
      </c>
      <c r="G663" s="6" t="s">
        <v>1328</v>
      </c>
      <c r="H663" s="6" t="s">
        <v>588</v>
      </c>
      <c r="I663" s="5" t="s">
        <v>589</v>
      </c>
      <c r="J663" s="5" t="s">
        <v>26</v>
      </c>
      <c r="K663" s="7" t="n">
        <v>0.6</v>
      </c>
      <c r="L663" s="8" t="s">
        <v>590</v>
      </c>
      <c r="M663" s="4" t="s">
        <v>591</v>
      </c>
      <c r="N663" s="5" t="s">
        <v>1329</v>
      </c>
    </row>
    <row r="664" customFormat="false" ht="35.05" hidden="false" customHeight="false" outlineLevel="0" collapsed="false">
      <c r="A664" s="4" t="s">
        <v>18</v>
      </c>
      <c r="B664" s="5" t="s">
        <v>1330</v>
      </c>
      <c r="C664" s="6" t="s">
        <v>1331</v>
      </c>
      <c r="D664" s="6"/>
      <c r="E664" s="4" t="s">
        <v>580</v>
      </c>
      <c r="F664" s="4" t="s">
        <v>1306</v>
      </c>
      <c r="G664" s="6" t="s">
        <v>1307</v>
      </c>
      <c r="H664" s="6" t="s">
        <v>583</v>
      </c>
      <c r="I664" s="5" t="s">
        <v>584</v>
      </c>
      <c r="J664" s="5" t="s">
        <v>26</v>
      </c>
      <c r="K664" s="7" t="n">
        <v>0.6</v>
      </c>
      <c r="L664" s="8" t="s">
        <v>585</v>
      </c>
      <c r="M664" s="4" t="s">
        <v>586</v>
      </c>
      <c r="N664" s="5" t="s">
        <v>1332</v>
      </c>
    </row>
    <row r="665" customFormat="false" ht="35.05" hidden="false" customHeight="false" outlineLevel="0" collapsed="false">
      <c r="A665" s="4" t="s">
        <v>18</v>
      </c>
      <c r="B665" s="5" t="s">
        <v>1330</v>
      </c>
      <c r="C665" s="6" t="s">
        <v>1331</v>
      </c>
      <c r="D665" s="6"/>
      <c r="E665" s="4" t="s">
        <v>580</v>
      </c>
      <c r="F665" s="4" t="s">
        <v>1306</v>
      </c>
      <c r="G665" s="6" t="s">
        <v>1307</v>
      </c>
      <c r="H665" s="6" t="s">
        <v>588</v>
      </c>
      <c r="I665" s="5" t="s">
        <v>589</v>
      </c>
      <c r="J665" s="5" t="s">
        <v>26</v>
      </c>
      <c r="K665" s="7" t="n">
        <v>0.6</v>
      </c>
      <c r="L665" s="8" t="s">
        <v>590</v>
      </c>
      <c r="M665" s="4" t="s">
        <v>591</v>
      </c>
      <c r="N665" s="5" t="s">
        <v>1332</v>
      </c>
    </row>
    <row r="666" customFormat="false" ht="35.05" hidden="false" customHeight="false" outlineLevel="0" collapsed="false">
      <c r="A666" s="4" t="s">
        <v>18</v>
      </c>
      <c r="B666" s="5" t="s">
        <v>1333</v>
      </c>
      <c r="C666" s="6" t="s">
        <v>41</v>
      </c>
      <c r="D666" s="6"/>
      <c r="E666" s="4" t="s">
        <v>580</v>
      </c>
      <c r="F666" s="4" t="s">
        <v>1334</v>
      </c>
      <c r="G666" s="6" t="s">
        <v>1335</v>
      </c>
      <c r="H666" s="6" t="s">
        <v>583</v>
      </c>
      <c r="I666" s="5" t="s">
        <v>584</v>
      </c>
      <c r="J666" s="5" t="s">
        <v>26</v>
      </c>
      <c r="K666" s="7" t="n">
        <v>0.6</v>
      </c>
      <c r="L666" s="8" t="s">
        <v>585</v>
      </c>
      <c r="M666" s="4" t="s">
        <v>586</v>
      </c>
      <c r="N666" s="5" t="s">
        <v>1336</v>
      </c>
    </row>
    <row r="667" customFormat="false" ht="35.05" hidden="false" customHeight="false" outlineLevel="0" collapsed="false">
      <c r="A667" s="4" t="s">
        <v>18</v>
      </c>
      <c r="B667" s="5" t="s">
        <v>1333</v>
      </c>
      <c r="C667" s="6" t="s">
        <v>41</v>
      </c>
      <c r="D667" s="6"/>
      <c r="E667" s="4" t="s">
        <v>580</v>
      </c>
      <c r="F667" s="4" t="s">
        <v>1334</v>
      </c>
      <c r="G667" s="6" t="s">
        <v>1335</v>
      </c>
      <c r="H667" s="6" t="s">
        <v>588</v>
      </c>
      <c r="I667" s="5" t="s">
        <v>589</v>
      </c>
      <c r="J667" s="5" t="s">
        <v>26</v>
      </c>
      <c r="K667" s="7" t="n">
        <v>0.6</v>
      </c>
      <c r="L667" s="8" t="s">
        <v>590</v>
      </c>
      <c r="M667" s="4" t="s">
        <v>591</v>
      </c>
      <c r="N667" s="5" t="s">
        <v>1336</v>
      </c>
    </row>
    <row r="668" customFormat="false" ht="35.05" hidden="false" customHeight="false" outlineLevel="0" collapsed="false">
      <c r="A668" s="4" t="s">
        <v>18</v>
      </c>
      <c r="B668" s="5" t="s">
        <v>1337</v>
      </c>
      <c r="C668" s="6" t="s">
        <v>41</v>
      </c>
      <c r="D668" s="6"/>
      <c r="E668" s="4" t="s">
        <v>580</v>
      </c>
      <c r="F668" s="4" t="s">
        <v>1334</v>
      </c>
      <c r="G668" s="6" t="s">
        <v>1335</v>
      </c>
      <c r="H668" s="6" t="s">
        <v>583</v>
      </c>
      <c r="I668" s="5" t="s">
        <v>584</v>
      </c>
      <c r="J668" s="5" t="s">
        <v>26</v>
      </c>
      <c r="K668" s="7" t="n">
        <v>0.6</v>
      </c>
      <c r="L668" s="8" t="s">
        <v>585</v>
      </c>
      <c r="M668" s="4" t="s">
        <v>586</v>
      </c>
      <c r="N668" s="5" t="s">
        <v>1338</v>
      </c>
    </row>
    <row r="669" customFormat="false" ht="35.05" hidden="false" customHeight="false" outlineLevel="0" collapsed="false">
      <c r="A669" s="4" t="s">
        <v>18</v>
      </c>
      <c r="B669" s="5" t="s">
        <v>1337</v>
      </c>
      <c r="C669" s="6" t="s">
        <v>41</v>
      </c>
      <c r="D669" s="6"/>
      <c r="E669" s="4" t="s">
        <v>580</v>
      </c>
      <c r="F669" s="4" t="s">
        <v>1334</v>
      </c>
      <c r="G669" s="6" t="s">
        <v>1335</v>
      </c>
      <c r="H669" s="6" t="s">
        <v>588</v>
      </c>
      <c r="I669" s="5" t="s">
        <v>589</v>
      </c>
      <c r="J669" s="5" t="s">
        <v>26</v>
      </c>
      <c r="K669" s="7" t="n">
        <v>0.6</v>
      </c>
      <c r="L669" s="8" t="s">
        <v>590</v>
      </c>
      <c r="M669" s="4" t="s">
        <v>591</v>
      </c>
      <c r="N669" s="5" t="s">
        <v>1338</v>
      </c>
    </row>
    <row r="670" customFormat="false" ht="35.05" hidden="false" customHeight="false" outlineLevel="0" collapsed="false">
      <c r="A670" s="4" t="s">
        <v>18</v>
      </c>
      <c r="B670" s="5" t="s">
        <v>1339</v>
      </c>
      <c r="C670" s="6" t="s">
        <v>1340</v>
      </c>
      <c r="D670" s="6"/>
      <c r="E670" s="4" t="s">
        <v>580</v>
      </c>
      <c r="F670" s="4" t="s">
        <v>1341</v>
      </c>
      <c r="G670" s="6" t="s">
        <v>1342</v>
      </c>
      <c r="H670" s="6" t="s">
        <v>583</v>
      </c>
      <c r="I670" s="5" t="s">
        <v>584</v>
      </c>
      <c r="J670" s="5" t="s">
        <v>26</v>
      </c>
      <c r="K670" s="7" t="n">
        <v>0.6</v>
      </c>
      <c r="L670" s="8" t="s">
        <v>585</v>
      </c>
      <c r="M670" s="4" t="s">
        <v>586</v>
      </c>
      <c r="N670" s="5" t="s">
        <v>1343</v>
      </c>
    </row>
    <row r="671" customFormat="false" ht="35.05" hidden="false" customHeight="false" outlineLevel="0" collapsed="false">
      <c r="A671" s="4" t="s">
        <v>18</v>
      </c>
      <c r="B671" s="5" t="s">
        <v>1339</v>
      </c>
      <c r="C671" s="6" t="s">
        <v>1340</v>
      </c>
      <c r="D671" s="6"/>
      <c r="E671" s="4" t="s">
        <v>580</v>
      </c>
      <c r="F671" s="4" t="s">
        <v>1341</v>
      </c>
      <c r="G671" s="6" t="s">
        <v>1342</v>
      </c>
      <c r="H671" s="6" t="s">
        <v>588</v>
      </c>
      <c r="I671" s="5" t="s">
        <v>589</v>
      </c>
      <c r="J671" s="5" t="s">
        <v>26</v>
      </c>
      <c r="K671" s="7" t="n">
        <v>0.6</v>
      </c>
      <c r="L671" s="8" t="s">
        <v>590</v>
      </c>
      <c r="M671" s="4" t="s">
        <v>591</v>
      </c>
      <c r="N671" s="5" t="s">
        <v>1343</v>
      </c>
    </row>
    <row r="672" customFormat="false" ht="35.05" hidden="false" customHeight="false" outlineLevel="0" collapsed="false">
      <c r="A672" s="4" t="s">
        <v>18</v>
      </c>
      <c r="B672" s="5" t="s">
        <v>1344</v>
      </c>
      <c r="C672" s="6" t="s">
        <v>41</v>
      </c>
      <c r="D672" s="6"/>
      <c r="E672" s="4" t="s">
        <v>1129</v>
      </c>
      <c r="F672" s="4" t="s">
        <v>1250</v>
      </c>
      <c r="G672" s="6" t="s">
        <v>1345</v>
      </c>
      <c r="H672" s="6" t="s">
        <v>1132</v>
      </c>
      <c r="I672" s="5" t="s">
        <v>1133</v>
      </c>
      <c r="J672" s="5" t="s">
        <v>26</v>
      </c>
      <c r="K672" s="7" t="n">
        <v>0.6</v>
      </c>
      <c r="L672" s="6"/>
      <c r="M672" s="4" t="s">
        <v>1134</v>
      </c>
      <c r="N672" s="5" t="s">
        <v>1346</v>
      </c>
    </row>
    <row r="673" customFormat="false" ht="35.05" hidden="false" customHeight="false" outlineLevel="0" collapsed="false">
      <c r="A673" s="4" t="s">
        <v>18</v>
      </c>
      <c r="B673" s="5" t="s">
        <v>1344</v>
      </c>
      <c r="C673" s="6" t="s">
        <v>41</v>
      </c>
      <c r="D673" s="6"/>
      <c r="E673" s="4" t="s">
        <v>1129</v>
      </c>
      <c r="F673" s="4" t="s">
        <v>1250</v>
      </c>
      <c r="G673" s="6" t="s">
        <v>1345</v>
      </c>
      <c r="H673" s="6" t="s">
        <v>1136</v>
      </c>
      <c r="I673" s="5" t="s">
        <v>1137</v>
      </c>
      <c r="J673" s="5" t="s">
        <v>26</v>
      </c>
      <c r="K673" s="7" t="n">
        <v>1</v>
      </c>
      <c r="L673" s="8" t="s">
        <v>485</v>
      </c>
      <c r="M673" s="4" t="s">
        <v>1138</v>
      </c>
      <c r="N673" s="5" t="s">
        <v>1346</v>
      </c>
    </row>
    <row r="674" customFormat="false" ht="23.85" hidden="false" customHeight="false" outlineLevel="0" collapsed="false">
      <c r="A674" s="4" t="s">
        <v>18</v>
      </c>
      <c r="B674" s="5" t="s">
        <v>1347</v>
      </c>
      <c r="C674" s="6" t="s">
        <v>41</v>
      </c>
      <c r="D674" s="6"/>
      <c r="E674" s="4" t="s">
        <v>1348</v>
      </c>
      <c r="F674" s="4" t="s">
        <v>1272</v>
      </c>
      <c r="G674" s="6" t="s">
        <v>1349</v>
      </c>
      <c r="H674" s="6" t="s">
        <v>769</v>
      </c>
      <c r="I674" s="5" t="s">
        <v>1350</v>
      </c>
      <c r="J674" s="5" t="s">
        <v>26</v>
      </c>
      <c r="K674" s="7" t="n">
        <v>1</v>
      </c>
      <c r="L674" s="6"/>
      <c r="M674" s="4" t="s">
        <v>1351</v>
      </c>
      <c r="N674" s="5" t="s">
        <v>1352</v>
      </c>
    </row>
    <row r="675" customFormat="false" ht="23.85" hidden="false" customHeight="false" outlineLevel="0" collapsed="false">
      <c r="A675" s="4" t="s">
        <v>18</v>
      </c>
      <c r="B675" s="5" t="s">
        <v>1353</v>
      </c>
      <c r="C675" s="6" t="s">
        <v>1354</v>
      </c>
      <c r="D675" s="6"/>
      <c r="E675" s="4" t="s">
        <v>1348</v>
      </c>
      <c r="F675" s="4" t="s">
        <v>42</v>
      </c>
      <c r="G675" s="6" t="s">
        <v>1355</v>
      </c>
      <c r="H675" s="6" t="s">
        <v>769</v>
      </c>
      <c r="I675" s="5" t="s">
        <v>1350</v>
      </c>
      <c r="J675" s="5" t="s">
        <v>26</v>
      </c>
      <c r="K675" s="7" t="n">
        <v>1</v>
      </c>
      <c r="L675" s="6"/>
      <c r="M675" s="4" t="s">
        <v>1351</v>
      </c>
      <c r="N675" s="5" t="s">
        <v>1356</v>
      </c>
    </row>
    <row r="676" customFormat="false" ht="23.85" hidden="false" customHeight="false" outlineLevel="0" collapsed="false">
      <c r="A676" s="4" t="s">
        <v>18</v>
      </c>
      <c r="B676" s="5" t="s">
        <v>1357</v>
      </c>
      <c r="C676" s="6" t="s">
        <v>41</v>
      </c>
      <c r="D676" s="6"/>
      <c r="E676" s="4" t="s">
        <v>1348</v>
      </c>
      <c r="F676" s="4" t="s">
        <v>223</v>
      </c>
      <c r="G676" s="6" t="s">
        <v>1358</v>
      </c>
      <c r="H676" s="6" t="s">
        <v>769</v>
      </c>
      <c r="I676" s="5" t="s">
        <v>1350</v>
      </c>
      <c r="J676" s="5" t="s">
        <v>26</v>
      </c>
      <c r="K676" s="7" t="n">
        <v>1</v>
      </c>
      <c r="L676" s="6"/>
      <c r="M676" s="4" t="s">
        <v>1351</v>
      </c>
      <c r="N676" s="5" t="s">
        <v>1359</v>
      </c>
    </row>
    <row r="677" customFormat="false" ht="23.85" hidden="false" customHeight="false" outlineLevel="0" collapsed="false">
      <c r="A677" s="4" t="s">
        <v>18</v>
      </c>
      <c r="B677" s="5" t="s">
        <v>1360</v>
      </c>
      <c r="C677" s="6" t="s">
        <v>41</v>
      </c>
      <c r="D677" s="6"/>
      <c r="E677" s="4" t="s">
        <v>1348</v>
      </c>
      <c r="F677" s="4" t="s">
        <v>1275</v>
      </c>
      <c r="G677" s="6" t="s">
        <v>1361</v>
      </c>
      <c r="H677" s="6" t="s">
        <v>769</v>
      </c>
      <c r="I677" s="5" t="s">
        <v>1350</v>
      </c>
      <c r="J677" s="5" t="s">
        <v>26</v>
      </c>
      <c r="K677" s="7" t="n">
        <v>1</v>
      </c>
      <c r="L677" s="6"/>
      <c r="M677" s="4" t="s">
        <v>1351</v>
      </c>
      <c r="N677" s="5" t="s">
        <v>1362</v>
      </c>
    </row>
    <row r="678" customFormat="false" ht="46.25" hidden="false" customHeight="false" outlineLevel="0" collapsed="false">
      <c r="A678" s="4" t="s">
        <v>18</v>
      </c>
      <c r="B678" s="5" t="s">
        <v>1360</v>
      </c>
      <c r="C678" s="6" t="s">
        <v>41</v>
      </c>
      <c r="D678" s="6"/>
      <c r="E678" s="4" t="s">
        <v>1348</v>
      </c>
      <c r="F678" s="4" t="s">
        <v>1277</v>
      </c>
      <c r="G678" s="6" t="s">
        <v>1363</v>
      </c>
      <c r="H678" s="6" t="s">
        <v>769</v>
      </c>
      <c r="I678" s="5" t="s">
        <v>1350</v>
      </c>
      <c r="J678" s="5" t="s">
        <v>26</v>
      </c>
      <c r="K678" s="7" t="n">
        <v>1</v>
      </c>
      <c r="L678" s="6"/>
      <c r="M678" s="4" t="s">
        <v>1351</v>
      </c>
      <c r="N678" s="5" t="s">
        <v>1362</v>
      </c>
    </row>
    <row r="679" customFormat="false" ht="23.85" hidden="false" customHeight="false" outlineLevel="0" collapsed="false">
      <c r="A679" s="4" t="s">
        <v>18</v>
      </c>
      <c r="B679" s="5" t="s">
        <v>1360</v>
      </c>
      <c r="C679" s="6" t="s">
        <v>41</v>
      </c>
      <c r="D679" s="6"/>
      <c r="E679" s="4" t="s">
        <v>1348</v>
      </c>
      <c r="F679" s="4" t="s">
        <v>243</v>
      </c>
      <c r="G679" s="6" t="s">
        <v>1364</v>
      </c>
      <c r="H679" s="6" t="s">
        <v>769</v>
      </c>
      <c r="I679" s="5" t="s">
        <v>1350</v>
      </c>
      <c r="J679" s="5" t="s">
        <v>26</v>
      </c>
      <c r="K679" s="7" t="n">
        <v>1</v>
      </c>
      <c r="L679" s="6"/>
      <c r="M679" s="4" t="s">
        <v>1351</v>
      </c>
      <c r="N679" s="5" t="s">
        <v>1362</v>
      </c>
    </row>
    <row r="680" customFormat="false" ht="23.85" hidden="false" customHeight="false" outlineLevel="0" collapsed="false">
      <c r="A680" s="4" t="s">
        <v>18</v>
      </c>
      <c r="B680" s="5" t="s">
        <v>1365</v>
      </c>
      <c r="C680" s="6" t="s">
        <v>41</v>
      </c>
      <c r="D680" s="6"/>
      <c r="E680" s="4" t="s">
        <v>1348</v>
      </c>
      <c r="F680" s="4"/>
      <c r="G680" s="6"/>
      <c r="H680" s="6" t="s">
        <v>769</v>
      </c>
      <c r="I680" s="5" t="s">
        <v>1350</v>
      </c>
      <c r="J680" s="5" t="s">
        <v>26</v>
      </c>
      <c r="K680" s="7" t="n">
        <v>1</v>
      </c>
      <c r="L680" s="6"/>
      <c r="M680" s="4" t="s">
        <v>1351</v>
      </c>
      <c r="N680" s="5" t="s">
        <v>1366</v>
      </c>
    </row>
    <row r="681" customFormat="false" ht="23.85" hidden="false" customHeight="false" outlineLevel="0" collapsed="false">
      <c r="A681" s="4" t="s">
        <v>18</v>
      </c>
      <c r="B681" s="5" t="s">
        <v>1367</v>
      </c>
      <c r="C681" s="6" t="s">
        <v>1368</v>
      </c>
      <c r="D681" s="6"/>
      <c r="E681" s="4" t="s">
        <v>1348</v>
      </c>
      <c r="F681" s="4" t="s">
        <v>172</v>
      </c>
      <c r="G681" s="6" t="s">
        <v>1369</v>
      </c>
      <c r="H681" s="6" t="s">
        <v>769</v>
      </c>
      <c r="I681" s="5" t="s">
        <v>1350</v>
      </c>
      <c r="J681" s="5" t="s">
        <v>26</v>
      </c>
      <c r="K681" s="7" t="n">
        <v>1</v>
      </c>
      <c r="L681" s="6"/>
      <c r="M681" s="4" t="s">
        <v>1351</v>
      </c>
      <c r="N681" s="5" t="s">
        <v>1370</v>
      </c>
    </row>
    <row r="682" customFormat="false" ht="23.85" hidden="false" customHeight="false" outlineLevel="0" collapsed="false">
      <c r="A682" s="4" t="s">
        <v>18</v>
      </c>
      <c r="B682" s="5" t="s">
        <v>1371</v>
      </c>
      <c r="C682" s="6" t="s">
        <v>41</v>
      </c>
      <c r="D682" s="6"/>
      <c r="E682" s="4" t="s">
        <v>763</v>
      </c>
      <c r="F682" s="4" t="s">
        <v>831</v>
      </c>
      <c r="G682" s="6" t="s">
        <v>1372</v>
      </c>
      <c r="H682" s="6" t="s">
        <v>765</v>
      </c>
      <c r="I682" s="5" t="s">
        <v>766</v>
      </c>
      <c r="J682" s="5" t="s">
        <v>26</v>
      </c>
      <c r="K682" s="7" t="n">
        <v>0.6</v>
      </c>
      <c r="L682" s="6"/>
      <c r="M682" s="4" t="s">
        <v>767</v>
      </c>
      <c r="N682" s="5" t="s">
        <v>1373</v>
      </c>
    </row>
    <row r="683" customFormat="false" ht="46.25" hidden="false" customHeight="false" outlineLevel="0" collapsed="false">
      <c r="A683" s="4" t="s">
        <v>18</v>
      </c>
      <c r="B683" s="5" t="s">
        <v>1371</v>
      </c>
      <c r="C683" s="6" t="s">
        <v>41</v>
      </c>
      <c r="D683" s="6"/>
      <c r="E683" s="4" t="s">
        <v>763</v>
      </c>
      <c r="F683" s="4" t="s">
        <v>831</v>
      </c>
      <c r="G683" s="6" t="s">
        <v>1372</v>
      </c>
      <c r="H683" s="6" t="s">
        <v>769</v>
      </c>
      <c r="I683" s="5" t="s">
        <v>770</v>
      </c>
      <c r="J683" s="5" t="s">
        <v>26</v>
      </c>
      <c r="K683" s="7" t="n">
        <v>1</v>
      </c>
      <c r="L683" s="8" t="s">
        <v>771</v>
      </c>
      <c r="M683" s="4" t="s">
        <v>772</v>
      </c>
      <c r="N683" s="5" t="s">
        <v>1373</v>
      </c>
    </row>
    <row r="684" customFormat="false" ht="23.85" hidden="false" customHeight="false" outlineLevel="0" collapsed="false">
      <c r="A684" s="4" t="s">
        <v>18</v>
      </c>
      <c r="B684" s="5" t="s">
        <v>1374</v>
      </c>
      <c r="C684" s="6" t="s">
        <v>1375</v>
      </c>
      <c r="D684" s="6"/>
      <c r="E684" s="4" t="s">
        <v>763</v>
      </c>
      <c r="F684" s="4" t="s">
        <v>867</v>
      </c>
      <c r="G684" s="6" t="s">
        <v>1376</v>
      </c>
      <c r="H684" s="6" t="s">
        <v>765</v>
      </c>
      <c r="I684" s="5" t="s">
        <v>766</v>
      </c>
      <c r="J684" s="5" t="s">
        <v>26</v>
      </c>
      <c r="K684" s="7" t="n">
        <v>0.6</v>
      </c>
      <c r="L684" s="6"/>
      <c r="M684" s="4" t="s">
        <v>767</v>
      </c>
      <c r="N684" s="5" t="s">
        <v>1377</v>
      </c>
    </row>
    <row r="685" customFormat="false" ht="46.25" hidden="false" customHeight="false" outlineLevel="0" collapsed="false">
      <c r="A685" s="4" t="s">
        <v>18</v>
      </c>
      <c r="B685" s="5" t="s">
        <v>1374</v>
      </c>
      <c r="C685" s="6" t="s">
        <v>1375</v>
      </c>
      <c r="D685" s="6"/>
      <c r="E685" s="4" t="s">
        <v>763</v>
      </c>
      <c r="F685" s="4" t="s">
        <v>867</v>
      </c>
      <c r="G685" s="6" t="s">
        <v>1376</v>
      </c>
      <c r="H685" s="6" t="s">
        <v>769</v>
      </c>
      <c r="I685" s="5" t="s">
        <v>770</v>
      </c>
      <c r="J685" s="5" t="s">
        <v>26</v>
      </c>
      <c r="K685" s="7" t="n">
        <v>1</v>
      </c>
      <c r="L685" s="8" t="s">
        <v>771</v>
      </c>
      <c r="M685" s="4" t="s">
        <v>772</v>
      </c>
      <c r="N685" s="5" t="s">
        <v>1377</v>
      </c>
    </row>
    <row r="686" customFormat="false" ht="23.85" hidden="false" customHeight="false" outlineLevel="0" collapsed="false">
      <c r="A686" s="4" t="s">
        <v>18</v>
      </c>
      <c r="B686" s="5" t="s">
        <v>1378</v>
      </c>
      <c r="C686" s="6" t="s">
        <v>1379</v>
      </c>
      <c r="D686" s="6"/>
      <c r="E686" s="4" t="s">
        <v>763</v>
      </c>
      <c r="F686" s="4" t="s">
        <v>1026</v>
      </c>
      <c r="G686" s="6" t="s">
        <v>1380</v>
      </c>
      <c r="H686" s="6" t="s">
        <v>765</v>
      </c>
      <c r="I686" s="5" t="s">
        <v>766</v>
      </c>
      <c r="J686" s="5" t="s">
        <v>26</v>
      </c>
      <c r="K686" s="7" t="n">
        <v>0.6</v>
      </c>
      <c r="L686" s="6"/>
      <c r="M686" s="4" t="s">
        <v>767</v>
      </c>
      <c r="N686" s="5" t="s">
        <v>1381</v>
      </c>
    </row>
    <row r="687" customFormat="false" ht="46.25" hidden="false" customHeight="false" outlineLevel="0" collapsed="false">
      <c r="A687" s="4" t="s">
        <v>18</v>
      </c>
      <c r="B687" s="5" t="s">
        <v>1378</v>
      </c>
      <c r="C687" s="6" t="s">
        <v>1379</v>
      </c>
      <c r="D687" s="6"/>
      <c r="E687" s="4" t="s">
        <v>763</v>
      </c>
      <c r="F687" s="4" t="s">
        <v>1026</v>
      </c>
      <c r="G687" s="6" t="s">
        <v>1380</v>
      </c>
      <c r="H687" s="6" t="s">
        <v>769</v>
      </c>
      <c r="I687" s="5" t="s">
        <v>770</v>
      </c>
      <c r="J687" s="5" t="s">
        <v>26</v>
      </c>
      <c r="K687" s="7" t="n">
        <v>1</v>
      </c>
      <c r="L687" s="8" t="s">
        <v>771</v>
      </c>
      <c r="M687" s="4" t="s">
        <v>772</v>
      </c>
      <c r="N687" s="5" t="s">
        <v>1381</v>
      </c>
    </row>
    <row r="688" customFormat="false" ht="23.85" hidden="false" customHeight="false" outlineLevel="0" collapsed="false">
      <c r="A688" s="4" t="s">
        <v>18</v>
      </c>
      <c r="B688" s="5" t="s">
        <v>1382</v>
      </c>
      <c r="C688" s="6" t="s">
        <v>41</v>
      </c>
      <c r="D688" s="6"/>
      <c r="E688" s="4" t="s">
        <v>763</v>
      </c>
      <c r="F688" s="4" t="s">
        <v>726</v>
      </c>
      <c r="G688" s="6" t="s">
        <v>1383</v>
      </c>
      <c r="H688" s="6" t="s">
        <v>765</v>
      </c>
      <c r="I688" s="5" t="s">
        <v>766</v>
      </c>
      <c r="J688" s="5" t="s">
        <v>26</v>
      </c>
      <c r="K688" s="7" t="n">
        <v>0.6</v>
      </c>
      <c r="L688" s="6"/>
      <c r="M688" s="4" t="s">
        <v>767</v>
      </c>
      <c r="N688" s="5" t="s">
        <v>1384</v>
      </c>
    </row>
    <row r="689" customFormat="false" ht="46.25" hidden="false" customHeight="false" outlineLevel="0" collapsed="false">
      <c r="A689" s="4" t="s">
        <v>18</v>
      </c>
      <c r="B689" s="5" t="s">
        <v>1382</v>
      </c>
      <c r="C689" s="6" t="s">
        <v>41</v>
      </c>
      <c r="D689" s="6"/>
      <c r="E689" s="4" t="s">
        <v>763</v>
      </c>
      <c r="F689" s="4" t="s">
        <v>726</v>
      </c>
      <c r="G689" s="6" t="s">
        <v>1383</v>
      </c>
      <c r="H689" s="6" t="s">
        <v>769</v>
      </c>
      <c r="I689" s="5" t="s">
        <v>770</v>
      </c>
      <c r="J689" s="5" t="s">
        <v>26</v>
      </c>
      <c r="K689" s="7" t="n">
        <v>1</v>
      </c>
      <c r="L689" s="8" t="s">
        <v>771</v>
      </c>
      <c r="M689" s="4" t="s">
        <v>772</v>
      </c>
      <c r="N689" s="5" t="s">
        <v>1384</v>
      </c>
    </row>
    <row r="690" customFormat="false" ht="23.85" hidden="false" customHeight="false" outlineLevel="0" collapsed="false">
      <c r="A690" s="4" t="s">
        <v>18</v>
      </c>
      <c r="B690" s="5" t="s">
        <v>1385</v>
      </c>
      <c r="C690" s="6" t="s">
        <v>1386</v>
      </c>
      <c r="D690" s="6"/>
      <c r="E690" s="4" t="s">
        <v>763</v>
      </c>
      <c r="F690" s="4" t="s">
        <v>825</v>
      </c>
      <c r="G690" s="6" t="s">
        <v>1387</v>
      </c>
      <c r="H690" s="6" t="s">
        <v>765</v>
      </c>
      <c r="I690" s="5" t="s">
        <v>766</v>
      </c>
      <c r="J690" s="5" t="s">
        <v>26</v>
      </c>
      <c r="K690" s="7" t="n">
        <v>0.6</v>
      </c>
      <c r="L690" s="6"/>
      <c r="M690" s="4" t="s">
        <v>767</v>
      </c>
      <c r="N690" s="5" t="s">
        <v>1388</v>
      </c>
    </row>
    <row r="691" customFormat="false" ht="46.25" hidden="false" customHeight="false" outlineLevel="0" collapsed="false">
      <c r="A691" s="4" t="s">
        <v>18</v>
      </c>
      <c r="B691" s="5" t="s">
        <v>1385</v>
      </c>
      <c r="C691" s="6" t="s">
        <v>1386</v>
      </c>
      <c r="D691" s="6"/>
      <c r="E691" s="4" t="s">
        <v>763</v>
      </c>
      <c r="F691" s="4" t="s">
        <v>825</v>
      </c>
      <c r="G691" s="6" t="s">
        <v>1387</v>
      </c>
      <c r="H691" s="6" t="s">
        <v>769</v>
      </c>
      <c r="I691" s="5" t="s">
        <v>770</v>
      </c>
      <c r="J691" s="5" t="s">
        <v>26</v>
      </c>
      <c r="K691" s="7" t="n">
        <v>1</v>
      </c>
      <c r="L691" s="8" t="s">
        <v>771</v>
      </c>
      <c r="M691" s="4" t="s">
        <v>772</v>
      </c>
      <c r="N691" s="5" t="s">
        <v>1388</v>
      </c>
    </row>
    <row r="692" customFormat="false" ht="23.85" hidden="false" customHeight="false" outlineLevel="0" collapsed="false">
      <c r="A692" s="4" t="s">
        <v>18</v>
      </c>
      <c r="B692" s="5" t="s">
        <v>1389</v>
      </c>
      <c r="C692" s="6" t="s">
        <v>41</v>
      </c>
      <c r="D692" s="6"/>
      <c r="E692" s="4" t="s">
        <v>763</v>
      </c>
      <c r="F692" s="4" t="s">
        <v>1390</v>
      </c>
      <c r="G692" s="6" t="s">
        <v>1391</v>
      </c>
      <c r="H692" s="6" t="s">
        <v>765</v>
      </c>
      <c r="I692" s="5" t="s">
        <v>766</v>
      </c>
      <c r="J692" s="5" t="s">
        <v>26</v>
      </c>
      <c r="K692" s="7" t="n">
        <v>0.6</v>
      </c>
      <c r="L692" s="6"/>
      <c r="M692" s="4" t="s">
        <v>767</v>
      </c>
      <c r="N692" s="5" t="s">
        <v>1392</v>
      </c>
    </row>
    <row r="693" customFormat="false" ht="23.85" hidden="false" customHeight="false" outlineLevel="0" collapsed="false">
      <c r="A693" s="4" t="s">
        <v>18</v>
      </c>
      <c r="B693" s="5" t="s">
        <v>1389</v>
      </c>
      <c r="C693" s="6" t="s">
        <v>41</v>
      </c>
      <c r="D693" s="6"/>
      <c r="E693" s="4" t="s">
        <v>763</v>
      </c>
      <c r="F693" s="4" t="s">
        <v>1393</v>
      </c>
      <c r="G693" s="6" t="s">
        <v>1394</v>
      </c>
      <c r="H693" s="6" t="s">
        <v>765</v>
      </c>
      <c r="I693" s="5" t="s">
        <v>766</v>
      </c>
      <c r="J693" s="5" t="s">
        <v>26</v>
      </c>
      <c r="K693" s="7" t="n">
        <v>0.6</v>
      </c>
      <c r="L693" s="6"/>
      <c r="M693" s="4" t="s">
        <v>767</v>
      </c>
      <c r="N693" s="5" t="s">
        <v>1392</v>
      </c>
    </row>
    <row r="694" customFormat="false" ht="23.85" hidden="false" customHeight="false" outlineLevel="0" collapsed="false">
      <c r="A694" s="4" t="s">
        <v>18</v>
      </c>
      <c r="B694" s="5" t="s">
        <v>1389</v>
      </c>
      <c r="C694" s="6" t="s">
        <v>41</v>
      </c>
      <c r="D694" s="6"/>
      <c r="E694" s="4" t="s">
        <v>763</v>
      </c>
      <c r="F694" s="4" t="s">
        <v>1395</v>
      </c>
      <c r="G694" s="6" t="s">
        <v>1396</v>
      </c>
      <c r="H694" s="6" t="s">
        <v>765</v>
      </c>
      <c r="I694" s="5" t="s">
        <v>766</v>
      </c>
      <c r="J694" s="5" t="s">
        <v>26</v>
      </c>
      <c r="K694" s="7" t="n">
        <v>0.6</v>
      </c>
      <c r="L694" s="6"/>
      <c r="M694" s="4" t="s">
        <v>767</v>
      </c>
      <c r="N694" s="5" t="s">
        <v>1392</v>
      </c>
    </row>
    <row r="695" customFormat="false" ht="23.85" hidden="false" customHeight="false" outlineLevel="0" collapsed="false">
      <c r="A695" s="4" t="s">
        <v>18</v>
      </c>
      <c r="B695" s="5" t="s">
        <v>1389</v>
      </c>
      <c r="C695" s="6" t="s">
        <v>41</v>
      </c>
      <c r="D695" s="6"/>
      <c r="E695" s="4" t="s">
        <v>763</v>
      </c>
      <c r="F695" s="4" t="s">
        <v>1397</v>
      </c>
      <c r="G695" s="6" t="s">
        <v>1398</v>
      </c>
      <c r="H695" s="6" t="s">
        <v>765</v>
      </c>
      <c r="I695" s="5" t="s">
        <v>766</v>
      </c>
      <c r="J695" s="5" t="s">
        <v>26</v>
      </c>
      <c r="K695" s="7" t="n">
        <v>0.6</v>
      </c>
      <c r="L695" s="6"/>
      <c r="M695" s="4" t="s">
        <v>767</v>
      </c>
      <c r="N695" s="5" t="s">
        <v>1392</v>
      </c>
    </row>
    <row r="696" customFormat="false" ht="23.85" hidden="false" customHeight="false" outlineLevel="0" collapsed="false">
      <c r="A696" s="4" t="s">
        <v>18</v>
      </c>
      <c r="B696" s="5" t="s">
        <v>1389</v>
      </c>
      <c r="C696" s="6" t="s">
        <v>41</v>
      </c>
      <c r="D696" s="6"/>
      <c r="E696" s="4" t="s">
        <v>763</v>
      </c>
      <c r="F696" s="4" t="s">
        <v>1399</v>
      </c>
      <c r="G696" s="6" t="s">
        <v>1400</v>
      </c>
      <c r="H696" s="6" t="s">
        <v>765</v>
      </c>
      <c r="I696" s="5" t="s">
        <v>766</v>
      </c>
      <c r="J696" s="5" t="s">
        <v>26</v>
      </c>
      <c r="K696" s="7" t="n">
        <v>0.6</v>
      </c>
      <c r="L696" s="6"/>
      <c r="M696" s="4" t="s">
        <v>767</v>
      </c>
      <c r="N696" s="5" t="s">
        <v>1392</v>
      </c>
    </row>
    <row r="697" customFormat="false" ht="23.85" hidden="false" customHeight="false" outlineLevel="0" collapsed="false">
      <c r="A697" s="4" t="s">
        <v>18</v>
      </c>
      <c r="B697" s="5" t="s">
        <v>1389</v>
      </c>
      <c r="C697" s="6" t="s">
        <v>41</v>
      </c>
      <c r="D697" s="6"/>
      <c r="E697" s="4" t="s">
        <v>763</v>
      </c>
      <c r="F697" s="4" t="s">
        <v>1401</v>
      </c>
      <c r="G697" s="6" t="s">
        <v>1402</v>
      </c>
      <c r="H697" s="6" t="s">
        <v>765</v>
      </c>
      <c r="I697" s="5" t="s">
        <v>766</v>
      </c>
      <c r="J697" s="5" t="s">
        <v>26</v>
      </c>
      <c r="K697" s="7" t="n">
        <v>0.6</v>
      </c>
      <c r="L697" s="6"/>
      <c r="M697" s="4" t="s">
        <v>767</v>
      </c>
      <c r="N697" s="5" t="s">
        <v>1392</v>
      </c>
    </row>
    <row r="698" customFormat="false" ht="46.25" hidden="false" customHeight="false" outlineLevel="0" collapsed="false">
      <c r="A698" s="4" t="s">
        <v>18</v>
      </c>
      <c r="B698" s="5" t="s">
        <v>1389</v>
      </c>
      <c r="C698" s="6" t="s">
        <v>41</v>
      </c>
      <c r="D698" s="6"/>
      <c r="E698" s="4" t="s">
        <v>763</v>
      </c>
      <c r="F698" s="4" t="s">
        <v>1390</v>
      </c>
      <c r="G698" s="6" t="s">
        <v>1391</v>
      </c>
      <c r="H698" s="6" t="s">
        <v>769</v>
      </c>
      <c r="I698" s="5" t="s">
        <v>770</v>
      </c>
      <c r="J698" s="5" t="s">
        <v>26</v>
      </c>
      <c r="K698" s="7" t="n">
        <v>1</v>
      </c>
      <c r="L698" s="8" t="s">
        <v>771</v>
      </c>
      <c r="M698" s="4" t="s">
        <v>772</v>
      </c>
      <c r="N698" s="5" t="s">
        <v>1392</v>
      </c>
    </row>
    <row r="699" customFormat="false" ht="46.25" hidden="false" customHeight="false" outlineLevel="0" collapsed="false">
      <c r="A699" s="4" t="s">
        <v>18</v>
      </c>
      <c r="B699" s="5" t="s">
        <v>1389</v>
      </c>
      <c r="C699" s="6" t="s">
        <v>41</v>
      </c>
      <c r="D699" s="6"/>
      <c r="E699" s="4" t="s">
        <v>763</v>
      </c>
      <c r="F699" s="4" t="s">
        <v>1393</v>
      </c>
      <c r="G699" s="6" t="s">
        <v>1394</v>
      </c>
      <c r="H699" s="6" t="s">
        <v>769</v>
      </c>
      <c r="I699" s="5" t="s">
        <v>770</v>
      </c>
      <c r="J699" s="5" t="s">
        <v>26</v>
      </c>
      <c r="K699" s="7" t="n">
        <v>1</v>
      </c>
      <c r="L699" s="8" t="s">
        <v>771</v>
      </c>
      <c r="M699" s="4" t="s">
        <v>772</v>
      </c>
      <c r="N699" s="5" t="s">
        <v>1392</v>
      </c>
    </row>
    <row r="700" customFormat="false" ht="46.25" hidden="false" customHeight="false" outlineLevel="0" collapsed="false">
      <c r="A700" s="4" t="s">
        <v>18</v>
      </c>
      <c r="B700" s="5" t="s">
        <v>1389</v>
      </c>
      <c r="C700" s="6" t="s">
        <v>41</v>
      </c>
      <c r="D700" s="6"/>
      <c r="E700" s="4" t="s">
        <v>763</v>
      </c>
      <c r="F700" s="4" t="s">
        <v>1395</v>
      </c>
      <c r="G700" s="6" t="s">
        <v>1396</v>
      </c>
      <c r="H700" s="6" t="s">
        <v>769</v>
      </c>
      <c r="I700" s="5" t="s">
        <v>770</v>
      </c>
      <c r="J700" s="5" t="s">
        <v>26</v>
      </c>
      <c r="K700" s="7" t="n">
        <v>1</v>
      </c>
      <c r="L700" s="8" t="s">
        <v>771</v>
      </c>
      <c r="M700" s="4" t="s">
        <v>772</v>
      </c>
      <c r="N700" s="5" t="s">
        <v>1392</v>
      </c>
    </row>
    <row r="701" customFormat="false" ht="46.25" hidden="false" customHeight="false" outlineLevel="0" collapsed="false">
      <c r="A701" s="4" t="s">
        <v>18</v>
      </c>
      <c r="B701" s="5" t="s">
        <v>1389</v>
      </c>
      <c r="C701" s="6" t="s">
        <v>41</v>
      </c>
      <c r="D701" s="6"/>
      <c r="E701" s="4" t="s">
        <v>763</v>
      </c>
      <c r="F701" s="4" t="s">
        <v>1397</v>
      </c>
      <c r="G701" s="6" t="s">
        <v>1398</v>
      </c>
      <c r="H701" s="6" t="s">
        <v>769</v>
      </c>
      <c r="I701" s="5" t="s">
        <v>770</v>
      </c>
      <c r="J701" s="5" t="s">
        <v>26</v>
      </c>
      <c r="K701" s="7" t="n">
        <v>1</v>
      </c>
      <c r="L701" s="8" t="s">
        <v>771</v>
      </c>
      <c r="M701" s="4" t="s">
        <v>772</v>
      </c>
      <c r="N701" s="5" t="s">
        <v>1392</v>
      </c>
    </row>
    <row r="702" customFormat="false" ht="46.25" hidden="false" customHeight="false" outlineLevel="0" collapsed="false">
      <c r="A702" s="4" t="s">
        <v>18</v>
      </c>
      <c r="B702" s="5" t="s">
        <v>1389</v>
      </c>
      <c r="C702" s="6" t="s">
        <v>41</v>
      </c>
      <c r="D702" s="6"/>
      <c r="E702" s="4" t="s">
        <v>763</v>
      </c>
      <c r="F702" s="4" t="s">
        <v>1399</v>
      </c>
      <c r="G702" s="6" t="s">
        <v>1400</v>
      </c>
      <c r="H702" s="6" t="s">
        <v>769</v>
      </c>
      <c r="I702" s="5" t="s">
        <v>770</v>
      </c>
      <c r="J702" s="5" t="s">
        <v>26</v>
      </c>
      <c r="K702" s="7" t="n">
        <v>1</v>
      </c>
      <c r="L702" s="8" t="s">
        <v>771</v>
      </c>
      <c r="M702" s="4" t="s">
        <v>772</v>
      </c>
      <c r="N702" s="5" t="s">
        <v>1392</v>
      </c>
    </row>
    <row r="703" customFormat="false" ht="46.25" hidden="false" customHeight="false" outlineLevel="0" collapsed="false">
      <c r="A703" s="4" t="s">
        <v>18</v>
      </c>
      <c r="B703" s="5" t="s">
        <v>1389</v>
      </c>
      <c r="C703" s="6" t="s">
        <v>41</v>
      </c>
      <c r="D703" s="6"/>
      <c r="E703" s="4" t="s">
        <v>763</v>
      </c>
      <c r="F703" s="4" t="s">
        <v>1401</v>
      </c>
      <c r="G703" s="6" t="s">
        <v>1402</v>
      </c>
      <c r="H703" s="6" t="s">
        <v>769</v>
      </c>
      <c r="I703" s="5" t="s">
        <v>770</v>
      </c>
      <c r="J703" s="5" t="s">
        <v>26</v>
      </c>
      <c r="K703" s="7" t="n">
        <v>1</v>
      </c>
      <c r="L703" s="8" t="s">
        <v>771</v>
      </c>
      <c r="M703" s="4" t="s">
        <v>772</v>
      </c>
      <c r="N703" s="5" t="s">
        <v>1392</v>
      </c>
    </row>
    <row r="704" customFormat="false" ht="23.85" hidden="false" customHeight="false" outlineLevel="0" collapsed="false">
      <c r="A704" s="4" t="s">
        <v>18</v>
      </c>
      <c r="B704" s="5" t="s">
        <v>1403</v>
      </c>
      <c r="C704" s="6" t="s">
        <v>41</v>
      </c>
      <c r="D704" s="6"/>
      <c r="E704" s="4" t="s">
        <v>763</v>
      </c>
      <c r="F704" s="4" t="s">
        <v>848</v>
      </c>
      <c r="G704" s="6" t="s">
        <v>1404</v>
      </c>
      <c r="H704" s="6" t="s">
        <v>765</v>
      </c>
      <c r="I704" s="5" t="s">
        <v>766</v>
      </c>
      <c r="J704" s="5" t="s">
        <v>26</v>
      </c>
      <c r="K704" s="7" t="n">
        <v>0.6</v>
      </c>
      <c r="L704" s="6"/>
      <c r="M704" s="4" t="s">
        <v>767</v>
      </c>
      <c r="N704" s="5" t="s">
        <v>1405</v>
      </c>
    </row>
    <row r="705" customFormat="false" ht="46.25" hidden="false" customHeight="false" outlineLevel="0" collapsed="false">
      <c r="A705" s="4" t="s">
        <v>18</v>
      </c>
      <c r="B705" s="5" t="s">
        <v>1403</v>
      </c>
      <c r="C705" s="6" t="s">
        <v>41</v>
      </c>
      <c r="D705" s="6"/>
      <c r="E705" s="4" t="s">
        <v>763</v>
      </c>
      <c r="F705" s="4" t="s">
        <v>848</v>
      </c>
      <c r="G705" s="6" t="s">
        <v>1404</v>
      </c>
      <c r="H705" s="6" t="s">
        <v>769</v>
      </c>
      <c r="I705" s="5" t="s">
        <v>770</v>
      </c>
      <c r="J705" s="5" t="s">
        <v>26</v>
      </c>
      <c r="K705" s="7" t="n">
        <v>1</v>
      </c>
      <c r="L705" s="8" t="s">
        <v>771</v>
      </c>
      <c r="M705" s="4" t="s">
        <v>772</v>
      </c>
      <c r="N705" s="5" t="s">
        <v>1405</v>
      </c>
    </row>
    <row r="706" customFormat="false" ht="23.85" hidden="false" customHeight="false" outlineLevel="0" collapsed="false">
      <c r="A706" s="4" t="s">
        <v>18</v>
      </c>
      <c r="B706" s="5" t="s">
        <v>1406</v>
      </c>
      <c r="C706" s="6" t="s">
        <v>1407</v>
      </c>
      <c r="D706" s="6"/>
      <c r="E706" s="4" t="s">
        <v>763</v>
      </c>
      <c r="F706" s="4" t="s">
        <v>827</v>
      </c>
      <c r="G706" s="6" t="s">
        <v>1408</v>
      </c>
      <c r="H706" s="6" t="s">
        <v>765</v>
      </c>
      <c r="I706" s="5" t="s">
        <v>766</v>
      </c>
      <c r="J706" s="5" t="s">
        <v>26</v>
      </c>
      <c r="K706" s="7" t="n">
        <v>0.6</v>
      </c>
      <c r="L706" s="6"/>
      <c r="M706" s="4" t="s">
        <v>767</v>
      </c>
      <c r="N706" s="5" t="s">
        <v>1409</v>
      </c>
    </row>
    <row r="707" customFormat="false" ht="46.25" hidden="false" customHeight="false" outlineLevel="0" collapsed="false">
      <c r="A707" s="4" t="s">
        <v>18</v>
      </c>
      <c r="B707" s="5" t="s">
        <v>1406</v>
      </c>
      <c r="C707" s="6" t="s">
        <v>1407</v>
      </c>
      <c r="D707" s="6"/>
      <c r="E707" s="4" t="s">
        <v>763</v>
      </c>
      <c r="F707" s="4" t="s">
        <v>827</v>
      </c>
      <c r="G707" s="6" t="s">
        <v>1408</v>
      </c>
      <c r="H707" s="6" t="s">
        <v>769</v>
      </c>
      <c r="I707" s="5" t="s">
        <v>770</v>
      </c>
      <c r="J707" s="5" t="s">
        <v>26</v>
      </c>
      <c r="K707" s="7" t="n">
        <v>1</v>
      </c>
      <c r="L707" s="8" t="s">
        <v>771</v>
      </c>
      <c r="M707" s="4" t="s">
        <v>772</v>
      </c>
      <c r="N707" s="5" t="s">
        <v>1409</v>
      </c>
    </row>
    <row r="708" customFormat="false" ht="23.85" hidden="false" customHeight="false" outlineLevel="0" collapsed="false">
      <c r="A708" s="4" t="s">
        <v>18</v>
      </c>
      <c r="B708" s="5" t="s">
        <v>1410</v>
      </c>
      <c r="C708" s="6" t="s">
        <v>41</v>
      </c>
      <c r="D708" s="6"/>
      <c r="E708" s="4" t="s">
        <v>763</v>
      </c>
      <c r="F708" s="4" t="s">
        <v>1411</v>
      </c>
      <c r="G708" s="6" t="s">
        <v>1412</v>
      </c>
      <c r="H708" s="6" t="s">
        <v>765</v>
      </c>
      <c r="I708" s="5" t="s">
        <v>766</v>
      </c>
      <c r="J708" s="5" t="s">
        <v>26</v>
      </c>
      <c r="K708" s="7" t="n">
        <v>0.6</v>
      </c>
      <c r="L708" s="6"/>
      <c r="M708" s="4" t="s">
        <v>767</v>
      </c>
      <c r="N708" s="5" t="s">
        <v>1413</v>
      </c>
    </row>
    <row r="709" customFormat="false" ht="46.25" hidden="false" customHeight="false" outlineLevel="0" collapsed="false">
      <c r="A709" s="4" t="s">
        <v>18</v>
      </c>
      <c r="B709" s="5" t="s">
        <v>1410</v>
      </c>
      <c r="C709" s="6" t="s">
        <v>41</v>
      </c>
      <c r="D709" s="6"/>
      <c r="E709" s="4" t="s">
        <v>763</v>
      </c>
      <c r="F709" s="4" t="s">
        <v>1411</v>
      </c>
      <c r="G709" s="6" t="s">
        <v>1412</v>
      </c>
      <c r="H709" s="6" t="s">
        <v>769</v>
      </c>
      <c r="I709" s="5" t="s">
        <v>770</v>
      </c>
      <c r="J709" s="5" t="s">
        <v>26</v>
      </c>
      <c r="K709" s="7" t="n">
        <v>1</v>
      </c>
      <c r="L709" s="8" t="s">
        <v>771</v>
      </c>
      <c r="M709" s="4" t="s">
        <v>772</v>
      </c>
      <c r="N709" s="5" t="s">
        <v>1413</v>
      </c>
    </row>
    <row r="710" customFormat="false" ht="23.85" hidden="false" customHeight="false" outlineLevel="0" collapsed="false">
      <c r="A710" s="4" t="s">
        <v>18</v>
      </c>
      <c r="B710" s="5" t="s">
        <v>1414</v>
      </c>
      <c r="C710" s="6" t="s">
        <v>41</v>
      </c>
      <c r="D710" s="6"/>
      <c r="E710" s="4" t="s">
        <v>763</v>
      </c>
      <c r="F710" s="4" t="s">
        <v>1411</v>
      </c>
      <c r="G710" s="6" t="s">
        <v>1412</v>
      </c>
      <c r="H710" s="6" t="s">
        <v>765</v>
      </c>
      <c r="I710" s="5" t="s">
        <v>766</v>
      </c>
      <c r="J710" s="5" t="s">
        <v>26</v>
      </c>
      <c r="K710" s="7" t="n">
        <v>0.6</v>
      </c>
      <c r="L710" s="6"/>
      <c r="M710" s="4" t="s">
        <v>767</v>
      </c>
      <c r="N710" s="5" t="s">
        <v>1415</v>
      </c>
    </row>
    <row r="711" customFormat="false" ht="35.05" hidden="false" customHeight="false" outlineLevel="0" collapsed="false">
      <c r="A711" s="4" t="s">
        <v>18</v>
      </c>
      <c r="B711" s="5" t="s">
        <v>1414</v>
      </c>
      <c r="C711" s="6" t="s">
        <v>41</v>
      </c>
      <c r="D711" s="6"/>
      <c r="E711" s="4" t="s">
        <v>763</v>
      </c>
      <c r="F711" s="4" t="s">
        <v>928</v>
      </c>
      <c r="G711" s="6" t="s">
        <v>1416</v>
      </c>
      <c r="H711" s="6" t="s">
        <v>765</v>
      </c>
      <c r="I711" s="5" t="s">
        <v>766</v>
      </c>
      <c r="J711" s="5" t="s">
        <v>26</v>
      </c>
      <c r="K711" s="7" t="n">
        <v>0.6</v>
      </c>
      <c r="L711" s="6"/>
      <c r="M711" s="4" t="s">
        <v>767</v>
      </c>
      <c r="N711" s="5" t="s">
        <v>1415</v>
      </c>
    </row>
    <row r="712" customFormat="false" ht="46.25" hidden="false" customHeight="false" outlineLevel="0" collapsed="false">
      <c r="A712" s="4" t="s">
        <v>18</v>
      </c>
      <c r="B712" s="5" t="s">
        <v>1414</v>
      </c>
      <c r="C712" s="6" t="s">
        <v>41</v>
      </c>
      <c r="D712" s="6"/>
      <c r="E712" s="4" t="s">
        <v>763</v>
      </c>
      <c r="F712" s="4" t="s">
        <v>1411</v>
      </c>
      <c r="G712" s="6" t="s">
        <v>1412</v>
      </c>
      <c r="H712" s="6" t="s">
        <v>769</v>
      </c>
      <c r="I712" s="5" t="s">
        <v>770</v>
      </c>
      <c r="J712" s="5" t="s">
        <v>26</v>
      </c>
      <c r="K712" s="7" t="n">
        <v>1</v>
      </c>
      <c r="L712" s="8" t="s">
        <v>771</v>
      </c>
      <c r="M712" s="4" t="s">
        <v>772</v>
      </c>
      <c r="N712" s="5" t="s">
        <v>1415</v>
      </c>
    </row>
    <row r="713" customFormat="false" ht="46.25" hidden="false" customHeight="false" outlineLevel="0" collapsed="false">
      <c r="A713" s="4" t="s">
        <v>18</v>
      </c>
      <c r="B713" s="5" t="s">
        <v>1414</v>
      </c>
      <c r="C713" s="6" t="s">
        <v>41</v>
      </c>
      <c r="D713" s="6"/>
      <c r="E713" s="4" t="s">
        <v>763</v>
      </c>
      <c r="F713" s="4" t="s">
        <v>928</v>
      </c>
      <c r="G713" s="6" t="s">
        <v>1416</v>
      </c>
      <c r="H713" s="6" t="s">
        <v>769</v>
      </c>
      <c r="I713" s="5" t="s">
        <v>770</v>
      </c>
      <c r="J713" s="5" t="s">
        <v>26</v>
      </c>
      <c r="K713" s="7" t="n">
        <v>1</v>
      </c>
      <c r="L713" s="8" t="s">
        <v>771</v>
      </c>
      <c r="M713" s="4" t="s">
        <v>772</v>
      </c>
      <c r="N713" s="5" t="s">
        <v>1415</v>
      </c>
    </row>
    <row r="714" customFormat="false" ht="23.85" hidden="false" customHeight="false" outlineLevel="0" collapsed="false">
      <c r="A714" s="4" t="s">
        <v>18</v>
      </c>
      <c r="B714" s="5" t="s">
        <v>1417</v>
      </c>
      <c r="C714" s="6" t="s">
        <v>1418</v>
      </c>
      <c r="D714" s="6"/>
      <c r="E714" s="4" t="s">
        <v>763</v>
      </c>
      <c r="F714" s="4" t="s">
        <v>829</v>
      </c>
      <c r="G714" s="6" t="s">
        <v>1419</v>
      </c>
      <c r="H714" s="6" t="s">
        <v>765</v>
      </c>
      <c r="I714" s="5" t="s">
        <v>766</v>
      </c>
      <c r="J714" s="5" t="s">
        <v>26</v>
      </c>
      <c r="K714" s="7" t="n">
        <v>0.6</v>
      </c>
      <c r="L714" s="6"/>
      <c r="M714" s="4" t="s">
        <v>767</v>
      </c>
      <c r="N714" s="5" t="s">
        <v>1420</v>
      </c>
    </row>
    <row r="715" customFormat="false" ht="46.25" hidden="false" customHeight="false" outlineLevel="0" collapsed="false">
      <c r="A715" s="4" t="s">
        <v>18</v>
      </c>
      <c r="B715" s="5" t="s">
        <v>1417</v>
      </c>
      <c r="C715" s="6" t="s">
        <v>1418</v>
      </c>
      <c r="D715" s="6"/>
      <c r="E715" s="4" t="s">
        <v>763</v>
      </c>
      <c r="F715" s="4" t="s">
        <v>829</v>
      </c>
      <c r="G715" s="6" t="s">
        <v>1419</v>
      </c>
      <c r="H715" s="6" t="s">
        <v>769</v>
      </c>
      <c r="I715" s="5" t="s">
        <v>770</v>
      </c>
      <c r="J715" s="5" t="s">
        <v>26</v>
      </c>
      <c r="K715" s="7" t="n">
        <v>1</v>
      </c>
      <c r="L715" s="8" t="s">
        <v>771</v>
      </c>
      <c r="M715" s="4" t="s">
        <v>772</v>
      </c>
      <c r="N715" s="5" t="s">
        <v>1420</v>
      </c>
    </row>
    <row r="716" customFormat="false" ht="23.85" hidden="false" customHeight="false" outlineLevel="0" collapsed="false">
      <c r="A716" s="4" t="s">
        <v>18</v>
      </c>
      <c r="B716" s="5" t="s">
        <v>1421</v>
      </c>
      <c r="C716" s="6" t="s">
        <v>41</v>
      </c>
      <c r="D716" s="6"/>
      <c r="E716" s="4" t="s">
        <v>763</v>
      </c>
      <c r="F716" s="4" t="s">
        <v>805</v>
      </c>
      <c r="G716" s="6" t="s">
        <v>1422</v>
      </c>
      <c r="H716" s="6" t="s">
        <v>765</v>
      </c>
      <c r="I716" s="5" t="s">
        <v>766</v>
      </c>
      <c r="J716" s="5" t="s">
        <v>26</v>
      </c>
      <c r="K716" s="7" t="n">
        <v>0.6</v>
      </c>
      <c r="L716" s="6"/>
      <c r="M716" s="4" t="s">
        <v>767</v>
      </c>
      <c r="N716" s="5" t="s">
        <v>1423</v>
      </c>
    </row>
    <row r="717" customFormat="false" ht="46.25" hidden="false" customHeight="false" outlineLevel="0" collapsed="false">
      <c r="A717" s="4" t="s">
        <v>18</v>
      </c>
      <c r="B717" s="5" t="s">
        <v>1421</v>
      </c>
      <c r="C717" s="6" t="s">
        <v>41</v>
      </c>
      <c r="D717" s="6"/>
      <c r="E717" s="4" t="s">
        <v>763</v>
      </c>
      <c r="F717" s="4" t="s">
        <v>805</v>
      </c>
      <c r="G717" s="6" t="s">
        <v>1422</v>
      </c>
      <c r="H717" s="6" t="s">
        <v>769</v>
      </c>
      <c r="I717" s="5" t="s">
        <v>770</v>
      </c>
      <c r="J717" s="5" t="s">
        <v>26</v>
      </c>
      <c r="K717" s="7" t="n">
        <v>1</v>
      </c>
      <c r="L717" s="8" t="s">
        <v>771</v>
      </c>
      <c r="M717" s="4" t="s">
        <v>772</v>
      </c>
      <c r="N717" s="5" t="s">
        <v>1423</v>
      </c>
    </row>
    <row r="718" customFormat="false" ht="23.85" hidden="false" customHeight="false" outlineLevel="0" collapsed="false">
      <c r="A718" s="4" t="s">
        <v>18</v>
      </c>
      <c r="B718" s="5" t="s">
        <v>1424</v>
      </c>
      <c r="C718" s="6" t="s">
        <v>41</v>
      </c>
      <c r="D718" s="6"/>
      <c r="E718" s="4" t="s">
        <v>763</v>
      </c>
      <c r="F718" s="4" t="s">
        <v>774</v>
      </c>
      <c r="G718" s="6" t="s">
        <v>1425</v>
      </c>
      <c r="H718" s="6" t="s">
        <v>765</v>
      </c>
      <c r="I718" s="5" t="s">
        <v>766</v>
      </c>
      <c r="J718" s="5" t="s">
        <v>26</v>
      </c>
      <c r="K718" s="7" t="n">
        <v>0.6</v>
      </c>
      <c r="L718" s="6"/>
      <c r="M718" s="4" t="s">
        <v>767</v>
      </c>
      <c r="N718" s="5" t="s">
        <v>1426</v>
      </c>
    </row>
    <row r="719" customFormat="false" ht="46.25" hidden="false" customHeight="false" outlineLevel="0" collapsed="false">
      <c r="A719" s="4" t="s">
        <v>18</v>
      </c>
      <c r="B719" s="5" t="s">
        <v>1424</v>
      </c>
      <c r="C719" s="6" t="s">
        <v>41</v>
      </c>
      <c r="D719" s="6"/>
      <c r="E719" s="4" t="s">
        <v>763</v>
      </c>
      <c r="F719" s="4" t="s">
        <v>774</v>
      </c>
      <c r="G719" s="6" t="s">
        <v>1425</v>
      </c>
      <c r="H719" s="6" t="s">
        <v>769</v>
      </c>
      <c r="I719" s="5" t="s">
        <v>770</v>
      </c>
      <c r="J719" s="5" t="s">
        <v>26</v>
      </c>
      <c r="K719" s="7" t="n">
        <v>1</v>
      </c>
      <c r="L719" s="8" t="s">
        <v>771</v>
      </c>
      <c r="M719" s="4" t="s">
        <v>772</v>
      </c>
      <c r="N719" s="5" t="s">
        <v>1426</v>
      </c>
    </row>
    <row r="720" customFormat="false" ht="23.85" hidden="false" customHeight="false" outlineLevel="0" collapsed="false">
      <c r="A720" s="4" t="s">
        <v>18</v>
      </c>
      <c r="B720" s="5" t="s">
        <v>1427</v>
      </c>
      <c r="C720" s="6" t="s">
        <v>41</v>
      </c>
      <c r="D720" s="6"/>
      <c r="E720" s="4" t="s">
        <v>1348</v>
      </c>
      <c r="F720" s="4" t="s">
        <v>22</v>
      </c>
      <c r="G720" s="6" t="s">
        <v>1428</v>
      </c>
      <c r="H720" s="6" t="s">
        <v>769</v>
      </c>
      <c r="I720" s="5" t="s">
        <v>1350</v>
      </c>
      <c r="J720" s="5" t="s">
        <v>26</v>
      </c>
      <c r="K720" s="7" t="n">
        <v>1</v>
      </c>
      <c r="L720" s="6"/>
      <c r="M720" s="4" t="s">
        <v>1351</v>
      </c>
      <c r="N720" s="5" t="s">
        <v>1429</v>
      </c>
    </row>
    <row r="721" customFormat="false" ht="23.85" hidden="false" customHeight="false" outlineLevel="0" collapsed="false">
      <c r="A721" s="4" t="s">
        <v>18</v>
      </c>
      <c r="B721" s="5" t="s">
        <v>1427</v>
      </c>
      <c r="C721" s="6" t="s">
        <v>41</v>
      </c>
      <c r="D721" s="6"/>
      <c r="E721" s="4" t="s">
        <v>763</v>
      </c>
      <c r="F721" s="4" t="s">
        <v>264</v>
      </c>
      <c r="G721" s="6" t="s">
        <v>1430</v>
      </c>
      <c r="H721" s="6" t="s">
        <v>765</v>
      </c>
      <c r="I721" s="5" t="s">
        <v>766</v>
      </c>
      <c r="J721" s="5" t="s">
        <v>26</v>
      </c>
      <c r="K721" s="7" t="n">
        <v>0.6</v>
      </c>
      <c r="L721" s="6"/>
      <c r="M721" s="4" t="s">
        <v>767</v>
      </c>
      <c r="N721" s="5" t="s">
        <v>1429</v>
      </c>
    </row>
    <row r="722" customFormat="false" ht="46.25" hidden="false" customHeight="false" outlineLevel="0" collapsed="false">
      <c r="A722" s="4" t="s">
        <v>18</v>
      </c>
      <c r="B722" s="5" t="s">
        <v>1427</v>
      </c>
      <c r="C722" s="6" t="s">
        <v>41</v>
      </c>
      <c r="D722" s="6"/>
      <c r="E722" s="4" t="s">
        <v>763</v>
      </c>
      <c r="F722" s="4" t="s">
        <v>264</v>
      </c>
      <c r="G722" s="6" t="s">
        <v>1430</v>
      </c>
      <c r="H722" s="6" t="s">
        <v>769</v>
      </c>
      <c r="I722" s="5" t="s">
        <v>770</v>
      </c>
      <c r="J722" s="5" t="s">
        <v>26</v>
      </c>
      <c r="K722" s="7" t="n">
        <v>1</v>
      </c>
      <c r="L722" s="8" t="s">
        <v>771</v>
      </c>
      <c r="M722" s="4" t="s">
        <v>772</v>
      </c>
      <c r="N722" s="5" t="s">
        <v>1429</v>
      </c>
    </row>
    <row r="723" customFormat="false" ht="23.85" hidden="false" customHeight="false" outlineLevel="0" collapsed="false">
      <c r="A723" s="4" t="s">
        <v>18</v>
      </c>
      <c r="B723" s="5" t="s">
        <v>1431</v>
      </c>
      <c r="C723" s="6" t="s">
        <v>41</v>
      </c>
      <c r="D723" s="6"/>
      <c r="E723" s="4" t="s">
        <v>763</v>
      </c>
      <c r="F723" s="4" t="s">
        <v>885</v>
      </c>
      <c r="G723" s="6" t="s">
        <v>1432</v>
      </c>
      <c r="H723" s="6" t="s">
        <v>765</v>
      </c>
      <c r="I723" s="5" t="s">
        <v>766</v>
      </c>
      <c r="J723" s="5" t="s">
        <v>26</v>
      </c>
      <c r="K723" s="7" t="n">
        <v>0.6</v>
      </c>
      <c r="L723" s="6"/>
      <c r="M723" s="4" t="s">
        <v>767</v>
      </c>
      <c r="N723" s="5" t="s">
        <v>1433</v>
      </c>
    </row>
    <row r="724" customFormat="false" ht="46.25" hidden="false" customHeight="false" outlineLevel="0" collapsed="false">
      <c r="A724" s="4" t="s">
        <v>18</v>
      </c>
      <c r="B724" s="5" t="s">
        <v>1431</v>
      </c>
      <c r="C724" s="6" t="s">
        <v>41</v>
      </c>
      <c r="D724" s="6"/>
      <c r="E724" s="4" t="s">
        <v>763</v>
      </c>
      <c r="F724" s="4" t="s">
        <v>885</v>
      </c>
      <c r="G724" s="6" t="s">
        <v>1432</v>
      </c>
      <c r="H724" s="6" t="s">
        <v>769</v>
      </c>
      <c r="I724" s="5" t="s">
        <v>770</v>
      </c>
      <c r="J724" s="5" t="s">
        <v>26</v>
      </c>
      <c r="K724" s="7" t="n">
        <v>1</v>
      </c>
      <c r="L724" s="8" t="s">
        <v>771</v>
      </c>
      <c r="M724" s="4" t="s">
        <v>772</v>
      </c>
      <c r="N724" s="5" t="s">
        <v>1433</v>
      </c>
    </row>
    <row r="725" customFormat="false" ht="23.85" hidden="false" customHeight="false" outlineLevel="0" collapsed="false">
      <c r="A725" s="4" t="s">
        <v>18</v>
      </c>
      <c r="B725" s="5" t="s">
        <v>1434</v>
      </c>
      <c r="C725" s="6" t="s">
        <v>41</v>
      </c>
      <c r="D725" s="6"/>
      <c r="E725" s="4" t="s">
        <v>763</v>
      </c>
      <c r="F725" s="4" t="s">
        <v>526</v>
      </c>
      <c r="G725" s="6" t="s">
        <v>1435</v>
      </c>
      <c r="H725" s="6" t="s">
        <v>765</v>
      </c>
      <c r="I725" s="5" t="s">
        <v>766</v>
      </c>
      <c r="J725" s="5" t="s">
        <v>26</v>
      </c>
      <c r="K725" s="7" t="n">
        <v>0.6</v>
      </c>
      <c r="L725" s="6"/>
      <c r="M725" s="4" t="s">
        <v>767</v>
      </c>
      <c r="N725" s="5" t="s">
        <v>1436</v>
      </c>
    </row>
    <row r="726" customFormat="false" ht="23.85" hidden="false" customHeight="false" outlineLevel="0" collapsed="false">
      <c r="A726" s="4" t="s">
        <v>18</v>
      </c>
      <c r="B726" s="5" t="s">
        <v>1434</v>
      </c>
      <c r="C726" s="6" t="s">
        <v>41</v>
      </c>
      <c r="D726" s="6"/>
      <c r="E726" s="4" t="s">
        <v>763</v>
      </c>
      <c r="F726" s="4" t="s">
        <v>875</v>
      </c>
      <c r="G726" s="6" t="s">
        <v>1437</v>
      </c>
      <c r="H726" s="6" t="s">
        <v>765</v>
      </c>
      <c r="I726" s="5" t="s">
        <v>766</v>
      </c>
      <c r="J726" s="5" t="s">
        <v>26</v>
      </c>
      <c r="K726" s="7" t="n">
        <v>0.6</v>
      </c>
      <c r="L726" s="6"/>
      <c r="M726" s="4" t="s">
        <v>767</v>
      </c>
      <c r="N726" s="5" t="s">
        <v>1436</v>
      </c>
    </row>
    <row r="727" customFormat="false" ht="46.25" hidden="false" customHeight="false" outlineLevel="0" collapsed="false">
      <c r="A727" s="4" t="s">
        <v>18</v>
      </c>
      <c r="B727" s="5" t="s">
        <v>1434</v>
      </c>
      <c r="C727" s="6" t="s">
        <v>41</v>
      </c>
      <c r="D727" s="6"/>
      <c r="E727" s="4" t="s">
        <v>763</v>
      </c>
      <c r="F727" s="4" t="s">
        <v>526</v>
      </c>
      <c r="G727" s="6" t="s">
        <v>1435</v>
      </c>
      <c r="H727" s="6" t="s">
        <v>769</v>
      </c>
      <c r="I727" s="5" t="s">
        <v>770</v>
      </c>
      <c r="J727" s="5" t="s">
        <v>26</v>
      </c>
      <c r="K727" s="7" t="n">
        <v>1</v>
      </c>
      <c r="L727" s="8" t="s">
        <v>771</v>
      </c>
      <c r="M727" s="4" t="s">
        <v>772</v>
      </c>
      <c r="N727" s="5" t="s">
        <v>1436</v>
      </c>
    </row>
    <row r="728" customFormat="false" ht="46.25" hidden="false" customHeight="false" outlineLevel="0" collapsed="false">
      <c r="A728" s="4" t="s">
        <v>18</v>
      </c>
      <c r="B728" s="5" t="s">
        <v>1434</v>
      </c>
      <c r="C728" s="6" t="s">
        <v>41</v>
      </c>
      <c r="D728" s="6"/>
      <c r="E728" s="4" t="s">
        <v>763</v>
      </c>
      <c r="F728" s="4" t="s">
        <v>875</v>
      </c>
      <c r="G728" s="6" t="s">
        <v>1437</v>
      </c>
      <c r="H728" s="6" t="s">
        <v>769</v>
      </c>
      <c r="I728" s="5" t="s">
        <v>770</v>
      </c>
      <c r="J728" s="5" t="s">
        <v>26</v>
      </c>
      <c r="K728" s="7" t="n">
        <v>1</v>
      </c>
      <c r="L728" s="8" t="s">
        <v>771</v>
      </c>
      <c r="M728" s="4" t="s">
        <v>772</v>
      </c>
      <c r="N728" s="5" t="s">
        <v>1436</v>
      </c>
    </row>
    <row r="729" customFormat="false" ht="23.85" hidden="false" customHeight="false" outlineLevel="0" collapsed="false">
      <c r="A729" s="4" t="s">
        <v>18</v>
      </c>
      <c r="B729" s="5" t="s">
        <v>1438</v>
      </c>
      <c r="C729" s="6" t="s">
        <v>41</v>
      </c>
      <c r="D729" s="6"/>
      <c r="E729" s="4" t="s">
        <v>763</v>
      </c>
      <c r="F729" s="4" t="s">
        <v>858</v>
      </c>
      <c r="G729" s="6" t="s">
        <v>1439</v>
      </c>
      <c r="H729" s="6" t="s">
        <v>765</v>
      </c>
      <c r="I729" s="5" t="s">
        <v>766</v>
      </c>
      <c r="J729" s="5" t="s">
        <v>26</v>
      </c>
      <c r="K729" s="7" t="n">
        <v>0.6</v>
      </c>
      <c r="L729" s="6"/>
      <c r="M729" s="4" t="s">
        <v>767</v>
      </c>
      <c r="N729" s="5" t="s">
        <v>1440</v>
      </c>
    </row>
    <row r="730" customFormat="false" ht="46.25" hidden="false" customHeight="false" outlineLevel="0" collapsed="false">
      <c r="A730" s="4" t="s">
        <v>18</v>
      </c>
      <c r="B730" s="5" t="s">
        <v>1438</v>
      </c>
      <c r="C730" s="6" t="s">
        <v>41</v>
      </c>
      <c r="D730" s="6"/>
      <c r="E730" s="4" t="s">
        <v>763</v>
      </c>
      <c r="F730" s="4" t="s">
        <v>858</v>
      </c>
      <c r="G730" s="6" t="s">
        <v>1439</v>
      </c>
      <c r="H730" s="6" t="s">
        <v>769</v>
      </c>
      <c r="I730" s="5" t="s">
        <v>770</v>
      </c>
      <c r="J730" s="5" t="s">
        <v>26</v>
      </c>
      <c r="K730" s="7" t="n">
        <v>1</v>
      </c>
      <c r="L730" s="8" t="s">
        <v>771</v>
      </c>
      <c r="M730" s="4" t="s">
        <v>772</v>
      </c>
      <c r="N730" s="5" t="s">
        <v>1440</v>
      </c>
    </row>
    <row r="731" customFormat="false" ht="23.85" hidden="false" customHeight="false" outlineLevel="0" collapsed="false">
      <c r="A731" s="4" t="s">
        <v>18</v>
      </c>
      <c r="B731" s="5" t="s">
        <v>1441</v>
      </c>
      <c r="C731" s="6" t="s">
        <v>41</v>
      </c>
      <c r="D731" s="6"/>
      <c r="E731" s="4" t="s">
        <v>1348</v>
      </c>
      <c r="F731" s="4" t="s">
        <v>488</v>
      </c>
      <c r="G731" s="6" t="s">
        <v>1442</v>
      </c>
      <c r="H731" s="6" t="s">
        <v>769</v>
      </c>
      <c r="I731" s="5" t="s">
        <v>1350</v>
      </c>
      <c r="J731" s="5" t="s">
        <v>26</v>
      </c>
      <c r="K731" s="7" t="n">
        <v>1</v>
      </c>
      <c r="L731" s="6"/>
      <c r="M731" s="4" t="s">
        <v>1351</v>
      </c>
      <c r="N731" s="5" t="s">
        <v>1443</v>
      </c>
    </row>
    <row r="732" customFormat="false" ht="23.85" hidden="false" customHeight="false" outlineLevel="0" collapsed="false">
      <c r="A732" s="4" t="s">
        <v>18</v>
      </c>
      <c r="B732" s="5" t="s">
        <v>1441</v>
      </c>
      <c r="C732" s="6" t="s">
        <v>41</v>
      </c>
      <c r="D732" s="6"/>
      <c r="E732" s="4" t="s">
        <v>763</v>
      </c>
      <c r="F732" s="4" t="s">
        <v>1444</v>
      </c>
      <c r="G732" s="6" t="s">
        <v>1445</v>
      </c>
      <c r="H732" s="6" t="s">
        <v>765</v>
      </c>
      <c r="I732" s="5" t="s">
        <v>766</v>
      </c>
      <c r="J732" s="5" t="s">
        <v>26</v>
      </c>
      <c r="K732" s="7" t="n">
        <v>0.6</v>
      </c>
      <c r="L732" s="6"/>
      <c r="M732" s="4" t="s">
        <v>767</v>
      </c>
      <c r="N732" s="5" t="s">
        <v>1443</v>
      </c>
    </row>
    <row r="733" customFormat="false" ht="23.85" hidden="false" customHeight="false" outlineLevel="0" collapsed="false">
      <c r="A733" s="4" t="s">
        <v>18</v>
      </c>
      <c r="B733" s="5" t="s">
        <v>1441</v>
      </c>
      <c r="C733" s="6" t="s">
        <v>41</v>
      </c>
      <c r="D733" s="6"/>
      <c r="E733" s="4" t="s">
        <v>763</v>
      </c>
      <c r="F733" s="4" t="s">
        <v>172</v>
      </c>
      <c r="G733" s="6" t="s">
        <v>1446</v>
      </c>
      <c r="H733" s="6" t="s">
        <v>765</v>
      </c>
      <c r="I733" s="5" t="s">
        <v>766</v>
      </c>
      <c r="J733" s="5" t="s">
        <v>26</v>
      </c>
      <c r="K733" s="7" t="n">
        <v>0.6</v>
      </c>
      <c r="L733" s="6"/>
      <c r="M733" s="4" t="s">
        <v>767</v>
      </c>
      <c r="N733" s="5" t="s">
        <v>1443</v>
      </c>
    </row>
    <row r="734" customFormat="false" ht="23.85" hidden="false" customHeight="false" outlineLevel="0" collapsed="false">
      <c r="A734" s="4" t="s">
        <v>18</v>
      </c>
      <c r="B734" s="5" t="s">
        <v>1441</v>
      </c>
      <c r="C734" s="6" t="s">
        <v>41</v>
      </c>
      <c r="D734" s="6"/>
      <c r="E734" s="4" t="s">
        <v>763</v>
      </c>
      <c r="F734" s="4" t="s">
        <v>1004</v>
      </c>
      <c r="G734" s="6" t="s">
        <v>1447</v>
      </c>
      <c r="H734" s="6" t="s">
        <v>765</v>
      </c>
      <c r="I734" s="5" t="s">
        <v>766</v>
      </c>
      <c r="J734" s="5" t="s">
        <v>26</v>
      </c>
      <c r="K734" s="7" t="n">
        <v>0.6</v>
      </c>
      <c r="L734" s="6"/>
      <c r="M734" s="4" t="s">
        <v>767</v>
      </c>
      <c r="N734" s="5" t="s">
        <v>1443</v>
      </c>
    </row>
    <row r="735" customFormat="false" ht="23.85" hidden="false" customHeight="false" outlineLevel="0" collapsed="false">
      <c r="A735" s="4" t="s">
        <v>18</v>
      </c>
      <c r="B735" s="5" t="s">
        <v>1441</v>
      </c>
      <c r="C735" s="6" t="s">
        <v>41</v>
      </c>
      <c r="D735" s="6"/>
      <c r="E735" s="4" t="s">
        <v>763</v>
      </c>
      <c r="F735" s="4" t="s">
        <v>663</v>
      </c>
      <c r="G735" s="6" t="s">
        <v>1448</v>
      </c>
      <c r="H735" s="6" t="s">
        <v>765</v>
      </c>
      <c r="I735" s="5" t="s">
        <v>766</v>
      </c>
      <c r="J735" s="5" t="s">
        <v>26</v>
      </c>
      <c r="K735" s="7" t="n">
        <v>0.6</v>
      </c>
      <c r="L735" s="6"/>
      <c r="M735" s="4" t="s">
        <v>767</v>
      </c>
      <c r="N735" s="5" t="s">
        <v>1443</v>
      </c>
    </row>
    <row r="736" customFormat="false" ht="23.85" hidden="false" customHeight="false" outlineLevel="0" collapsed="false">
      <c r="A736" s="4" t="s">
        <v>18</v>
      </c>
      <c r="B736" s="5" t="s">
        <v>1441</v>
      </c>
      <c r="C736" s="6" t="s">
        <v>41</v>
      </c>
      <c r="D736" s="6"/>
      <c r="E736" s="4" t="s">
        <v>763</v>
      </c>
      <c r="F736" s="4" t="s">
        <v>722</v>
      </c>
      <c r="G736" s="6" t="s">
        <v>1449</v>
      </c>
      <c r="H736" s="6" t="s">
        <v>765</v>
      </c>
      <c r="I736" s="5" t="s">
        <v>766</v>
      </c>
      <c r="J736" s="5" t="s">
        <v>26</v>
      </c>
      <c r="K736" s="7" t="n">
        <v>0.6</v>
      </c>
      <c r="L736" s="6"/>
      <c r="M736" s="4" t="s">
        <v>767</v>
      </c>
      <c r="N736" s="5" t="s">
        <v>1443</v>
      </c>
    </row>
    <row r="737" customFormat="false" ht="23.85" hidden="false" customHeight="false" outlineLevel="0" collapsed="false">
      <c r="A737" s="4" t="s">
        <v>18</v>
      </c>
      <c r="B737" s="5" t="s">
        <v>1441</v>
      </c>
      <c r="C737" s="6" t="s">
        <v>41</v>
      </c>
      <c r="D737" s="6"/>
      <c r="E737" s="4" t="s">
        <v>763</v>
      </c>
      <c r="F737" s="4" t="s">
        <v>893</v>
      </c>
      <c r="G737" s="6" t="s">
        <v>1450</v>
      </c>
      <c r="H737" s="6" t="s">
        <v>765</v>
      </c>
      <c r="I737" s="5" t="s">
        <v>766</v>
      </c>
      <c r="J737" s="5" t="s">
        <v>26</v>
      </c>
      <c r="K737" s="7" t="n">
        <v>0.6</v>
      </c>
      <c r="L737" s="6"/>
      <c r="M737" s="4" t="s">
        <v>767</v>
      </c>
      <c r="N737" s="5" t="s">
        <v>1443</v>
      </c>
    </row>
    <row r="738" customFormat="false" ht="35.05" hidden="false" customHeight="false" outlineLevel="0" collapsed="false">
      <c r="A738" s="4" t="s">
        <v>18</v>
      </c>
      <c r="B738" s="5" t="s">
        <v>1441</v>
      </c>
      <c r="C738" s="6" t="s">
        <v>41</v>
      </c>
      <c r="D738" s="6"/>
      <c r="E738" s="4" t="s">
        <v>763</v>
      </c>
      <c r="F738" s="4" t="s">
        <v>928</v>
      </c>
      <c r="G738" s="6" t="s">
        <v>1416</v>
      </c>
      <c r="H738" s="6" t="s">
        <v>765</v>
      </c>
      <c r="I738" s="5" t="s">
        <v>766</v>
      </c>
      <c r="J738" s="5" t="s">
        <v>26</v>
      </c>
      <c r="K738" s="7" t="n">
        <v>0.6</v>
      </c>
      <c r="L738" s="6"/>
      <c r="M738" s="4" t="s">
        <v>767</v>
      </c>
      <c r="N738" s="5" t="s">
        <v>1443</v>
      </c>
    </row>
    <row r="739" customFormat="false" ht="23.85" hidden="false" customHeight="false" outlineLevel="0" collapsed="false">
      <c r="A739" s="4" t="s">
        <v>18</v>
      </c>
      <c r="B739" s="5" t="s">
        <v>1441</v>
      </c>
      <c r="C739" s="6" t="s">
        <v>41</v>
      </c>
      <c r="D739" s="6"/>
      <c r="E739" s="4" t="s">
        <v>763</v>
      </c>
      <c r="F739" s="4" t="s">
        <v>759</v>
      </c>
      <c r="G739" s="6" t="s">
        <v>1451</v>
      </c>
      <c r="H739" s="6" t="s">
        <v>765</v>
      </c>
      <c r="I739" s="5" t="s">
        <v>766</v>
      </c>
      <c r="J739" s="5" t="s">
        <v>26</v>
      </c>
      <c r="K739" s="7" t="n">
        <v>0.6</v>
      </c>
      <c r="L739" s="6"/>
      <c r="M739" s="4" t="s">
        <v>767</v>
      </c>
      <c r="N739" s="5" t="s">
        <v>1443</v>
      </c>
    </row>
    <row r="740" customFormat="false" ht="23.85" hidden="false" customHeight="false" outlineLevel="0" collapsed="false">
      <c r="A740" s="4" t="s">
        <v>18</v>
      </c>
      <c r="B740" s="5" t="s">
        <v>1441</v>
      </c>
      <c r="C740" s="6" t="s">
        <v>41</v>
      </c>
      <c r="D740" s="6"/>
      <c r="E740" s="4" t="s">
        <v>763</v>
      </c>
      <c r="F740" s="4" t="s">
        <v>1452</v>
      </c>
      <c r="G740" s="6" t="s">
        <v>1453</v>
      </c>
      <c r="H740" s="6" t="s">
        <v>765</v>
      </c>
      <c r="I740" s="5" t="s">
        <v>766</v>
      </c>
      <c r="J740" s="5" t="s">
        <v>26</v>
      </c>
      <c r="K740" s="7" t="n">
        <v>0.6</v>
      </c>
      <c r="L740" s="6"/>
      <c r="M740" s="4" t="s">
        <v>767</v>
      </c>
      <c r="N740" s="5" t="s">
        <v>1443</v>
      </c>
    </row>
    <row r="741" customFormat="false" ht="46.25" hidden="false" customHeight="false" outlineLevel="0" collapsed="false">
      <c r="A741" s="4" t="s">
        <v>18</v>
      </c>
      <c r="B741" s="5" t="s">
        <v>1441</v>
      </c>
      <c r="C741" s="6" t="s">
        <v>41</v>
      </c>
      <c r="D741" s="6"/>
      <c r="E741" s="4" t="s">
        <v>763</v>
      </c>
      <c r="F741" s="4" t="s">
        <v>1444</v>
      </c>
      <c r="G741" s="6" t="s">
        <v>1445</v>
      </c>
      <c r="H741" s="6" t="s">
        <v>769</v>
      </c>
      <c r="I741" s="5" t="s">
        <v>770</v>
      </c>
      <c r="J741" s="5" t="s">
        <v>26</v>
      </c>
      <c r="K741" s="7" t="n">
        <v>1</v>
      </c>
      <c r="L741" s="8" t="s">
        <v>771</v>
      </c>
      <c r="M741" s="4" t="s">
        <v>772</v>
      </c>
      <c r="N741" s="5" t="s">
        <v>1443</v>
      </c>
    </row>
    <row r="742" customFormat="false" ht="46.25" hidden="false" customHeight="false" outlineLevel="0" collapsed="false">
      <c r="A742" s="4" t="s">
        <v>18</v>
      </c>
      <c r="B742" s="5" t="s">
        <v>1441</v>
      </c>
      <c r="C742" s="6" t="s">
        <v>41</v>
      </c>
      <c r="D742" s="6"/>
      <c r="E742" s="4" t="s">
        <v>763</v>
      </c>
      <c r="F742" s="4" t="s">
        <v>172</v>
      </c>
      <c r="G742" s="6" t="s">
        <v>1446</v>
      </c>
      <c r="H742" s="6" t="s">
        <v>769</v>
      </c>
      <c r="I742" s="5" t="s">
        <v>770</v>
      </c>
      <c r="J742" s="5" t="s">
        <v>26</v>
      </c>
      <c r="K742" s="7" t="n">
        <v>1</v>
      </c>
      <c r="L742" s="8" t="s">
        <v>771</v>
      </c>
      <c r="M742" s="4" t="s">
        <v>772</v>
      </c>
      <c r="N742" s="5" t="s">
        <v>1443</v>
      </c>
    </row>
    <row r="743" customFormat="false" ht="46.25" hidden="false" customHeight="false" outlineLevel="0" collapsed="false">
      <c r="A743" s="4" t="s">
        <v>18</v>
      </c>
      <c r="B743" s="5" t="s">
        <v>1441</v>
      </c>
      <c r="C743" s="6" t="s">
        <v>41</v>
      </c>
      <c r="D743" s="6"/>
      <c r="E743" s="4" t="s">
        <v>763</v>
      </c>
      <c r="F743" s="4" t="s">
        <v>1004</v>
      </c>
      <c r="G743" s="6" t="s">
        <v>1447</v>
      </c>
      <c r="H743" s="6" t="s">
        <v>769</v>
      </c>
      <c r="I743" s="5" t="s">
        <v>770</v>
      </c>
      <c r="J743" s="5" t="s">
        <v>26</v>
      </c>
      <c r="K743" s="7" t="n">
        <v>1</v>
      </c>
      <c r="L743" s="8" t="s">
        <v>771</v>
      </c>
      <c r="M743" s="4" t="s">
        <v>772</v>
      </c>
      <c r="N743" s="5" t="s">
        <v>1443</v>
      </c>
    </row>
    <row r="744" customFormat="false" ht="46.25" hidden="false" customHeight="false" outlineLevel="0" collapsed="false">
      <c r="A744" s="4" t="s">
        <v>18</v>
      </c>
      <c r="B744" s="5" t="s">
        <v>1441</v>
      </c>
      <c r="C744" s="6" t="s">
        <v>41</v>
      </c>
      <c r="D744" s="6"/>
      <c r="E744" s="4" t="s">
        <v>763</v>
      </c>
      <c r="F744" s="4" t="s">
        <v>663</v>
      </c>
      <c r="G744" s="6" t="s">
        <v>1448</v>
      </c>
      <c r="H744" s="6" t="s">
        <v>769</v>
      </c>
      <c r="I744" s="5" t="s">
        <v>770</v>
      </c>
      <c r="J744" s="5" t="s">
        <v>26</v>
      </c>
      <c r="K744" s="7" t="n">
        <v>1</v>
      </c>
      <c r="L744" s="8" t="s">
        <v>771</v>
      </c>
      <c r="M744" s="4" t="s">
        <v>772</v>
      </c>
      <c r="N744" s="5" t="s">
        <v>1443</v>
      </c>
    </row>
    <row r="745" customFormat="false" ht="46.25" hidden="false" customHeight="false" outlineLevel="0" collapsed="false">
      <c r="A745" s="4" t="s">
        <v>18</v>
      </c>
      <c r="B745" s="5" t="s">
        <v>1441</v>
      </c>
      <c r="C745" s="6" t="s">
        <v>41</v>
      </c>
      <c r="D745" s="6"/>
      <c r="E745" s="4" t="s">
        <v>763</v>
      </c>
      <c r="F745" s="4" t="s">
        <v>722</v>
      </c>
      <c r="G745" s="6" t="s">
        <v>1449</v>
      </c>
      <c r="H745" s="6" t="s">
        <v>769</v>
      </c>
      <c r="I745" s="5" t="s">
        <v>770</v>
      </c>
      <c r="J745" s="5" t="s">
        <v>26</v>
      </c>
      <c r="K745" s="7" t="n">
        <v>1</v>
      </c>
      <c r="L745" s="8" t="s">
        <v>771</v>
      </c>
      <c r="M745" s="4" t="s">
        <v>772</v>
      </c>
      <c r="N745" s="5" t="s">
        <v>1443</v>
      </c>
    </row>
    <row r="746" customFormat="false" ht="46.25" hidden="false" customHeight="false" outlineLevel="0" collapsed="false">
      <c r="A746" s="4" t="s">
        <v>18</v>
      </c>
      <c r="B746" s="5" t="s">
        <v>1441</v>
      </c>
      <c r="C746" s="6" t="s">
        <v>41</v>
      </c>
      <c r="D746" s="6"/>
      <c r="E746" s="4" t="s">
        <v>763</v>
      </c>
      <c r="F746" s="4" t="s">
        <v>893</v>
      </c>
      <c r="G746" s="6" t="s">
        <v>1450</v>
      </c>
      <c r="H746" s="6" t="s">
        <v>769</v>
      </c>
      <c r="I746" s="5" t="s">
        <v>770</v>
      </c>
      <c r="J746" s="5" t="s">
        <v>26</v>
      </c>
      <c r="K746" s="7" t="n">
        <v>1</v>
      </c>
      <c r="L746" s="8" t="s">
        <v>771</v>
      </c>
      <c r="M746" s="4" t="s">
        <v>772</v>
      </c>
      <c r="N746" s="5" t="s">
        <v>1443</v>
      </c>
    </row>
    <row r="747" customFormat="false" ht="46.25" hidden="false" customHeight="false" outlineLevel="0" collapsed="false">
      <c r="A747" s="4" t="s">
        <v>18</v>
      </c>
      <c r="B747" s="5" t="s">
        <v>1441</v>
      </c>
      <c r="C747" s="6" t="s">
        <v>41</v>
      </c>
      <c r="D747" s="6"/>
      <c r="E747" s="4" t="s">
        <v>763</v>
      </c>
      <c r="F747" s="4" t="s">
        <v>928</v>
      </c>
      <c r="G747" s="6" t="s">
        <v>1416</v>
      </c>
      <c r="H747" s="6" t="s">
        <v>769</v>
      </c>
      <c r="I747" s="5" t="s">
        <v>770</v>
      </c>
      <c r="J747" s="5" t="s">
        <v>26</v>
      </c>
      <c r="K747" s="7" t="n">
        <v>1</v>
      </c>
      <c r="L747" s="8" t="s">
        <v>771</v>
      </c>
      <c r="M747" s="4" t="s">
        <v>772</v>
      </c>
      <c r="N747" s="5" t="s">
        <v>1443</v>
      </c>
    </row>
    <row r="748" customFormat="false" ht="46.25" hidden="false" customHeight="false" outlineLevel="0" collapsed="false">
      <c r="A748" s="4" t="s">
        <v>18</v>
      </c>
      <c r="B748" s="5" t="s">
        <v>1441</v>
      </c>
      <c r="C748" s="6" t="s">
        <v>41</v>
      </c>
      <c r="D748" s="6"/>
      <c r="E748" s="4" t="s">
        <v>763</v>
      </c>
      <c r="F748" s="4" t="s">
        <v>759</v>
      </c>
      <c r="G748" s="6" t="s">
        <v>1451</v>
      </c>
      <c r="H748" s="6" t="s">
        <v>769</v>
      </c>
      <c r="I748" s="5" t="s">
        <v>770</v>
      </c>
      <c r="J748" s="5" t="s">
        <v>26</v>
      </c>
      <c r="K748" s="7" t="n">
        <v>1</v>
      </c>
      <c r="L748" s="8" t="s">
        <v>771</v>
      </c>
      <c r="M748" s="4" t="s">
        <v>772</v>
      </c>
      <c r="N748" s="5" t="s">
        <v>1443</v>
      </c>
    </row>
    <row r="749" customFormat="false" ht="46.25" hidden="false" customHeight="false" outlineLevel="0" collapsed="false">
      <c r="A749" s="4" t="s">
        <v>18</v>
      </c>
      <c r="B749" s="5" t="s">
        <v>1441</v>
      </c>
      <c r="C749" s="6" t="s">
        <v>41</v>
      </c>
      <c r="D749" s="6"/>
      <c r="E749" s="4" t="s">
        <v>763</v>
      </c>
      <c r="F749" s="4" t="s">
        <v>1452</v>
      </c>
      <c r="G749" s="6" t="s">
        <v>1453</v>
      </c>
      <c r="H749" s="6" t="s">
        <v>769</v>
      </c>
      <c r="I749" s="5" t="s">
        <v>770</v>
      </c>
      <c r="J749" s="5" t="s">
        <v>26</v>
      </c>
      <c r="K749" s="7" t="n">
        <v>1</v>
      </c>
      <c r="L749" s="8" t="s">
        <v>771</v>
      </c>
      <c r="M749" s="4" t="s">
        <v>772</v>
      </c>
      <c r="N749" s="5" t="s">
        <v>1443</v>
      </c>
    </row>
    <row r="750" customFormat="false" ht="23.85" hidden="false" customHeight="false" outlineLevel="0" collapsed="false">
      <c r="A750" s="4" t="s">
        <v>18</v>
      </c>
      <c r="B750" s="5" t="s">
        <v>1454</v>
      </c>
      <c r="C750" s="6" t="s">
        <v>41</v>
      </c>
      <c r="D750" s="6"/>
      <c r="E750" s="4" t="s">
        <v>1348</v>
      </c>
      <c r="F750" s="4" t="s">
        <v>37</v>
      </c>
      <c r="G750" s="6" t="s">
        <v>1455</v>
      </c>
      <c r="H750" s="6" t="s">
        <v>769</v>
      </c>
      <c r="I750" s="5" t="s">
        <v>1350</v>
      </c>
      <c r="J750" s="5" t="s">
        <v>26</v>
      </c>
      <c r="K750" s="7" t="n">
        <v>1</v>
      </c>
      <c r="L750" s="6"/>
      <c r="M750" s="4" t="s">
        <v>1351</v>
      </c>
      <c r="N750" s="5" t="s">
        <v>1456</v>
      </c>
    </row>
    <row r="751" customFormat="false" ht="23.85" hidden="false" customHeight="false" outlineLevel="0" collapsed="false">
      <c r="A751" s="4" t="s">
        <v>18</v>
      </c>
      <c r="B751" s="5" t="s">
        <v>1457</v>
      </c>
      <c r="C751" s="6" t="s">
        <v>41</v>
      </c>
      <c r="D751" s="6"/>
      <c r="E751" s="4" t="s">
        <v>1348</v>
      </c>
      <c r="F751" s="4" t="s">
        <v>186</v>
      </c>
      <c r="G751" s="6" t="s">
        <v>1458</v>
      </c>
      <c r="H751" s="6" t="s">
        <v>769</v>
      </c>
      <c r="I751" s="5" t="s">
        <v>1350</v>
      </c>
      <c r="J751" s="5" t="s">
        <v>26</v>
      </c>
      <c r="K751" s="7" t="n">
        <v>1</v>
      </c>
      <c r="L751" s="6"/>
      <c r="M751" s="4" t="s">
        <v>1351</v>
      </c>
      <c r="N751" s="5" t="s">
        <v>1459</v>
      </c>
    </row>
    <row r="752" customFormat="false" ht="68.65" hidden="false" customHeight="false" outlineLevel="0" collapsed="false">
      <c r="A752" s="4" t="s">
        <v>18</v>
      </c>
      <c r="B752" s="5" t="s">
        <v>1457</v>
      </c>
      <c r="C752" s="6" t="s">
        <v>41</v>
      </c>
      <c r="D752" s="6"/>
      <c r="E752" s="4" t="s">
        <v>763</v>
      </c>
      <c r="F752" s="4" t="s">
        <v>602</v>
      </c>
      <c r="G752" s="6" t="s">
        <v>1460</v>
      </c>
      <c r="H752" s="6" t="s">
        <v>765</v>
      </c>
      <c r="I752" s="5" t="s">
        <v>766</v>
      </c>
      <c r="J752" s="5" t="s">
        <v>26</v>
      </c>
      <c r="K752" s="7" t="n">
        <v>0.6</v>
      </c>
      <c r="L752" s="6"/>
      <c r="M752" s="4" t="s">
        <v>767</v>
      </c>
      <c r="N752" s="5" t="s">
        <v>1459</v>
      </c>
    </row>
    <row r="753" customFormat="false" ht="68.65" hidden="false" customHeight="false" outlineLevel="0" collapsed="false">
      <c r="A753" s="4" t="s">
        <v>18</v>
      </c>
      <c r="B753" s="5" t="s">
        <v>1457</v>
      </c>
      <c r="C753" s="6" t="s">
        <v>41</v>
      </c>
      <c r="D753" s="6"/>
      <c r="E753" s="4" t="s">
        <v>763</v>
      </c>
      <c r="F753" s="4" t="s">
        <v>602</v>
      </c>
      <c r="G753" s="6" t="s">
        <v>1460</v>
      </c>
      <c r="H753" s="6" t="s">
        <v>769</v>
      </c>
      <c r="I753" s="5" t="s">
        <v>770</v>
      </c>
      <c r="J753" s="5" t="s">
        <v>26</v>
      </c>
      <c r="K753" s="7" t="n">
        <v>1</v>
      </c>
      <c r="L753" s="8" t="s">
        <v>771</v>
      </c>
      <c r="M753" s="4" t="s">
        <v>772</v>
      </c>
      <c r="N753" s="5" t="s">
        <v>1459</v>
      </c>
    </row>
    <row r="754" customFormat="false" ht="23.85" hidden="false" customHeight="false" outlineLevel="0" collapsed="false">
      <c r="A754" s="4" t="s">
        <v>18</v>
      </c>
      <c r="B754" s="5" t="s">
        <v>1461</v>
      </c>
      <c r="C754" s="6" t="s">
        <v>41</v>
      </c>
      <c r="D754" s="6"/>
      <c r="E754" s="4" t="s">
        <v>1348</v>
      </c>
      <c r="F754" s="4" t="s">
        <v>251</v>
      </c>
      <c r="G754" s="6" t="s">
        <v>1462</v>
      </c>
      <c r="H754" s="6" t="s">
        <v>769</v>
      </c>
      <c r="I754" s="5" t="s">
        <v>1350</v>
      </c>
      <c r="J754" s="5" t="s">
        <v>26</v>
      </c>
      <c r="K754" s="7" t="n">
        <v>1</v>
      </c>
      <c r="L754" s="6"/>
      <c r="M754" s="4" t="s">
        <v>1351</v>
      </c>
      <c r="N754" s="5" t="s">
        <v>1463</v>
      </c>
    </row>
    <row r="755" customFormat="false" ht="68.65" hidden="false" customHeight="false" outlineLevel="0" collapsed="false">
      <c r="A755" s="4" t="s">
        <v>18</v>
      </c>
      <c r="B755" s="5" t="s">
        <v>1461</v>
      </c>
      <c r="C755" s="6" t="s">
        <v>41</v>
      </c>
      <c r="D755" s="6"/>
      <c r="E755" s="4" t="s">
        <v>763</v>
      </c>
      <c r="F755" s="4" t="s">
        <v>602</v>
      </c>
      <c r="G755" s="6" t="s">
        <v>1460</v>
      </c>
      <c r="H755" s="6" t="s">
        <v>765</v>
      </c>
      <c r="I755" s="5" t="s">
        <v>766</v>
      </c>
      <c r="J755" s="5" t="s">
        <v>26</v>
      </c>
      <c r="K755" s="7" t="n">
        <v>0.6</v>
      </c>
      <c r="L755" s="6"/>
      <c r="M755" s="4" t="s">
        <v>767</v>
      </c>
      <c r="N755" s="5" t="s">
        <v>1463</v>
      </c>
    </row>
    <row r="756" customFormat="false" ht="68.65" hidden="false" customHeight="false" outlineLevel="0" collapsed="false">
      <c r="A756" s="4" t="s">
        <v>18</v>
      </c>
      <c r="B756" s="5" t="s">
        <v>1461</v>
      </c>
      <c r="C756" s="6" t="s">
        <v>41</v>
      </c>
      <c r="D756" s="6"/>
      <c r="E756" s="4" t="s">
        <v>763</v>
      </c>
      <c r="F756" s="4" t="s">
        <v>602</v>
      </c>
      <c r="G756" s="6" t="s">
        <v>1460</v>
      </c>
      <c r="H756" s="6" t="s">
        <v>769</v>
      </c>
      <c r="I756" s="5" t="s">
        <v>770</v>
      </c>
      <c r="J756" s="5" t="s">
        <v>26</v>
      </c>
      <c r="K756" s="7" t="n">
        <v>1</v>
      </c>
      <c r="L756" s="8" t="s">
        <v>771</v>
      </c>
      <c r="M756" s="4" t="s">
        <v>772</v>
      </c>
      <c r="N756" s="5" t="s">
        <v>1463</v>
      </c>
    </row>
    <row r="757" customFormat="false" ht="68.65" hidden="false" customHeight="false" outlineLevel="0" collapsed="false">
      <c r="A757" s="4" t="s">
        <v>18</v>
      </c>
      <c r="B757" s="5" t="s">
        <v>1464</v>
      </c>
      <c r="C757" s="6" t="s">
        <v>41</v>
      </c>
      <c r="D757" s="6"/>
      <c r="E757" s="4" t="s">
        <v>763</v>
      </c>
      <c r="F757" s="4" t="s">
        <v>602</v>
      </c>
      <c r="G757" s="6" t="s">
        <v>1460</v>
      </c>
      <c r="H757" s="6" t="s">
        <v>765</v>
      </c>
      <c r="I757" s="5" t="s">
        <v>766</v>
      </c>
      <c r="J757" s="5" t="s">
        <v>26</v>
      </c>
      <c r="K757" s="7" t="n">
        <v>0.6</v>
      </c>
      <c r="L757" s="6"/>
      <c r="M757" s="4" t="s">
        <v>767</v>
      </c>
      <c r="N757" s="5" t="s">
        <v>1465</v>
      </c>
    </row>
    <row r="758" customFormat="false" ht="68.65" hidden="false" customHeight="false" outlineLevel="0" collapsed="false">
      <c r="A758" s="4" t="s">
        <v>18</v>
      </c>
      <c r="B758" s="5" t="s">
        <v>1464</v>
      </c>
      <c r="C758" s="6" t="s">
        <v>41</v>
      </c>
      <c r="D758" s="6"/>
      <c r="E758" s="4" t="s">
        <v>763</v>
      </c>
      <c r="F758" s="4" t="s">
        <v>602</v>
      </c>
      <c r="G758" s="6" t="s">
        <v>1460</v>
      </c>
      <c r="H758" s="6" t="s">
        <v>769</v>
      </c>
      <c r="I758" s="5" t="s">
        <v>770</v>
      </c>
      <c r="J758" s="5" t="s">
        <v>26</v>
      </c>
      <c r="K758" s="7" t="n">
        <v>1</v>
      </c>
      <c r="L758" s="8" t="s">
        <v>771</v>
      </c>
      <c r="M758" s="4" t="s">
        <v>772</v>
      </c>
      <c r="N758" s="5" t="s">
        <v>1465</v>
      </c>
    </row>
    <row r="759" customFormat="false" ht="35.05" hidden="false" customHeight="false" outlineLevel="0" collapsed="false">
      <c r="A759" s="4" t="s">
        <v>18</v>
      </c>
      <c r="B759" s="5" t="s">
        <v>1466</v>
      </c>
      <c r="C759" s="6" t="s">
        <v>1467</v>
      </c>
      <c r="D759" s="6" t="s">
        <v>1468</v>
      </c>
      <c r="E759" s="4" t="s">
        <v>1348</v>
      </c>
      <c r="F759" s="4" t="s">
        <v>205</v>
      </c>
      <c r="G759" s="6" t="s">
        <v>1469</v>
      </c>
      <c r="H759" s="6" t="s">
        <v>769</v>
      </c>
      <c r="I759" s="5" t="s">
        <v>1350</v>
      </c>
      <c r="J759" s="5" t="s">
        <v>26</v>
      </c>
      <c r="K759" s="7" t="n">
        <v>1</v>
      </c>
      <c r="L759" s="6"/>
      <c r="M759" s="4" t="s">
        <v>1351</v>
      </c>
      <c r="N759" s="5" t="s">
        <v>1470</v>
      </c>
    </row>
    <row r="760" customFormat="false" ht="35.05" hidden="false" customHeight="false" outlineLevel="0" collapsed="false">
      <c r="A760" s="4" t="s">
        <v>18</v>
      </c>
      <c r="B760" s="5" t="s">
        <v>1466</v>
      </c>
      <c r="C760" s="6" t="s">
        <v>1467</v>
      </c>
      <c r="D760" s="6" t="s">
        <v>1471</v>
      </c>
      <c r="E760" s="4" t="s">
        <v>1348</v>
      </c>
      <c r="F760" s="4" t="s">
        <v>205</v>
      </c>
      <c r="G760" s="6" t="s">
        <v>1469</v>
      </c>
      <c r="H760" s="6" t="s">
        <v>769</v>
      </c>
      <c r="I760" s="5" t="s">
        <v>1350</v>
      </c>
      <c r="J760" s="5" t="s">
        <v>26</v>
      </c>
      <c r="K760" s="7" t="n">
        <v>1</v>
      </c>
      <c r="L760" s="6"/>
      <c r="M760" s="4" t="s">
        <v>1351</v>
      </c>
      <c r="N760" s="5" t="s">
        <v>1470</v>
      </c>
    </row>
    <row r="761" customFormat="false" ht="35.05" hidden="false" customHeight="false" outlineLevel="0" collapsed="false">
      <c r="A761" s="4" t="s">
        <v>18</v>
      </c>
      <c r="B761" s="5" t="s">
        <v>1472</v>
      </c>
      <c r="C761" s="6" t="s">
        <v>41</v>
      </c>
      <c r="D761" s="6"/>
      <c r="E761" s="4" t="s">
        <v>1142</v>
      </c>
      <c r="F761" s="4" t="s">
        <v>251</v>
      </c>
      <c r="G761" s="6" t="s">
        <v>1473</v>
      </c>
      <c r="H761" s="6" t="s">
        <v>1136</v>
      </c>
      <c r="I761" s="5" t="s">
        <v>1144</v>
      </c>
      <c r="J761" s="5" t="s">
        <v>26</v>
      </c>
      <c r="K761" s="7" t="n">
        <v>1</v>
      </c>
      <c r="L761" s="6"/>
      <c r="M761" s="4" t="s">
        <v>1145</v>
      </c>
      <c r="N761" s="5" t="s">
        <v>1474</v>
      </c>
    </row>
    <row r="762" customFormat="false" ht="23.85" hidden="false" customHeight="false" outlineLevel="0" collapsed="false">
      <c r="A762" s="4" t="s">
        <v>18</v>
      </c>
      <c r="B762" s="5" t="s">
        <v>1475</v>
      </c>
      <c r="C762" s="6" t="s">
        <v>41</v>
      </c>
      <c r="D762" s="6"/>
      <c r="E762" s="4" t="s">
        <v>763</v>
      </c>
      <c r="F762" s="4" t="s">
        <v>593</v>
      </c>
      <c r="G762" s="6" t="s">
        <v>1476</v>
      </c>
      <c r="H762" s="6" t="s">
        <v>765</v>
      </c>
      <c r="I762" s="5" t="s">
        <v>766</v>
      </c>
      <c r="J762" s="5" t="s">
        <v>26</v>
      </c>
      <c r="K762" s="7" t="n">
        <v>0.6</v>
      </c>
      <c r="L762" s="6"/>
      <c r="M762" s="4" t="s">
        <v>767</v>
      </c>
      <c r="N762" s="5" t="s">
        <v>1477</v>
      </c>
    </row>
    <row r="763" customFormat="false" ht="23.85" hidden="false" customHeight="false" outlineLevel="0" collapsed="false">
      <c r="A763" s="4" t="s">
        <v>18</v>
      </c>
      <c r="B763" s="5" t="s">
        <v>1475</v>
      </c>
      <c r="C763" s="6" t="s">
        <v>41</v>
      </c>
      <c r="D763" s="6"/>
      <c r="E763" s="4" t="s">
        <v>763</v>
      </c>
      <c r="F763" s="4" t="s">
        <v>709</v>
      </c>
      <c r="G763" s="6" t="s">
        <v>1478</v>
      </c>
      <c r="H763" s="6" t="s">
        <v>765</v>
      </c>
      <c r="I763" s="5" t="s">
        <v>766</v>
      </c>
      <c r="J763" s="5" t="s">
        <v>26</v>
      </c>
      <c r="K763" s="7" t="n">
        <v>0.6</v>
      </c>
      <c r="L763" s="6"/>
      <c r="M763" s="4" t="s">
        <v>767</v>
      </c>
      <c r="N763" s="5" t="s">
        <v>1477</v>
      </c>
    </row>
    <row r="764" customFormat="false" ht="46.25" hidden="false" customHeight="false" outlineLevel="0" collapsed="false">
      <c r="A764" s="4" t="s">
        <v>18</v>
      </c>
      <c r="B764" s="5" t="s">
        <v>1475</v>
      </c>
      <c r="C764" s="6" t="s">
        <v>41</v>
      </c>
      <c r="D764" s="6"/>
      <c r="E764" s="4" t="s">
        <v>763</v>
      </c>
      <c r="F764" s="4" t="s">
        <v>593</v>
      </c>
      <c r="G764" s="6" t="s">
        <v>1476</v>
      </c>
      <c r="H764" s="6" t="s">
        <v>769</v>
      </c>
      <c r="I764" s="5" t="s">
        <v>770</v>
      </c>
      <c r="J764" s="5" t="s">
        <v>26</v>
      </c>
      <c r="K764" s="7" t="n">
        <v>1</v>
      </c>
      <c r="L764" s="8" t="s">
        <v>771</v>
      </c>
      <c r="M764" s="4" t="s">
        <v>772</v>
      </c>
      <c r="N764" s="5" t="s">
        <v>1477</v>
      </c>
    </row>
    <row r="765" customFormat="false" ht="46.25" hidden="false" customHeight="false" outlineLevel="0" collapsed="false">
      <c r="A765" s="4" t="s">
        <v>18</v>
      </c>
      <c r="B765" s="5" t="s">
        <v>1475</v>
      </c>
      <c r="C765" s="6" t="s">
        <v>41</v>
      </c>
      <c r="D765" s="6"/>
      <c r="E765" s="4" t="s">
        <v>763</v>
      </c>
      <c r="F765" s="4" t="s">
        <v>709</v>
      </c>
      <c r="G765" s="6" t="s">
        <v>1478</v>
      </c>
      <c r="H765" s="6" t="s">
        <v>769</v>
      </c>
      <c r="I765" s="5" t="s">
        <v>770</v>
      </c>
      <c r="J765" s="5" t="s">
        <v>26</v>
      </c>
      <c r="K765" s="7" t="n">
        <v>1</v>
      </c>
      <c r="L765" s="8" t="s">
        <v>771</v>
      </c>
      <c r="M765" s="4" t="s">
        <v>772</v>
      </c>
      <c r="N765" s="5" t="s">
        <v>1477</v>
      </c>
    </row>
    <row r="766" customFormat="false" ht="23.85" hidden="false" customHeight="false" outlineLevel="0" collapsed="false">
      <c r="A766" s="4" t="s">
        <v>18</v>
      </c>
      <c r="B766" s="5" t="s">
        <v>1479</v>
      </c>
      <c r="C766" s="6" t="s">
        <v>41</v>
      </c>
      <c r="D766" s="6"/>
      <c r="E766" s="4" t="s">
        <v>763</v>
      </c>
      <c r="F766" s="4" t="s">
        <v>604</v>
      </c>
      <c r="G766" s="6" t="s">
        <v>1480</v>
      </c>
      <c r="H766" s="6" t="s">
        <v>765</v>
      </c>
      <c r="I766" s="5" t="s">
        <v>766</v>
      </c>
      <c r="J766" s="5" t="s">
        <v>26</v>
      </c>
      <c r="K766" s="7" t="n">
        <v>0.6</v>
      </c>
      <c r="L766" s="6"/>
      <c r="M766" s="4" t="s">
        <v>767</v>
      </c>
      <c r="N766" s="5" t="s">
        <v>1481</v>
      </c>
    </row>
    <row r="767" customFormat="false" ht="46.25" hidden="false" customHeight="false" outlineLevel="0" collapsed="false">
      <c r="A767" s="4" t="s">
        <v>18</v>
      </c>
      <c r="B767" s="5" t="s">
        <v>1479</v>
      </c>
      <c r="C767" s="6" t="s">
        <v>41</v>
      </c>
      <c r="D767" s="6"/>
      <c r="E767" s="4" t="s">
        <v>763</v>
      </c>
      <c r="F767" s="4" t="s">
        <v>604</v>
      </c>
      <c r="G767" s="6" t="s">
        <v>1480</v>
      </c>
      <c r="H767" s="6" t="s">
        <v>769</v>
      </c>
      <c r="I767" s="5" t="s">
        <v>770</v>
      </c>
      <c r="J767" s="5" t="s">
        <v>26</v>
      </c>
      <c r="K767" s="7" t="n">
        <v>1</v>
      </c>
      <c r="L767" s="8" t="s">
        <v>771</v>
      </c>
      <c r="M767" s="4" t="s">
        <v>772</v>
      </c>
      <c r="N767" s="5" t="s">
        <v>1481</v>
      </c>
    </row>
    <row r="768" customFormat="false" ht="23.85" hidden="false" customHeight="false" outlineLevel="0" collapsed="false">
      <c r="A768" s="4" t="s">
        <v>18</v>
      </c>
      <c r="B768" s="5" t="s">
        <v>1482</v>
      </c>
      <c r="C768" s="6" t="s">
        <v>41</v>
      </c>
      <c r="D768" s="6"/>
      <c r="E768" s="4" t="s">
        <v>763</v>
      </c>
      <c r="F768" s="4" t="s">
        <v>598</v>
      </c>
      <c r="G768" s="6" t="s">
        <v>1483</v>
      </c>
      <c r="H768" s="6" t="s">
        <v>765</v>
      </c>
      <c r="I768" s="5" t="s">
        <v>766</v>
      </c>
      <c r="J768" s="5" t="s">
        <v>26</v>
      </c>
      <c r="K768" s="7" t="n">
        <v>0.6</v>
      </c>
      <c r="L768" s="6"/>
      <c r="M768" s="4" t="s">
        <v>767</v>
      </c>
      <c r="N768" s="5" t="s">
        <v>1484</v>
      </c>
    </row>
    <row r="769" customFormat="false" ht="23.85" hidden="false" customHeight="false" outlineLevel="0" collapsed="false">
      <c r="A769" s="4" t="s">
        <v>18</v>
      </c>
      <c r="B769" s="5" t="s">
        <v>1482</v>
      </c>
      <c r="C769" s="6" t="s">
        <v>41</v>
      </c>
      <c r="D769" s="6"/>
      <c r="E769" s="4" t="s">
        <v>763</v>
      </c>
      <c r="F769" s="4" t="s">
        <v>606</v>
      </c>
      <c r="G769" s="6" t="s">
        <v>1485</v>
      </c>
      <c r="H769" s="6" t="s">
        <v>765</v>
      </c>
      <c r="I769" s="5" t="s">
        <v>766</v>
      </c>
      <c r="J769" s="5" t="s">
        <v>26</v>
      </c>
      <c r="K769" s="7" t="n">
        <v>0.6</v>
      </c>
      <c r="L769" s="6"/>
      <c r="M769" s="4" t="s">
        <v>767</v>
      </c>
      <c r="N769" s="5" t="s">
        <v>1484</v>
      </c>
    </row>
    <row r="770" customFormat="false" ht="46.25" hidden="false" customHeight="false" outlineLevel="0" collapsed="false">
      <c r="A770" s="4" t="s">
        <v>18</v>
      </c>
      <c r="B770" s="5" t="s">
        <v>1482</v>
      </c>
      <c r="C770" s="6" t="s">
        <v>41</v>
      </c>
      <c r="D770" s="6"/>
      <c r="E770" s="4" t="s">
        <v>763</v>
      </c>
      <c r="F770" s="4" t="s">
        <v>598</v>
      </c>
      <c r="G770" s="6" t="s">
        <v>1483</v>
      </c>
      <c r="H770" s="6" t="s">
        <v>769</v>
      </c>
      <c r="I770" s="5" t="s">
        <v>770</v>
      </c>
      <c r="J770" s="5" t="s">
        <v>26</v>
      </c>
      <c r="K770" s="7" t="n">
        <v>1</v>
      </c>
      <c r="L770" s="8" t="s">
        <v>771</v>
      </c>
      <c r="M770" s="4" t="s">
        <v>772</v>
      </c>
      <c r="N770" s="5" t="s">
        <v>1484</v>
      </c>
    </row>
    <row r="771" customFormat="false" ht="46.25" hidden="false" customHeight="false" outlineLevel="0" collapsed="false">
      <c r="A771" s="4" t="s">
        <v>18</v>
      </c>
      <c r="B771" s="5" t="s">
        <v>1482</v>
      </c>
      <c r="C771" s="6" t="s">
        <v>41</v>
      </c>
      <c r="D771" s="6"/>
      <c r="E771" s="4" t="s">
        <v>763</v>
      </c>
      <c r="F771" s="4" t="s">
        <v>606</v>
      </c>
      <c r="G771" s="6" t="s">
        <v>1485</v>
      </c>
      <c r="H771" s="6" t="s">
        <v>769</v>
      </c>
      <c r="I771" s="5" t="s">
        <v>770</v>
      </c>
      <c r="J771" s="5" t="s">
        <v>26</v>
      </c>
      <c r="K771" s="7" t="n">
        <v>1</v>
      </c>
      <c r="L771" s="8" t="s">
        <v>771</v>
      </c>
      <c r="M771" s="4" t="s">
        <v>772</v>
      </c>
      <c r="N771" s="5" t="s">
        <v>1484</v>
      </c>
    </row>
    <row r="772" customFormat="false" ht="35.05" hidden="false" customHeight="false" outlineLevel="0" collapsed="false">
      <c r="A772" s="4" t="s">
        <v>18</v>
      </c>
      <c r="B772" s="5" t="s">
        <v>1486</v>
      </c>
      <c r="C772" s="6" t="s">
        <v>41</v>
      </c>
      <c r="D772" s="6"/>
      <c r="E772" s="4" t="s">
        <v>1142</v>
      </c>
      <c r="F772" s="4" t="s">
        <v>334</v>
      </c>
      <c r="G772" s="6" t="s">
        <v>1487</v>
      </c>
      <c r="H772" s="6" t="s">
        <v>1136</v>
      </c>
      <c r="I772" s="5" t="s">
        <v>1144</v>
      </c>
      <c r="J772" s="5" t="s">
        <v>26</v>
      </c>
      <c r="K772" s="7" t="n">
        <v>1</v>
      </c>
      <c r="L772" s="6"/>
      <c r="M772" s="4" t="s">
        <v>1145</v>
      </c>
      <c r="N772" s="5" t="s">
        <v>1488</v>
      </c>
    </row>
    <row r="773" customFormat="false" ht="23.85" hidden="false" customHeight="false" outlineLevel="0" collapsed="false">
      <c r="A773" s="4" t="s">
        <v>18</v>
      </c>
      <c r="B773" s="5" t="s">
        <v>1486</v>
      </c>
      <c r="C773" s="6" t="s">
        <v>41</v>
      </c>
      <c r="D773" s="6"/>
      <c r="E773" s="4" t="s">
        <v>763</v>
      </c>
      <c r="F773" s="4" t="s">
        <v>256</v>
      </c>
      <c r="G773" s="6" t="s">
        <v>1489</v>
      </c>
      <c r="H773" s="6" t="s">
        <v>765</v>
      </c>
      <c r="I773" s="5" t="s">
        <v>766</v>
      </c>
      <c r="J773" s="5" t="s">
        <v>26</v>
      </c>
      <c r="K773" s="7" t="n">
        <v>0.6</v>
      </c>
      <c r="L773" s="6"/>
      <c r="M773" s="4" t="s">
        <v>767</v>
      </c>
      <c r="N773" s="5" t="s">
        <v>1488</v>
      </c>
    </row>
    <row r="774" customFormat="false" ht="23.85" hidden="false" customHeight="false" outlineLevel="0" collapsed="false">
      <c r="A774" s="4" t="s">
        <v>18</v>
      </c>
      <c r="B774" s="5" t="s">
        <v>1486</v>
      </c>
      <c r="C774" s="6" t="s">
        <v>41</v>
      </c>
      <c r="D774" s="6"/>
      <c r="E774" s="4" t="s">
        <v>763</v>
      </c>
      <c r="F774" s="4" t="s">
        <v>413</v>
      </c>
      <c r="G774" s="6" t="s">
        <v>1490</v>
      </c>
      <c r="H774" s="6" t="s">
        <v>765</v>
      </c>
      <c r="I774" s="5" t="s">
        <v>766</v>
      </c>
      <c r="J774" s="5" t="s">
        <v>26</v>
      </c>
      <c r="K774" s="7" t="n">
        <v>0.6</v>
      </c>
      <c r="L774" s="6"/>
      <c r="M774" s="4" t="s">
        <v>767</v>
      </c>
      <c r="N774" s="5" t="s">
        <v>1488</v>
      </c>
    </row>
    <row r="775" customFormat="false" ht="23.85" hidden="false" customHeight="false" outlineLevel="0" collapsed="false">
      <c r="A775" s="4" t="s">
        <v>18</v>
      </c>
      <c r="B775" s="5" t="s">
        <v>1486</v>
      </c>
      <c r="C775" s="6" t="s">
        <v>41</v>
      </c>
      <c r="D775" s="6"/>
      <c r="E775" s="4" t="s">
        <v>763</v>
      </c>
      <c r="F775" s="4" t="s">
        <v>42</v>
      </c>
      <c r="G775" s="6" t="s">
        <v>1491</v>
      </c>
      <c r="H775" s="6" t="s">
        <v>765</v>
      </c>
      <c r="I775" s="5" t="s">
        <v>766</v>
      </c>
      <c r="J775" s="5" t="s">
        <v>26</v>
      </c>
      <c r="K775" s="7" t="n">
        <v>0.6</v>
      </c>
      <c r="L775" s="6"/>
      <c r="M775" s="4" t="s">
        <v>767</v>
      </c>
      <c r="N775" s="5" t="s">
        <v>1488</v>
      </c>
    </row>
    <row r="776" customFormat="false" ht="23.85" hidden="false" customHeight="false" outlineLevel="0" collapsed="false">
      <c r="A776" s="4" t="s">
        <v>18</v>
      </c>
      <c r="B776" s="5" t="s">
        <v>1486</v>
      </c>
      <c r="C776" s="6" t="s">
        <v>41</v>
      </c>
      <c r="D776" s="6"/>
      <c r="E776" s="4" t="s">
        <v>763</v>
      </c>
      <c r="F776" s="4" t="s">
        <v>879</v>
      </c>
      <c r="G776" s="6" t="s">
        <v>1492</v>
      </c>
      <c r="H776" s="6" t="s">
        <v>765</v>
      </c>
      <c r="I776" s="5" t="s">
        <v>766</v>
      </c>
      <c r="J776" s="5" t="s">
        <v>26</v>
      </c>
      <c r="K776" s="7" t="n">
        <v>0.6</v>
      </c>
      <c r="L776" s="6"/>
      <c r="M776" s="4" t="s">
        <v>767</v>
      </c>
      <c r="N776" s="5" t="s">
        <v>1488</v>
      </c>
    </row>
    <row r="777" customFormat="false" ht="23.85" hidden="false" customHeight="false" outlineLevel="0" collapsed="false">
      <c r="A777" s="4" t="s">
        <v>18</v>
      </c>
      <c r="B777" s="5" t="s">
        <v>1486</v>
      </c>
      <c r="C777" s="6" t="s">
        <v>41</v>
      </c>
      <c r="D777" s="6"/>
      <c r="E777" s="4" t="s">
        <v>763</v>
      </c>
      <c r="F777" s="4" t="s">
        <v>823</v>
      </c>
      <c r="G777" s="6" t="s">
        <v>1493</v>
      </c>
      <c r="H777" s="6" t="s">
        <v>765</v>
      </c>
      <c r="I777" s="5" t="s">
        <v>766</v>
      </c>
      <c r="J777" s="5" t="s">
        <v>26</v>
      </c>
      <c r="K777" s="7" t="n">
        <v>0.6</v>
      </c>
      <c r="L777" s="6"/>
      <c r="M777" s="4" t="s">
        <v>767</v>
      </c>
      <c r="N777" s="5" t="s">
        <v>1488</v>
      </c>
    </row>
    <row r="778" customFormat="false" ht="23.85" hidden="false" customHeight="false" outlineLevel="0" collapsed="false">
      <c r="A778" s="4" t="s">
        <v>18</v>
      </c>
      <c r="B778" s="5" t="s">
        <v>1486</v>
      </c>
      <c r="C778" s="6" t="s">
        <v>41</v>
      </c>
      <c r="D778" s="6"/>
      <c r="E778" s="4" t="s">
        <v>763</v>
      </c>
      <c r="F778" s="4" t="s">
        <v>924</v>
      </c>
      <c r="G778" s="6" t="s">
        <v>1494</v>
      </c>
      <c r="H778" s="6" t="s">
        <v>765</v>
      </c>
      <c r="I778" s="5" t="s">
        <v>766</v>
      </c>
      <c r="J778" s="5" t="s">
        <v>26</v>
      </c>
      <c r="K778" s="7" t="n">
        <v>0.6</v>
      </c>
      <c r="L778" s="6"/>
      <c r="M778" s="4" t="s">
        <v>767</v>
      </c>
      <c r="N778" s="5" t="s">
        <v>1488</v>
      </c>
    </row>
    <row r="779" customFormat="false" ht="46.25" hidden="false" customHeight="false" outlineLevel="0" collapsed="false">
      <c r="A779" s="4" t="s">
        <v>18</v>
      </c>
      <c r="B779" s="5" t="s">
        <v>1486</v>
      </c>
      <c r="C779" s="6" t="s">
        <v>41</v>
      </c>
      <c r="D779" s="6"/>
      <c r="E779" s="4" t="s">
        <v>763</v>
      </c>
      <c r="F779" s="4" t="s">
        <v>256</v>
      </c>
      <c r="G779" s="6" t="s">
        <v>1489</v>
      </c>
      <c r="H779" s="6" t="s">
        <v>769</v>
      </c>
      <c r="I779" s="5" t="s">
        <v>770</v>
      </c>
      <c r="J779" s="5" t="s">
        <v>26</v>
      </c>
      <c r="K779" s="7" t="n">
        <v>1</v>
      </c>
      <c r="L779" s="8" t="s">
        <v>771</v>
      </c>
      <c r="M779" s="4" t="s">
        <v>772</v>
      </c>
      <c r="N779" s="5" t="s">
        <v>1488</v>
      </c>
    </row>
    <row r="780" customFormat="false" ht="46.25" hidden="false" customHeight="false" outlineLevel="0" collapsed="false">
      <c r="A780" s="4" t="s">
        <v>18</v>
      </c>
      <c r="B780" s="5" t="s">
        <v>1486</v>
      </c>
      <c r="C780" s="6" t="s">
        <v>41</v>
      </c>
      <c r="D780" s="6"/>
      <c r="E780" s="4" t="s">
        <v>763</v>
      </c>
      <c r="F780" s="4" t="s">
        <v>413</v>
      </c>
      <c r="G780" s="6" t="s">
        <v>1490</v>
      </c>
      <c r="H780" s="6" t="s">
        <v>769</v>
      </c>
      <c r="I780" s="5" t="s">
        <v>770</v>
      </c>
      <c r="J780" s="5" t="s">
        <v>26</v>
      </c>
      <c r="K780" s="7" t="n">
        <v>1</v>
      </c>
      <c r="L780" s="8" t="s">
        <v>771</v>
      </c>
      <c r="M780" s="4" t="s">
        <v>772</v>
      </c>
      <c r="N780" s="5" t="s">
        <v>1488</v>
      </c>
    </row>
    <row r="781" customFormat="false" ht="46.25" hidden="false" customHeight="false" outlineLevel="0" collapsed="false">
      <c r="A781" s="4" t="s">
        <v>18</v>
      </c>
      <c r="B781" s="5" t="s">
        <v>1486</v>
      </c>
      <c r="C781" s="6" t="s">
        <v>41</v>
      </c>
      <c r="D781" s="6"/>
      <c r="E781" s="4" t="s">
        <v>763</v>
      </c>
      <c r="F781" s="4" t="s">
        <v>42</v>
      </c>
      <c r="G781" s="6" t="s">
        <v>1491</v>
      </c>
      <c r="H781" s="6" t="s">
        <v>769</v>
      </c>
      <c r="I781" s="5" t="s">
        <v>770</v>
      </c>
      <c r="J781" s="5" t="s">
        <v>26</v>
      </c>
      <c r="K781" s="7" t="n">
        <v>1</v>
      </c>
      <c r="L781" s="8" t="s">
        <v>771</v>
      </c>
      <c r="M781" s="4" t="s">
        <v>772</v>
      </c>
      <c r="N781" s="5" t="s">
        <v>1488</v>
      </c>
    </row>
    <row r="782" customFormat="false" ht="46.25" hidden="false" customHeight="false" outlineLevel="0" collapsed="false">
      <c r="A782" s="4" t="s">
        <v>18</v>
      </c>
      <c r="B782" s="5" t="s">
        <v>1486</v>
      </c>
      <c r="C782" s="6" t="s">
        <v>41</v>
      </c>
      <c r="D782" s="6"/>
      <c r="E782" s="4" t="s">
        <v>763</v>
      </c>
      <c r="F782" s="4" t="s">
        <v>879</v>
      </c>
      <c r="G782" s="6" t="s">
        <v>1492</v>
      </c>
      <c r="H782" s="6" t="s">
        <v>769</v>
      </c>
      <c r="I782" s="5" t="s">
        <v>770</v>
      </c>
      <c r="J782" s="5" t="s">
        <v>26</v>
      </c>
      <c r="K782" s="7" t="n">
        <v>1</v>
      </c>
      <c r="L782" s="8" t="s">
        <v>771</v>
      </c>
      <c r="M782" s="4" t="s">
        <v>772</v>
      </c>
      <c r="N782" s="5" t="s">
        <v>1488</v>
      </c>
    </row>
    <row r="783" customFormat="false" ht="46.25" hidden="false" customHeight="false" outlineLevel="0" collapsed="false">
      <c r="A783" s="4" t="s">
        <v>18</v>
      </c>
      <c r="B783" s="5" t="s">
        <v>1486</v>
      </c>
      <c r="C783" s="6" t="s">
        <v>41</v>
      </c>
      <c r="D783" s="6"/>
      <c r="E783" s="4" t="s">
        <v>763</v>
      </c>
      <c r="F783" s="4" t="s">
        <v>823</v>
      </c>
      <c r="G783" s="6" t="s">
        <v>1493</v>
      </c>
      <c r="H783" s="6" t="s">
        <v>769</v>
      </c>
      <c r="I783" s="5" t="s">
        <v>770</v>
      </c>
      <c r="J783" s="5" t="s">
        <v>26</v>
      </c>
      <c r="K783" s="7" t="n">
        <v>1</v>
      </c>
      <c r="L783" s="8" t="s">
        <v>771</v>
      </c>
      <c r="M783" s="4" t="s">
        <v>772</v>
      </c>
      <c r="N783" s="5" t="s">
        <v>1488</v>
      </c>
    </row>
    <row r="784" customFormat="false" ht="46.25" hidden="false" customHeight="false" outlineLevel="0" collapsed="false">
      <c r="A784" s="4" t="s">
        <v>18</v>
      </c>
      <c r="B784" s="5" t="s">
        <v>1486</v>
      </c>
      <c r="C784" s="6" t="s">
        <v>41</v>
      </c>
      <c r="D784" s="6"/>
      <c r="E784" s="4" t="s">
        <v>763</v>
      </c>
      <c r="F784" s="4" t="s">
        <v>924</v>
      </c>
      <c r="G784" s="6" t="s">
        <v>1494</v>
      </c>
      <c r="H784" s="6" t="s">
        <v>769</v>
      </c>
      <c r="I784" s="5" t="s">
        <v>770</v>
      </c>
      <c r="J784" s="5" t="s">
        <v>26</v>
      </c>
      <c r="K784" s="7" t="n">
        <v>1</v>
      </c>
      <c r="L784" s="8" t="s">
        <v>771</v>
      </c>
      <c r="M784" s="4" t="s">
        <v>772</v>
      </c>
      <c r="N784" s="5" t="s">
        <v>1488</v>
      </c>
    </row>
    <row r="785" customFormat="false" ht="23.85" hidden="false" customHeight="false" outlineLevel="0" collapsed="false">
      <c r="A785" s="4" t="s">
        <v>18</v>
      </c>
      <c r="B785" s="5" t="s">
        <v>1495</v>
      </c>
      <c r="C785" s="6" t="s">
        <v>41</v>
      </c>
      <c r="D785" s="6"/>
      <c r="E785" s="4" t="s">
        <v>763</v>
      </c>
      <c r="F785" s="4" t="s">
        <v>413</v>
      </c>
      <c r="G785" s="6" t="s">
        <v>1490</v>
      </c>
      <c r="H785" s="6" t="s">
        <v>765</v>
      </c>
      <c r="I785" s="5" t="s">
        <v>766</v>
      </c>
      <c r="J785" s="5" t="s">
        <v>26</v>
      </c>
      <c r="K785" s="7" t="n">
        <v>0.6</v>
      </c>
      <c r="L785" s="6"/>
      <c r="M785" s="4" t="s">
        <v>767</v>
      </c>
      <c r="N785" s="5" t="s">
        <v>1496</v>
      </c>
    </row>
    <row r="786" customFormat="false" ht="46.25" hidden="false" customHeight="false" outlineLevel="0" collapsed="false">
      <c r="A786" s="4" t="s">
        <v>18</v>
      </c>
      <c r="B786" s="5" t="s">
        <v>1495</v>
      </c>
      <c r="C786" s="6" t="s">
        <v>41</v>
      </c>
      <c r="D786" s="6"/>
      <c r="E786" s="4" t="s">
        <v>763</v>
      </c>
      <c r="F786" s="4" t="s">
        <v>413</v>
      </c>
      <c r="G786" s="6" t="s">
        <v>1490</v>
      </c>
      <c r="H786" s="6" t="s">
        <v>769</v>
      </c>
      <c r="I786" s="5" t="s">
        <v>770</v>
      </c>
      <c r="J786" s="5" t="s">
        <v>26</v>
      </c>
      <c r="K786" s="7" t="n">
        <v>1</v>
      </c>
      <c r="L786" s="8" t="s">
        <v>771</v>
      </c>
      <c r="M786" s="4" t="s">
        <v>772</v>
      </c>
      <c r="N786" s="5" t="s">
        <v>1496</v>
      </c>
    </row>
    <row r="787" customFormat="false" ht="23.85" hidden="false" customHeight="false" outlineLevel="0" collapsed="false">
      <c r="A787" s="4" t="s">
        <v>18</v>
      </c>
      <c r="B787" s="5" t="s">
        <v>1497</v>
      </c>
      <c r="C787" s="6" t="s">
        <v>41</v>
      </c>
      <c r="D787" s="6"/>
      <c r="E787" s="4" t="s">
        <v>763</v>
      </c>
      <c r="F787" s="4" t="s">
        <v>823</v>
      </c>
      <c r="G787" s="6" t="s">
        <v>1493</v>
      </c>
      <c r="H787" s="6" t="s">
        <v>765</v>
      </c>
      <c r="I787" s="5" t="s">
        <v>766</v>
      </c>
      <c r="J787" s="5" t="s">
        <v>26</v>
      </c>
      <c r="K787" s="7" t="n">
        <v>0.6</v>
      </c>
      <c r="L787" s="6"/>
      <c r="M787" s="4" t="s">
        <v>767</v>
      </c>
      <c r="N787" s="5" t="s">
        <v>1498</v>
      </c>
    </row>
    <row r="788" customFormat="false" ht="46.25" hidden="false" customHeight="false" outlineLevel="0" collapsed="false">
      <c r="A788" s="4" t="s">
        <v>18</v>
      </c>
      <c r="B788" s="5" t="s">
        <v>1497</v>
      </c>
      <c r="C788" s="6" t="s">
        <v>41</v>
      </c>
      <c r="D788" s="6"/>
      <c r="E788" s="4" t="s">
        <v>763</v>
      </c>
      <c r="F788" s="4" t="s">
        <v>823</v>
      </c>
      <c r="G788" s="6" t="s">
        <v>1493</v>
      </c>
      <c r="H788" s="6" t="s">
        <v>769</v>
      </c>
      <c r="I788" s="5" t="s">
        <v>770</v>
      </c>
      <c r="J788" s="5" t="s">
        <v>26</v>
      </c>
      <c r="K788" s="7" t="n">
        <v>1</v>
      </c>
      <c r="L788" s="8" t="s">
        <v>771</v>
      </c>
      <c r="M788" s="4" t="s">
        <v>772</v>
      </c>
      <c r="N788" s="5" t="s">
        <v>1498</v>
      </c>
    </row>
    <row r="789" customFormat="false" ht="23.85" hidden="false" customHeight="false" outlineLevel="0" collapsed="false">
      <c r="A789" s="4" t="s">
        <v>18</v>
      </c>
      <c r="B789" s="5" t="s">
        <v>1499</v>
      </c>
      <c r="C789" s="6" t="s">
        <v>41</v>
      </c>
      <c r="D789" s="6"/>
      <c r="E789" s="4" t="s">
        <v>763</v>
      </c>
      <c r="F789" s="4" t="s">
        <v>37</v>
      </c>
      <c r="G789" s="6" t="s">
        <v>1500</v>
      </c>
      <c r="H789" s="6" t="s">
        <v>765</v>
      </c>
      <c r="I789" s="5" t="s">
        <v>766</v>
      </c>
      <c r="J789" s="5" t="s">
        <v>26</v>
      </c>
      <c r="K789" s="7" t="n">
        <v>0.6</v>
      </c>
      <c r="L789" s="6"/>
      <c r="M789" s="4" t="s">
        <v>767</v>
      </c>
      <c r="N789" s="5" t="s">
        <v>1501</v>
      </c>
    </row>
    <row r="790" customFormat="false" ht="23.85" hidden="false" customHeight="false" outlineLevel="0" collapsed="false">
      <c r="A790" s="4" t="s">
        <v>18</v>
      </c>
      <c r="B790" s="5" t="s">
        <v>1499</v>
      </c>
      <c r="C790" s="6" t="s">
        <v>41</v>
      </c>
      <c r="D790" s="6"/>
      <c r="E790" s="4" t="s">
        <v>763</v>
      </c>
      <c r="F790" s="4" t="s">
        <v>243</v>
      </c>
      <c r="G790" s="6" t="s">
        <v>1502</v>
      </c>
      <c r="H790" s="6" t="s">
        <v>765</v>
      </c>
      <c r="I790" s="5" t="s">
        <v>766</v>
      </c>
      <c r="J790" s="5" t="s">
        <v>26</v>
      </c>
      <c r="K790" s="7" t="n">
        <v>0.6</v>
      </c>
      <c r="L790" s="6"/>
      <c r="M790" s="4" t="s">
        <v>767</v>
      </c>
      <c r="N790" s="5" t="s">
        <v>1501</v>
      </c>
    </row>
    <row r="791" customFormat="false" ht="23.85" hidden="false" customHeight="false" outlineLevel="0" collapsed="false">
      <c r="A791" s="4" t="s">
        <v>18</v>
      </c>
      <c r="B791" s="5" t="s">
        <v>1499</v>
      </c>
      <c r="C791" s="6" t="s">
        <v>41</v>
      </c>
      <c r="D791" s="6"/>
      <c r="E791" s="4" t="s">
        <v>763</v>
      </c>
      <c r="F791" s="4" t="s">
        <v>22</v>
      </c>
      <c r="G791" s="6" t="s">
        <v>1503</v>
      </c>
      <c r="H791" s="6" t="s">
        <v>765</v>
      </c>
      <c r="I791" s="5" t="s">
        <v>766</v>
      </c>
      <c r="J791" s="5" t="s">
        <v>26</v>
      </c>
      <c r="K791" s="7" t="n">
        <v>0.6</v>
      </c>
      <c r="L791" s="6"/>
      <c r="M791" s="4" t="s">
        <v>767</v>
      </c>
      <c r="N791" s="5" t="s">
        <v>1501</v>
      </c>
    </row>
    <row r="792" customFormat="false" ht="23.85" hidden="false" customHeight="false" outlineLevel="0" collapsed="false">
      <c r="A792" s="4" t="s">
        <v>18</v>
      </c>
      <c r="B792" s="5" t="s">
        <v>1499</v>
      </c>
      <c r="C792" s="6" t="s">
        <v>41</v>
      </c>
      <c r="D792" s="6"/>
      <c r="E792" s="4" t="s">
        <v>763</v>
      </c>
      <c r="F792" s="4" t="s">
        <v>223</v>
      </c>
      <c r="G792" s="6" t="s">
        <v>1504</v>
      </c>
      <c r="H792" s="6" t="s">
        <v>765</v>
      </c>
      <c r="I792" s="5" t="s">
        <v>766</v>
      </c>
      <c r="J792" s="5" t="s">
        <v>26</v>
      </c>
      <c r="K792" s="7" t="n">
        <v>0.6</v>
      </c>
      <c r="L792" s="6"/>
      <c r="M792" s="4" t="s">
        <v>767</v>
      </c>
      <c r="N792" s="5" t="s">
        <v>1501</v>
      </c>
    </row>
    <row r="793" customFormat="false" ht="23.85" hidden="false" customHeight="false" outlineLevel="0" collapsed="false">
      <c r="A793" s="4" t="s">
        <v>18</v>
      </c>
      <c r="B793" s="5" t="s">
        <v>1499</v>
      </c>
      <c r="C793" s="6" t="s">
        <v>41</v>
      </c>
      <c r="D793" s="6"/>
      <c r="E793" s="4" t="s">
        <v>763</v>
      </c>
      <c r="F793" s="4" t="s">
        <v>1505</v>
      </c>
      <c r="G793" s="6" t="s">
        <v>1506</v>
      </c>
      <c r="H793" s="6" t="s">
        <v>765</v>
      </c>
      <c r="I793" s="5" t="s">
        <v>766</v>
      </c>
      <c r="J793" s="5" t="s">
        <v>26</v>
      </c>
      <c r="K793" s="7" t="n">
        <v>0.6</v>
      </c>
      <c r="L793" s="6"/>
      <c r="M793" s="4" t="s">
        <v>767</v>
      </c>
      <c r="N793" s="5" t="s">
        <v>1501</v>
      </c>
    </row>
    <row r="794" customFormat="false" ht="46.25" hidden="false" customHeight="false" outlineLevel="0" collapsed="false">
      <c r="A794" s="4" t="s">
        <v>18</v>
      </c>
      <c r="B794" s="5" t="s">
        <v>1499</v>
      </c>
      <c r="C794" s="6" t="s">
        <v>41</v>
      </c>
      <c r="D794" s="6"/>
      <c r="E794" s="4" t="s">
        <v>763</v>
      </c>
      <c r="F794" s="4" t="s">
        <v>37</v>
      </c>
      <c r="G794" s="6" t="s">
        <v>1500</v>
      </c>
      <c r="H794" s="6" t="s">
        <v>769</v>
      </c>
      <c r="I794" s="5" t="s">
        <v>770</v>
      </c>
      <c r="J794" s="5" t="s">
        <v>26</v>
      </c>
      <c r="K794" s="7" t="n">
        <v>1</v>
      </c>
      <c r="L794" s="8" t="s">
        <v>771</v>
      </c>
      <c r="M794" s="4" t="s">
        <v>772</v>
      </c>
      <c r="N794" s="5" t="s">
        <v>1501</v>
      </c>
    </row>
    <row r="795" customFormat="false" ht="46.25" hidden="false" customHeight="false" outlineLevel="0" collapsed="false">
      <c r="A795" s="4" t="s">
        <v>18</v>
      </c>
      <c r="B795" s="5" t="s">
        <v>1499</v>
      </c>
      <c r="C795" s="6" t="s">
        <v>41</v>
      </c>
      <c r="D795" s="6"/>
      <c r="E795" s="4" t="s">
        <v>763</v>
      </c>
      <c r="F795" s="4" t="s">
        <v>243</v>
      </c>
      <c r="G795" s="6" t="s">
        <v>1502</v>
      </c>
      <c r="H795" s="6" t="s">
        <v>769</v>
      </c>
      <c r="I795" s="5" t="s">
        <v>770</v>
      </c>
      <c r="J795" s="5" t="s">
        <v>26</v>
      </c>
      <c r="K795" s="7" t="n">
        <v>1</v>
      </c>
      <c r="L795" s="8" t="s">
        <v>771</v>
      </c>
      <c r="M795" s="4" t="s">
        <v>772</v>
      </c>
      <c r="N795" s="5" t="s">
        <v>1501</v>
      </c>
    </row>
    <row r="796" customFormat="false" ht="46.25" hidden="false" customHeight="false" outlineLevel="0" collapsed="false">
      <c r="A796" s="4" t="s">
        <v>18</v>
      </c>
      <c r="B796" s="5" t="s">
        <v>1499</v>
      </c>
      <c r="C796" s="6" t="s">
        <v>41</v>
      </c>
      <c r="D796" s="6"/>
      <c r="E796" s="4" t="s">
        <v>763</v>
      </c>
      <c r="F796" s="4" t="s">
        <v>22</v>
      </c>
      <c r="G796" s="6" t="s">
        <v>1503</v>
      </c>
      <c r="H796" s="6" t="s">
        <v>769</v>
      </c>
      <c r="I796" s="5" t="s">
        <v>770</v>
      </c>
      <c r="J796" s="5" t="s">
        <v>26</v>
      </c>
      <c r="K796" s="7" t="n">
        <v>1</v>
      </c>
      <c r="L796" s="8" t="s">
        <v>771</v>
      </c>
      <c r="M796" s="4" t="s">
        <v>772</v>
      </c>
      <c r="N796" s="5" t="s">
        <v>1501</v>
      </c>
    </row>
    <row r="797" customFormat="false" ht="46.25" hidden="false" customHeight="false" outlineLevel="0" collapsed="false">
      <c r="A797" s="4" t="s">
        <v>18</v>
      </c>
      <c r="B797" s="5" t="s">
        <v>1499</v>
      </c>
      <c r="C797" s="6" t="s">
        <v>41</v>
      </c>
      <c r="D797" s="6"/>
      <c r="E797" s="4" t="s">
        <v>763</v>
      </c>
      <c r="F797" s="4" t="s">
        <v>223</v>
      </c>
      <c r="G797" s="6" t="s">
        <v>1504</v>
      </c>
      <c r="H797" s="6" t="s">
        <v>769</v>
      </c>
      <c r="I797" s="5" t="s">
        <v>770</v>
      </c>
      <c r="J797" s="5" t="s">
        <v>26</v>
      </c>
      <c r="K797" s="7" t="n">
        <v>1</v>
      </c>
      <c r="L797" s="8" t="s">
        <v>771</v>
      </c>
      <c r="M797" s="4" t="s">
        <v>772</v>
      </c>
      <c r="N797" s="5" t="s">
        <v>1501</v>
      </c>
    </row>
    <row r="798" customFormat="false" ht="46.25" hidden="false" customHeight="false" outlineLevel="0" collapsed="false">
      <c r="A798" s="4" t="s">
        <v>18</v>
      </c>
      <c r="B798" s="5" t="s">
        <v>1499</v>
      </c>
      <c r="C798" s="6" t="s">
        <v>41</v>
      </c>
      <c r="D798" s="6"/>
      <c r="E798" s="4" t="s">
        <v>763</v>
      </c>
      <c r="F798" s="4" t="s">
        <v>1505</v>
      </c>
      <c r="G798" s="6" t="s">
        <v>1506</v>
      </c>
      <c r="H798" s="6" t="s">
        <v>769</v>
      </c>
      <c r="I798" s="5" t="s">
        <v>770</v>
      </c>
      <c r="J798" s="5" t="s">
        <v>26</v>
      </c>
      <c r="K798" s="7" t="n">
        <v>1</v>
      </c>
      <c r="L798" s="8" t="s">
        <v>771</v>
      </c>
      <c r="M798" s="4" t="s">
        <v>772</v>
      </c>
      <c r="N798" s="5" t="s">
        <v>1501</v>
      </c>
    </row>
    <row r="799" customFormat="false" ht="35.05" hidden="false" customHeight="false" outlineLevel="0" collapsed="false">
      <c r="A799" s="4" t="s">
        <v>18</v>
      </c>
      <c r="B799" s="5" t="s">
        <v>1507</v>
      </c>
      <c r="C799" s="6" t="s">
        <v>41</v>
      </c>
      <c r="D799" s="6"/>
      <c r="E799" s="4" t="s">
        <v>1142</v>
      </c>
      <c r="F799" s="4" t="s">
        <v>205</v>
      </c>
      <c r="G799" s="6" t="s">
        <v>1508</v>
      </c>
      <c r="H799" s="6" t="s">
        <v>1136</v>
      </c>
      <c r="I799" s="5" t="s">
        <v>1144</v>
      </c>
      <c r="J799" s="5" t="s">
        <v>26</v>
      </c>
      <c r="K799" s="7" t="n">
        <v>1</v>
      </c>
      <c r="L799" s="6"/>
      <c r="M799" s="4" t="s">
        <v>1145</v>
      </c>
      <c r="N799" s="5" t="s">
        <v>1509</v>
      </c>
    </row>
    <row r="800" customFormat="false" ht="23.85" hidden="false" customHeight="false" outlineLevel="0" collapsed="false">
      <c r="A800" s="4" t="s">
        <v>18</v>
      </c>
      <c r="B800" s="5" t="s">
        <v>1510</v>
      </c>
      <c r="C800" s="6" t="s">
        <v>41</v>
      </c>
      <c r="D800" s="6"/>
      <c r="E800" s="4" t="s">
        <v>763</v>
      </c>
      <c r="F800" s="4" t="s">
        <v>1511</v>
      </c>
      <c r="G800" s="6" t="s">
        <v>1512</v>
      </c>
      <c r="H800" s="6" t="s">
        <v>765</v>
      </c>
      <c r="I800" s="5" t="s">
        <v>766</v>
      </c>
      <c r="J800" s="5" t="s">
        <v>26</v>
      </c>
      <c r="K800" s="7" t="n">
        <v>0.6</v>
      </c>
      <c r="L800" s="6"/>
      <c r="M800" s="4" t="s">
        <v>767</v>
      </c>
      <c r="N800" s="5" t="s">
        <v>1513</v>
      </c>
    </row>
    <row r="801" customFormat="false" ht="23.85" hidden="false" customHeight="false" outlineLevel="0" collapsed="false">
      <c r="A801" s="4" t="s">
        <v>18</v>
      </c>
      <c r="B801" s="5" t="s">
        <v>1510</v>
      </c>
      <c r="C801" s="6" t="s">
        <v>41</v>
      </c>
      <c r="D801" s="6"/>
      <c r="E801" s="4" t="s">
        <v>763</v>
      </c>
      <c r="F801" s="4" t="s">
        <v>1514</v>
      </c>
      <c r="G801" s="6" t="s">
        <v>1515</v>
      </c>
      <c r="H801" s="6" t="s">
        <v>765</v>
      </c>
      <c r="I801" s="5" t="s">
        <v>766</v>
      </c>
      <c r="J801" s="5" t="s">
        <v>26</v>
      </c>
      <c r="K801" s="7" t="n">
        <v>0.6</v>
      </c>
      <c r="L801" s="6"/>
      <c r="M801" s="4" t="s">
        <v>767</v>
      </c>
      <c r="N801" s="5" t="s">
        <v>1513</v>
      </c>
    </row>
    <row r="802" customFormat="false" ht="23.85" hidden="false" customHeight="false" outlineLevel="0" collapsed="false">
      <c r="A802" s="4" t="s">
        <v>18</v>
      </c>
      <c r="B802" s="5" t="s">
        <v>1510</v>
      </c>
      <c r="C802" s="6" t="s">
        <v>41</v>
      </c>
      <c r="D802" s="6"/>
      <c r="E802" s="4" t="s">
        <v>763</v>
      </c>
      <c r="F802" s="4" t="s">
        <v>1516</v>
      </c>
      <c r="G802" s="6" t="s">
        <v>1517</v>
      </c>
      <c r="H802" s="6" t="s">
        <v>765</v>
      </c>
      <c r="I802" s="5" t="s">
        <v>766</v>
      </c>
      <c r="J802" s="5" t="s">
        <v>26</v>
      </c>
      <c r="K802" s="7" t="n">
        <v>0.6</v>
      </c>
      <c r="L802" s="6"/>
      <c r="M802" s="4" t="s">
        <v>767</v>
      </c>
      <c r="N802" s="5" t="s">
        <v>1513</v>
      </c>
    </row>
    <row r="803" customFormat="false" ht="46.25" hidden="false" customHeight="false" outlineLevel="0" collapsed="false">
      <c r="A803" s="4" t="s">
        <v>18</v>
      </c>
      <c r="B803" s="5" t="s">
        <v>1510</v>
      </c>
      <c r="C803" s="6" t="s">
        <v>41</v>
      </c>
      <c r="D803" s="6"/>
      <c r="E803" s="4" t="s">
        <v>763</v>
      </c>
      <c r="F803" s="4" t="s">
        <v>1511</v>
      </c>
      <c r="G803" s="6" t="s">
        <v>1512</v>
      </c>
      <c r="H803" s="6" t="s">
        <v>769</v>
      </c>
      <c r="I803" s="5" t="s">
        <v>770</v>
      </c>
      <c r="J803" s="5" t="s">
        <v>26</v>
      </c>
      <c r="K803" s="7" t="n">
        <v>1</v>
      </c>
      <c r="L803" s="8" t="s">
        <v>771</v>
      </c>
      <c r="M803" s="4" t="s">
        <v>772</v>
      </c>
      <c r="N803" s="5" t="s">
        <v>1513</v>
      </c>
    </row>
    <row r="804" customFormat="false" ht="46.25" hidden="false" customHeight="false" outlineLevel="0" collapsed="false">
      <c r="A804" s="4" t="s">
        <v>18</v>
      </c>
      <c r="B804" s="5" t="s">
        <v>1510</v>
      </c>
      <c r="C804" s="6" t="s">
        <v>41</v>
      </c>
      <c r="D804" s="6"/>
      <c r="E804" s="4" t="s">
        <v>763</v>
      </c>
      <c r="F804" s="4" t="s">
        <v>1514</v>
      </c>
      <c r="G804" s="6" t="s">
        <v>1515</v>
      </c>
      <c r="H804" s="6" t="s">
        <v>769</v>
      </c>
      <c r="I804" s="5" t="s">
        <v>770</v>
      </c>
      <c r="J804" s="5" t="s">
        <v>26</v>
      </c>
      <c r="K804" s="7" t="n">
        <v>1</v>
      </c>
      <c r="L804" s="8" t="s">
        <v>771</v>
      </c>
      <c r="M804" s="4" t="s">
        <v>772</v>
      </c>
      <c r="N804" s="5" t="s">
        <v>1513</v>
      </c>
    </row>
    <row r="805" customFormat="false" ht="46.25" hidden="false" customHeight="false" outlineLevel="0" collapsed="false">
      <c r="A805" s="4" t="s">
        <v>18</v>
      </c>
      <c r="B805" s="5" t="s">
        <v>1510</v>
      </c>
      <c r="C805" s="6" t="s">
        <v>41</v>
      </c>
      <c r="D805" s="6"/>
      <c r="E805" s="4" t="s">
        <v>763</v>
      </c>
      <c r="F805" s="4" t="s">
        <v>1516</v>
      </c>
      <c r="G805" s="6" t="s">
        <v>1517</v>
      </c>
      <c r="H805" s="6" t="s">
        <v>769</v>
      </c>
      <c r="I805" s="5" t="s">
        <v>770</v>
      </c>
      <c r="J805" s="5" t="s">
        <v>26</v>
      </c>
      <c r="K805" s="7" t="n">
        <v>1</v>
      </c>
      <c r="L805" s="8" t="s">
        <v>771</v>
      </c>
      <c r="M805" s="4" t="s">
        <v>772</v>
      </c>
      <c r="N805" s="5" t="s">
        <v>1513</v>
      </c>
    </row>
    <row r="806" customFormat="false" ht="23.85" hidden="false" customHeight="false" outlineLevel="0" collapsed="false">
      <c r="A806" s="4" t="s">
        <v>18</v>
      </c>
      <c r="B806" s="5" t="s">
        <v>1518</v>
      </c>
      <c r="C806" s="6" t="s">
        <v>41</v>
      </c>
      <c r="D806" s="6"/>
      <c r="E806" s="4" t="s">
        <v>1348</v>
      </c>
      <c r="F806" s="4" t="s">
        <v>334</v>
      </c>
      <c r="G806" s="6" t="s">
        <v>1519</v>
      </c>
      <c r="H806" s="6" t="s">
        <v>769</v>
      </c>
      <c r="I806" s="5" t="s">
        <v>1350</v>
      </c>
      <c r="J806" s="5" t="s">
        <v>26</v>
      </c>
      <c r="K806" s="7" t="n">
        <v>1</v>
      </c>
      <c r="L806" s="6"/>
      <c r="M806" s="4" t="s">
        <v>1351</v>
      </c>
      <c r="N806" s="5" t="s">
        <v>1520</v>
      </c>
    </row>
    <row r="807" customFormat="false" ht="23.85" hidden="false" customHeight="false" outlineLevel="0" collapsed="false">
      <c r="A807" s="4" t="s">
        <v>18</v>
      </c>
      <c r="B807" s="5" t="s">
        <v>1521</v>
      </c>
      <c r="C807" s="6" t="s">
        <v>1522</v>
      </c>
      <c r="D807" s="6"/>
      <c r="E807" s="4" t="s">
        <v>1348</v>
      </c>
      <c r="F807" s="4" t="s">
        <v>239</v>
      </c>
      <c r="G807" s="6" t="s">
        <v>1523</v>
      </c>
      <c r="H807" s="6" t="s">
        <v>769</v>
      </c>
      <c r="I807" s="5" t="s">
        <v>1350</v>
      </c>
      <c r="J807" s="5" t="s">
        <v>26</v>
      </c>
      <c r="K807" s="7" t="n">
        <v>1</v>
      </c>
      <c r="L807" s="6"/>
      <c r="M807" s="4" t="s">
        <v>1351</v>
      </c>
      <c r="N807" s="5" t="s">
        <v>1524</v>
      </c>
    </row>
    <row r="808" customFormat="false" ht="23.85" hidden="false" customHeight="false" outlineLevel="0" collapsed="false">
      <c r="A808" s="4" t="s">
        <v>18</v>
      </c>
      <c r="B808" s="5" t="s">
        <v>1525</v>
      </c>
      <c r="C808" s="6" t="s">
        <v>1526</v>
      </c>
      <c r="D808" s="6"/>
      <c r="E808" s="4" t="s">
        <v>1348</v>
      </c>
      <c r="F808" s="4" t="s">
        <v>239</v>
      </c>
      <c r="G808" s="6" t="s">
        <v>1523</v>
      </c>
      <c r="H808" s="6" t="s">
        <v>769</v>
      </c>
      <c r="I808" s="5" t="s">
        <v>1350</v>
      </c>
      <c r="J808" s="5" t="s">
        <v>26</v>
      </c>
      <c r="K808" s="7" t="n">
        <v>1</v>
      </c>
      <c r="L808" s="6"/>
      <c r="M808" s="4" t="s">
        <v>1351</v>
      </c>
      <c r="N808" s="5" t="s">
        <v>1527</v>
      </c>
    </row>
    <row r="809" customFormat="false" ht="23.85" hidden="false" customHeight="false" outlineLevel="0" collapsed="false">
      <c r="A809" s="4" t="s">
        <v>18</v>
      </c>
      <c r="B809" s="5" t="s">
        <v>1528</v>
      </c>
      <c r="C809" s="6" t="s">
        <v>1529</v>
      </c>
      <c r="D809" s="6" t="s">
        <v>1530</v>
      </c>
      <c r="E809" s="4" t="s">
        <v>1348</v>
      </c>
      <c r="F809" s="4" t="s">
        <v>239</v>
      </c>
      <c r="G809" s="6" t="s">
        <v>1523</v>
      </c>
      <c r="H809" s="6" t="s">
        <v>769</v>
      </c>
      <c r="I809" s="5" t="s">
        <v>1350</v>
      </c>
      <c r="J809" s="5" t="s">
        <v>26</v>
      </c>
      <c r="K809" s="7" t="n">
        <v>1</v>
      </c>
      <c r="L809" s="6"/>
      <c r="M809" s="4" t="s">
        <v>1351</v>
      </c>
      <c r="N809" s="5" t="s">
        <v>1531</v>
      </c>
    </row>
    <row r="810" customFormat="false" ht="23.85" hidden="false" customHeight="false" outlineLevel="0" collapsed="false">
      <c r="A810" s="4" t="s">
        <v>18</v>
      </c>
      <c r="B810" s="5" t="s">
        <v>1532</v>
      </c>
      <c r="C810" s="6" t="s">
        <v>41</v>
      </c>
      <c r="D810" s="6"/>
      <c r="E810" s="4" t="s">
        <v>1348</v>
      </c>
      <c r="F810" s="4" t="s">
        <v>358</v>
      </c>
      <c r="G810" s="6" t="s">
        <v>1533</v>
      </c>
      <c r="H810" s="6" t="s">
        <v>769</v>
      </c>
      <c r="I810" s="5" t="s">
        <v>1350</v>
      </c>
      <c r="J810" s="5" t="s">
        <v>26</v>
      </c>
      <c r="K810" s="7" t="n">
        <v>1</v>
      </c>
      <c r="L810" s="6"/>
      <c r="M810" s="4" t="s">
        <v>1351</v>
      </c>
      <c r="N810" s="5" t="s">
        <v>1534</v>
      </c>
    </row>
    <row r="811" customFormat="false" ht="23.85" hidden="false" customHeight="false" outlineLevel="0" collapsed="false">
      <c r="A811" s="4" t="s">
        <v>18</v>
      </c>
      <c r="B811" s="5" t="s">
        <v>1535</v>
      </c>
      <c r="C811" s="6" t="s">
        <v>41</v>
      </c>
      <c r="D811" s="6"/>
      <c r="E811" s="4" t="s">
        <v>1348</v>
      </c>
      <c r="F811" s="4" t="s">
        <v>264</v>
      </c>
      <c r="G811" s="6" t="s">
        <v>1536</v>
      </c>
      <c r="H811" s="6" t="s">
        <v>769</v>
      </c>
      <c r="I811" s="5" t="s">
        <v>1350</v>
      </c>
      <c r="J811" s="5" t="s">
        <v>26</v>
      </c>
      <c r="K811" s="7" t="n">
        <v>1</v>
      </c>
      <c r="L811" s="6"/>
      <c r="M811" s="4" t="s">
        <v>1351</v>
      </c>
      <c r="N811" s="5" t="s">
        <v>1537</v>
      </c>
    </row>
    <row r="812" customFormat="false" ht="57.45" hidden="false" customHeight="false" outlineLevel="0" collapsed="false">
      <c r="A812" s="4" t="s">
        <v>18</v>
      </c>
      <c r="B812" s="5" t="s">
        <v>1538</v>
      </c>
      <c r="C812" s="6" t="s">
        <v>41</v>
      </c>
      <c r="D812" s="6"/>
      <c r="E812" s="4" t="s">
        <v>1348</v>
      </c>
      <c r="F812" s="4" t="s">
        <v>256</v>
      </c>
      <c r="G812" s="6" t="s">
        <v>1539</v>
      </c>
      <c r="H812" s="6" t="s">
        <v>769</v>
      </c>
      <c r="I812" s="5" t="s">
        <v>1350</v>
      </c>
      <c r="J812" s="5" t="s">
        <v>26</v>
      </c>
      <c r="K812" s="7" t="n">
        <v>1</v>
      </c>
      <c r="L812" s="6"/>
      <c r="M812" s="4" t="s">
        <v>1351</v>
      </c>
      <c r="N812" s="5" t="s">
        <v>1540</v>
      </c>
    </row>
    <row r="813" customFormat="false" ht="46.25" hidden="false" customHeight="false" outlineLevel="0" collapsed="false">
      <c r="A813" s="4" t="s">
        <v>18</v>
      </c>
      <c r="B813" s="5" t="s">
        <v>1541</v>
      </c>
      <c r="C813" s="6" t="s">
        <v>1542</v>
      </c>
      <c r="D813" s="6"/>
      <c r="E813" s="4" t="s">
        <v>1348</v>
      </c>
      <c r="F813" s="4" t="s">
        <v>413</v>
      </c>
      <c r="G813" s="6" t="s">
        <v>1543</v>
      </c>
      <c r="H813" s="6" t="s">
        <v>769</v>
      </c>
      <c r="I813" s="5" t="s">
        <v>1350</v>
      </c>
      <c r="J813" s="5" t="s">
        <v>26</v>
      </c>
      <c r="K813" s="7" t="n">
        <v>1</v>
      </c>
      <c r="L813" s="6"/>
      <c r="M813" s="4" t="s">
        <v>1351</v>
      </c>
      <c r="N813" s="5" t="s">
        <v>1544</v>
      </c>
    </row>
    <row r="814" customFormat="false" ht="35.05" hidden="false" customHeight="false" outlineLevel="0" collapsed="false">
      <c r="A814" s="4" t="s">
        <v>18</v>
      </c>
      <c r="B814" s="5" t="s">
        <v>1545</v>
      </c>
      <c r="C814" s="6" t="s">
        <v>41</v>
      </c>
      <c r="D814" s="6"/>
      <c r="E814" s="4" t="s">
        <v>1129</v>
      </c>
      <c r="F814" s="4" t="s">
        <v>1289</v>
      </c>
      <c r="G814" s="6" t="s">
        <v>1546</v>
      </c>
      <c r="H814" s="6" t="s">
        <v>1132</v>
      </c>
      <c r="I814" s="5" t="s">
        <v>1133</v>
      </c>
      <c r="J814" s="5" t="s">
        <v>26</v>
      </c>
      <c r="K814" s="7" t="n">
        <v>0.6</v>
      </c>
      <c r="L814" s="6"/>
      <c r="M814" s="4" t="s">
        <v>1134</v>
      </c>
      <c r="N814" s="5" t="s">
        <v>1547</v>
      </c>
    </row>
    <row r="815" customFormat="false" ht="35.05" hidden="false" customHeight="false" outlineLevel="0" collapsed="false">
      <c r="A815" s="4" t="s">
        <v>18</v>
      </c>
      <c r="B815" s="5" t="s">
        <v>1545</v>
      </c>
      <c r="C815" s="6" t="s">
        <v>41</v>
      </c>
      <c r="D815" s="6"/>
      <c r="E815" s="4" t="s">
        <v>1129</v>
      </c>
      <c r="F815" s="4" t="s">
        <v>1289</v>
      </c>
      <c r="G815" s="6" t="s">
        <v>1546</v>
      </c>
      <c r="H815" s="6" t="s">
        <v>1136</v>
      </c>
      <c r="I815" s="5" t="s">
        <v>1137</v>
      </c>
      <c r="J815" s="5" t="s">
        <v>26</v>
      </c>
      <c r="K815" s="7" t="n">
        <v>1</v>
      </c>
      <c r="L815" s="8" t="s">
        <v>485</v>
      </c>
      <c r="M815" s="4" t="s">
        <v>1138</v>
      </c>
      <c r="N815" s="5" t="s">
        <v>1547</v>
      </c>
    </row>
    <row r="816" customFormat="false" ht="23.85" hidden="false" customHeight="false" outlineLevel="0" collapsed="false">
      <c r="A816" s="4" t="s">
        <v>18</v>
      </c>
      <c r="B816" s="5" t="s">
        <v>1548</v>
      </c>
      <c r="C816" s="6" t="s">
        <v>41</v>
      </c>
      <c r="D816" s="6"/>
      <c r="E816" s="4" t="s">
        <v>763</v>
      </c>
      <c r="F816" s="4" t="s">
        <v>903</v>
      </c>
      <c r="G816" s="6" t="s">
        <v>1549</v>
      </c>
      <c r="H816" s="6" t="s">
        <v>765</v>
      </c>
      <c r="I816" s="5" t="s">
        <v>766</v>
      </c>
      <c r="J816" s="5" t="s">
        <v>26</v>
      </c>
      <c r="K816" s="7" t="n">
        <v>0.6</v>
      </c>
      <c r="L816" s="6"/>
      <c r="M816" s="4" t="s">
        <v>767</v>
      </c>
      <c r="N816" s="5" t="s">
        <v>1550</v>
      </c>
    </row>
    <row r="817" customFormat="false" ht="46.25" hidden="false" customHeight="false" outlineLevel="0" collapsed="false">
      <c r="A817" s="4" t="s">
        <v>18</v>
      </c>
      <c r="B817" s="5" t="s">
        <v>1548</v>
      </c>
      <c r="C817" s="6" t="s">
        <v>41</v>
      </c>
      <c r="D817" s="6"/>
      <c r="E817" s="4" t="s">
        <v>763</v>
      </c>
      <c r="F817" s="4" t="s">
        <v>903</v>
      </c>
      <c r="G817" s="6" t="s">
        <v>1549</v>
      </c>
      <c r="H817" s="6" t="s">
        <v>769</v>
      </c>
      <c r="I817" s="5" t="s">
        <v>770</v>
      </c>
      <c r="J817" s="5" t="s">
        <v>26</v>
      </c>
      <c r="K817" s="7" t="n">
        <v>1</v>
      </c>
      <c r="L817" s="8" t="s">
        <v>771</v>
      </c>
      <c r="M817" s="4" t="s">
        <v>772</v>
      </c>
      <c r="N817" s="5" t="s">
        <v>1550</v>
      </c>
    </row>
    <row r="818" customFormat="false" ht="23.85" hidden="false" customHeight="false" outlineLevel="0" collapsed="false">
      <c r="A818" s="4" t="s">
        <v>18</v>
      </c>
      <c r="B818" s="5" t="s">
        <v>1551</v>
      </c>
      <c r="C818" s="6" t="s">
        <v>41</v>
      </c>
      <c r="D818" s="6"/>
      <c r="E818" s="4" t="s">
        <v>763</v>
      </c>
      <c r="F818" s="4" t="s">
        <v>845</v>
      </c>
      <c r="G818" s="6" t="s">
        <v>1552</v>
      </c>
      <c r="H818" s="6" t="s">
        <v>765</v>
      </c>
      <c r="I818" s="5" t="s">
        <v>766</v>
      </c>
      <c r="J818" s="5" t="s">
        <v>26</v>
      </c>
      <c r="K818" s="7" t="n">
        <v>0.6</v>
      </c>
      <c r="L818" s="6"/>
      <c r="M818" s="4" t="s">
        <v>767</v>
      </c>
      <c r="N818" s="5" t="s">
        <v>1553</v>
      </c>
    </row>
    <row r="819" customFormat="false" ht="46.25" hidden="false" customHeight="false" outlineLevel="0" collapsed="false">
      <c r="A819" s="4" t="s">
        <v>18</v>
      </c>
      <c r="B819" s="5" t="s">
        <v>1551</v>
      </c>
      <c r="C819" s="6" t="s">
        <v>41</v>
      </c>
      <c r="D819" s="6"/>
      <c r="E819" s="4" t="s">
        <v>763</v>
      </c>
      <c r="F819" s="4" t="s">
        <v>845</v>
      </c>
      <c r="G819" s="6" t="s">
        <v>1552</v>
      </c>
      <c r="H819" s="6" t="s">
        <v>769</v>
      </c>
      <c r="I819" s="5" t="s">
        <v>770</v>
      </c>
      <c r="J819" s="5" t="s">
        <v>26</v>
      </c>
      <c r="K819" s="7" t="n">
        <v>1</v>
      </c>
      <c r="L819" s="8" t="s">
        <v>771</v>
      </c>
      <c r="M819" s="4" t="s">
        <v>772</v>
      </c>
      <c r="N819" s="5" t="s">
        <v>1553</v>
      </c>
    </row>
    <row r="820" customFormat="false" ht="23.85" hidden="false" customHeight="false" outlineLevel="0" collapsed="false">
      <c r="A820" s="4" t="s">
        <v>18</v>
      </c>
      <c r="B820" s="5" t="s">
        <v>1554</v>
      </c>
      <c r="C820" s="6" t="s">
        <v>41</v>
      </c>
      <c r="D820" s="6"/>
      <c r="E820" s="4" t="s">
        <v>763</v>
      </c>
      <c r="F820" s="4" t="s">
        <v>477</v>
      </c>
      <c r="G820" s="6" t="s">
        <v>1555</v>
      </c>
      <c r="H820" s="6" t="s">
        <v>765</v>
      </c>
      <c r="I820" s="5" t="s">
        <v>766</v>
      </c>
      <c r="J820" s="5" t="s">
        <v>26</v>
      </c>
      <c r="K820" s="7" t="n">
        <v>0.6</v>
      </c>
      <c r="L820" s="6"/>
      <c r="M820" s="4" t="s">
        <v>767</v>
      </c>
      <c r="N820" s="5" t="s">
        <v>1556</v>
      </c>
    </row>
    <row r="821" customFormat="false" ht="46.25" hidden="false" customHeight="false" outlineLevel="0" collapsed="false">
      <c r="A821" s="4" t="s">
        <v>18</v>
      </c>
      <c r="B821" s="5" t="s">
        <v>1554</v>
      </c>
      <c r="C821" s="6" t="s">
        <v>41</v>
      </c>
      <c r="D821" s="6"/>
      <c r="E821" s="4" t="s">
        <v>763</v>
      </c>
      <c r="F821" s="4" t="s">
        <v>477</v>
      </c>
      <c r="G821" s="6" t="s">
        <v>1555</v>
      </c>
      <c r="H821" s="6" t="s">
        <v>769</v>
      </c>
      <c r="I821" s="5" t="s">
        <v>770</v>
      </c>
      <c r="J821" s="5" t="s">
        <v>26</v>
      </c>
      <c r="K821" s="7" t="n">
        <v>1</v>
      </c>
      <c r="L821" s="8" t="s">
        <v>771</v>
      </c>
      <c r="M821" s="4" t="s">
        <v>772</v>
      </c>
      <c r="N821" s="5" t="s">
        <v>1556</v>
      </c>
    </row>
    <row r="822" customFormat="false" ht="23.85" hidden="false" customHeight="false" outlineLevel="0" collapsed="false">
      <c r="A822" s="4" t="s">
        <v>18</v>
      </c>
      <c r="B822" s="5" t="s">
        <v>1557</v>
      </c>
      <c r="C822" s="6" t="s">
        <v>1558</v>
      </c>
      <c r="D822" s="6"/>
      <c r="E822" s="4" t="s">
        <v>763</v>
      </c>
      <c r="F822" s="4" t="s">
        <v>1559</v>
      </c>
      <c r="G822" s="6" t="s">
        <v>1560</v>
      </c>
      <c r="H822" s="6" t="s">
        <v>765</v>
      </c>
      <c r="I822" s="5" t="s">
        <v>766</v>
      </c>
      <c r="J822" s="5" t="s">
        <v>26</v>
      </c>
      <c r="K822" s="7" t="n">
        <v>0.6</v>
      </c>
      <c r="L822" s="6"/>
      <c r="M822" s="4" t="s">
        <v>767</v>
      </c>
      <c r="N822" s="5" t="s">
        <v>1561</v>
      </c>
    </row>
    <row r="823" customFormat="false" ht="46.25" hidden="false" customHeight="false" outlineLevel="0" collapsed="false">
      <c r="A823" s="4" t="s">
        <v>18</v>
      </c>
      <c r="B823" s="5" t="s">
        <v>1557</v>
      </c>
      <c r="C823" s="6" t="s">
        <v>1558</v>
      </c>
      <c r="D823" s="6"/>
      <c r="E823" s="4" t="s">
        <v>763</v>
      </c>
      <c r="F823" s="4" t="s">
        <v>1559</v>
      </c>
      <c r="G823" s="6" t="s">
        <v>1560</v>
      </c>
      <c r="H823" s="6" t="s">
        <v>769</v>
      </c>
      <c r="I823" s="5" t="s">
        <v>770</v>
      </c>
      <c r="J823" s="5" t="s">
        <v>26</v>
      </c>
      <c r="K823" s="7" t="n">
        <v>1</v>
      </c>
      <c r="L823" s="8" t="s">
        <v>771</v>
      </c>
      <c r="M823" s="4" t="s">
        <v>772</v>
      </c>
      <c r="N823" s="5" t="s">
        <v>1561</v>
      </c>
    </row>
    <row r="824" customFormat="false" ht="23.85" hidden="false" customHeight="false" outlineLevel="0" collapsed="false">
      <c r="A824" s="4" t="s">
        <v>18</v>
      </c>
      <c r="B824" s="5" t="s">
        <v>1562</v>
      </c>
      <c r="C824" s="6" t="s">
        <v>41</v>
      </c>
      <c r="D824" s="6"/>
      <c r="E824" s="4" t="s">
        <v>763</v>
      </c>
      <c r="F824" s="4" t="s">
        <v>1563</v>
      </c>
      <c r="G824" s="6" t="s">
        <v>1564</v>
      </c>
      <c r="H824" s="6" t="s">
        <v>765</v>
      </c>
      <c r="I824" s="5" t="s">
        <v>766</v>
      </c>
      <c r="J824" s="5" t="s">
        <v>26</v>
      </c>
      <c r="K824" s="7" t="n">
        <v>0.6</v>
      </c>
      <c r="L824" s="6"/>
      <c r="M824" s="4" t="s">
        <v>767</v>
      </c>
      <c r="N824" s="5" t="s">
        <v>1565</v>
      </c>
    </row>
    <row r="825" customFormat="false" ht="46.25" hidden="false" customHeight="false" outlineLevel="0" collapsed="false">
      <c r="A825" s="4" t="s">
        <v>18</v>
      </c>
      <c r="B825" s="5" t="s">
        <v>1562</v>
      </c>
      <c r="C825" s="6" t="s">
        <v>41</v>
      </c>
      <c r="D825" s="6"/>
      <c r="E825" s="4" t="s">
        <v>763</v>
      </c>
      <c r="F825" s="4" t="s">
        <v>1563</v>
      </c>
      <c r="G825" s="6" t="s">
        <v>1564</v>
      </c>
      <c r="H825" s="6" t="s">
        <v>769</v>
      </c>
      <c r="I825" s="5" t="s">
        <v>770</v>
      </c>
      <c r="J825" s="5" t="s">
        <v>26</v>
      </c>
      <c r="K825" s="7" t="n">
        <v>1</v>
      </c>
      <c r="L825" s="8" t="s">
        <v>771</v>
      </c>
      <c r="M825" s="4" t="s">
        <v>772</v>
      </c>
      <c r="N825" s="5" t="s">
        <v>1565</v>
      </c>
    </row>
    <row r="826" customFormat="false" ht="23.85" hidden="false" customHeight="false" outlineLevel="0" collapsed="false">
      <c r="A826" s="4" t="s">
        <v>18</v>
      </c>
      <c r="B826" s="5" t="s">
        <v>1566</v>
      </c>
      <c r="C826" s="6" t="s">
        <v>41</v>
      </c>
      <c r="D826" s="6"/>
      <c r="E826" s="4" t="s">
        <v>763</v>
      </c>
      <c r="F826" s="4" t="s">
        <v>1567</v>
      </c>
      <c r="G826" s="6" t="s">
        <v>1568</v>
      </c>
      <c r="H826" s="6" t="s">
        <v>765</v>
      </c>
      <c r="I826" s="5" t="s">
        <v>766</v>
      </c>
      <c r="J826" s="5" t="s">
        <v>26</v>
      </c>
      <c r="K826" s="7" t="n">
        <v>0.6</v>
      </c>
      <c r="L826" s="6"/>
      <c r="M826" s="4" t="s">
        <v>767</v>
      </c>
      <c r="N826" s="5" t="s">
        <v>1569</v>
      </c>
    </row>
    <row r="827" customFormat="false" ht="46.25" hidden="false" customHeight="false" outlineLevel="0" collapsed="false">
      <c r="A827" s="4" t="s">
        <v>18</v>
      </c>
      <c r="B827" s="5" t="s">
        <v>1566</v>
      </c>
      <c r="C827" s="6" t="s">
        <v>41</v>
      </c>
      <c r="D827" s="6"/>
      <c r="E827" s="4" t="s">
        <v>763</v>
      </c>
      <c r="F827" s="4" t="s">
        <v>1567</v>
      </c>
      <c r="G827" s="6" t="s">
        <v>1568</v>
      </c>
      <c r="H827" s="6" t="s">
        <v>769</v>
      </c>
      <c r="I827" s="5" t="s">
        <v>770</v>
      </c>
      <c r="J827" s="5" t="s">
        <v>26</v>
      </c>
      <c r="K827" s="7" t="n">
        <v>1</v>
      </c>
      <c r="L827" s="8" t="s">
        <v>771</v>
      </c>
      <c r="M827" s="4" t="s">
        <v>772</v>
      </c>
      <c r="N827" s="5" t="s">
        <v>1569</v>
      </c>
    </row>
    <row r="828" customFormat="false" ht="23.85" hidden="false" customHeight="false" outlineLevel="0" collapsed="false">
      <c r="A828" s="4" t="s">
        <v>18</v>
      </c>
      <c r="B828" s="5" t="s">
        <v>1570</v>
      </c>
      <c r="C828" s="6" t="s">
        <v>41</v>
      </c>
      <c r="D828" s="6"/>
      <c r="E828" s="4" t="s">
        <v>763</v>
      </c>
      <c r="F828" s="4" t="s">
        <v>1571</v>
      </c>
      <c r="G828" s="6" t="s">
        <v>1572</v>
      </c>
      <c r="H828" s="6" t="s">
        <v>765</v>
      </c>
      <c r="I828" s="5" t="s">
        <v>766</v>
      </c>
      <c r="J828" s="5" t="s">
        <v>26</v>
      </c>
      <c r="K828" s="7" t="n">
        <v>0.6</v>
      </c>
      <c r="L828" s="6"/>
      <c r="M828" s="4" t="s">
        <v>767</v>
      </c>
      <c r="N828" s="5" t="s">
        <v>1573</v>
      </c>
    </row>
    <row r="829" customFormat="false" ht="46.25" hidden="false" customHeight="false" outlineLevel="0" collapsed="false">
      <c r="A829" s="4" t="s">
        <v>18</v>
      </c>
      <c r="B829" s="5" t="s">
        <v>1570</v>
      </c>
      <c r="C829" s="6" t="s">
        <v>41</v>
      </c>
      <c r="D829" s="6"/>
      <c r="E829" s="4" t="s">
        <v>763</v>
      </c>
      <c r="F829" s="4" t="s">
        <v>1571</v>
      </c>
      <c r="G829" s="6" t="s">
        <v>1572</v>
      </c>
      <c r="H829" s="6" t="s">
        <v>769</v>
      </c>
      <c r="I829" s="5" t="s">
        <v>770</v>
      </c>
      <c r="J829" s="5" t="s">
        <v>26</v>
      </c>
      <c r="K829" s="7" t="n">
        <v>1</v>
      </c>
      <c r="L829" s="8" t="s">
        <v>771</v>
      </c>
      <c r="M829" s="4" t="s">
        <v>772</v>
      </c>
      <c r="N829" s="5" t="s">
        <v>1573</v>
      </c>
    </row>
    <row r="830" customFormat="false" ht="23.85" hidden="false" customHeight="false" outlineLevel="0" collapsed="false">
      <c r="A830" s="4" t="s">
        <v>18</v>
      </c>
      <c r="B830" s="5" t="s">
        <v>1574</v>
      </c>
      <c r="C830" s="6" t="s">
        <v>41</v>
      </c>
      <c r="D830" s="6"/>
      <c r="E830" s="4" t="s">
        <v>763</v>
      </c>
      <c r="F830" s="4" t="s">
        <v>1575</v>
      </c>
      <c r="G830" s="6" t="s">
        <v>1576</v>
      </c>
      <c r="H830" s="6" t="s">
        <v>765</v>
      </c>
      <c r="I830" s="5" t="s">
        <v>766</v>
      </c>
      <c r="J830" s="5" t="s">
        <v>26</v>
      </c>
      <c r="K830" s="7" t="n">
        <v>0.6</v>
      </c>
      <c r="L830" s="6"/>
      <c r="M830" s="4" t="s">
        <v>767</v>
      </c>
      <c r="N830" s="5" t="s">
        <v>1577</v>
      </c>
    </row>
    <row r="831" customFormat="false" ht="46.25" hidden="false" customHeight="false" outlineLevel="0" collapsed="false">
      <c r="A831" s="4" t="s">
        <v>18</v>
      </c>
      <c r="B831" s="5" t="s">
        <v>1574</v>
      </c>
      <c r="C831" s="6" t="s">
        <v>41</v>
      </c>
      <c r="D831" s="6"/>
      <c r="E831" s="4" t="s">
        <v>763</v>
      </c>
      <c r="F831" s="4" t="s">
        <v>1575</v>
      </c>
      <c r="G831" s="6" t="s">
        <v>1576</v>
      </c>
      <c r="H831" s="6" t="s">
        <v>769</v>
      </c>
      <c r="I831" s="5" t="s">
        <v>770</v>
      </c>
      <c r="J831" s="5" t="s">
        <v>26</v>
      </c>
      <c r="K831" s="7" t="n">
        <v>1</v>
      </c>
      <c r="L831" s="8" t="s">
        <v>771</v>
      </c>
      <c r="M831" s="4" t="s">
        <v>772</v>
      </c>
      <c r="N831" s="5" t="s">
        <v>1577</v>
      </c>
    </row>
    <row r="832" customFormat="false" ht="23.85" hidden="false" customHeight="false" outlineLevel="0" collapsed="false">
      <c r="A832" s="4" t="s">
        <v>18</v>
      </c>
      <c r="B832" s="5" t="s">
        <v>1578</v>
      </c>
      <c r="C832" s="6" t="s">
        <v>41</v>
      </c>
      <c r="D832" s="6"/>
      <c r="E832" s="4" t="s">
        <v>763</v>
      </c>
      <c r="F832" s="4" t="s">
        <v>1579</v>
      </c>
      <c r="G832" s="6" t="s">
        <v>1580</v>
      </c>
      <c r="H832" s="6" t="s">
        <v>765</v>
      </c>
      <c r="I832" s="5" t="s">
        <v>766</v>
      </c>
      <c r="J832" s="5" t="s">
        <v>26</v>
      </c>
      <c r="K832" s="7" t="n">
        <v>0.6</v>
      </c>
      <c r="L832" s="6"/>
      <c r="M832" s="4" t="s">
        <v>767</v>
      </c>
      <c r="N832" s="5" t="s">
        <v>1581</v>
      </c>
    </row>
    <row r="833" customFormat="false" ht="23.85" hidden="false" customHeight="false" outlineLevel="0" collapsed="false">
      <c r="A833" s="4" t="s">
        <v>18</v>
      </c>
      <c r="B833" s="5" t="s">
        <v>1578</v>
      </c>
      <c r="C833" s="6" t="s">
        <v>41</v>
      </c>
      <c r="D833" s="6"/>
      <c r="E833" s="4" t="s">
        <v>763</v>
      </c>
      <c r="F833" s="4" t="s">
        <v>1582</v>
      </c>
      <c r="G833" s="6" t="s">
        <v>1583</v>
      </c>
      <c r="H833" s="6" t="s">
        <v>765</v>
      </c>
      <c r="I833" s="5" t="s">
        <v>766</v>
      </c>
      <c r="J833" s="5" t="s">
        <v>26</v>
      </c>
      <c r="K833" s="7" t="n">
        <v>0.6</v>
      </c>
      <c r="L833" s="6"/>
      <c r="M833" s="4" t="s">
        <v>767</v>
      </c>
      <c r="N833" s="5" t="s">
        <v>1581</v>
      </c>
    </row>
    <row r="834" customFormat="false" ht="46.25" hidden="false" customHeight="false" outlineLevel="0" collapsed="false">
      <c r="A834" s="4" t="s">
        <v>18</v>
      </c>
      <c r="B834" s="5" t="s">
        <v>1578</v>
      </c>
      <c r="C834" s="6" t="s">
        <v>41</v>
      </c>
      <c r="D834" s="6"/>
      <c r="E834" s="4" t="s">
        <v>763</v>
      </c>
      <c r="F834" s="4" t="s">
        <v>1579</v>
      </c>
      <c r="G834" s="6" t="s">
        <v>1580</v>
      </c>
      <c r="H834" s="6" t="s">
        <v>769</v>
      </c>
      <c r="I834" s="5" t="s">
        <v>770</v>
      </c>
      <c r="J834" s="5" t="s">
        <v>26</v>
      </c>
      <c r="K834" s="7" t="n">
        <v>1</v>
      </c>
      <c r="L834" s="8" t="s">
        <v>771</v>
      </c>
      <c r="M834" s="4" t="s">
        <v>772</v>
      </c>
      <c r="N834" s="5" t="s">
        <v>1581</v>
      </c>
    </row>
    <row r="835" customFormat="false" ht="46.25" hidden="false" customHeight="false" outlineLevel="0" collapsed="false">
      <c r="A835" s="4" t="s">
        <v>18</v>
      </c>
      <c r="B835" s="5" t="s">
        <v>1578</v>
      </c>
      <c r="C835" s="6" t="s">
        <v>41</v>
      </c>
      <c r="D835" s="6"/>
      <c r="E835" s="4" t="s">
        <v>763</v>
      </c>
      <c r="F835" s="4" t="s">
        <v>1582</v>
      </c>
      <c r="G835" s="6" t="s">
        <v>1583</v>
      </c>
      <c r="H835" s="6" t="s">
        <v>769</v>
      </c>
      <c r="I835" s="5" t="s">
        <v>770</v>
      </c>
      <c r="J835" s="5" t="s">
        <v>26</v>
      </c>
      <c r="K835" s="7" t="n">
        <v>1</v>
      </c>
      <c r="L835" s="8" t="s">
        <v>771</v>
      </c>
      <c r="M835" s="4" t="s">
        <v>772</v>
      </c>
      <c r="N835" s="5" t="s">
        <v>1581</v>
      </c>
    </row>
    <row r="836" customFormat="false" ht="23.85" hidden="false" customHeight="false" outlineLevel="0" collapsed="false">
      <c r="A836" s="4" t="s">
        <v>18</v>
      </c>
      <c r="B836" s="5" t="s">
        <v>1584</v>
      </c>
      <c r="C836" s="6" t="s">
        <v>41</v>
      </c>
      <c r="D836" s="6"/>
      <c r="E836" s="4" t="s">
        <v>763</v>
      </c>
      <c r="F836" s="4" t="s">
        <v>1585</v>
      </c>
      <c r="G836" s="6" t="s">
        <v>1586</v>
      </c>
      <c r="H836" s="6" t="s">
        <v>765</v>
      </c>
      <c r="I836" s="5" t="s">
        <v>766</v>
      </c>
      <c r="J836" s="5" t="s">
        <v>26</v>
      </c>
      <c r="K836" s="7" t="n">
        <v>0.6</v>
      </c>
      <c r="L836" s="6"/>
      <c r="M836" s="4" t="s">
        <v>767</v>
      </c>
      <c r="N836" s="5" t="s">
        <v>1587</v>
      </c>
    </row>
    <row r="837" customFormat="false" ht="46.25" hidden="false" customHeight="false" outlineLevel="0" collapsed="false">
      <c r="A837" s="4" t="s">
        <v>18</v>
      </c>
      <c r="B837" s="5" t="s">
        <v>1584</v>
      </c>
      <c r="C837" s="6" t="s">
        <v>41</v>
      </c>
      <c r="D837" s="6"/>
      <c r="E837" s="4" t="s">
        <v>763</v>
      </c>
      <c r="F837" s="4" t="s">
        <v>1585</v>
      </c>
      <c r="G837" s="6" t="s">
        <v>1586</v>
      </c>
      <c r="H837" s="6" t="s">
        <v>769</v>
      </c>
      <c r="I837" s="5" t="s">
        <v>770</v>
      </c>
      <c r="J837" s="5" t="s">
        <v>26</v>
      </c>
      <c r="K837" s="7" t="n">
        <v>1</v>
      </c>
      <c r="L837" s="8" t="s">
        <v>771</v>
      </c>
      <c r="M837" s="4" t="s">
        <v>772</v>
      </c>
      <c r="N837" s="5" t="s">
        <v>1587</v>
      </c>
    </row>
    <row r="838" customFormat="false" ht="23.85" hidden="false" customHeight="false" outlineLevel="0" collapsed="false">
      <c r="A838" s="4" t="s">
        <v>18</v>
      </c>
      <c r="B838" s="5" t="s">
        <v>1588</v>
      </c>
      <c r="C838" s="6" t="s">
        <v>1589</v>
      </c>
      <c r="D838" s="6"/>
      <c r="E838" s="4" t="s">
        <v>763</v>
      </c>
      <c r="F838" s="4" t="s">
        <v>1590</v>
      </c>
      <c r="G838" s="6" t="s">
        <v>1591</v>
      </c>
      <c r="H838" s="6" t="s">
        <v>765</v>
      </c>
      <c r="I838" s="5" t="s">
        <v>766</v>
      </c>
      <c r="J838" s="5" t="s">
        <v>26</v>
      </c>
      <c r="K838" s="7" t="n">
        <v>0.6</v>
      </c>
      <c r="L838" s="6"/>
      <c r="M838" s="4" t="s">
        <v>767</v>
      </c>
      <c r="N838" s="5" t="s">
        <v>1592</v>
      </c>
    </row>
    <row r="839" customFormat="false" ht="46.25" hidden="false" customHeight="false" outlineLevel="0" collapsed="false">
      <c r="A839" s="4" t="s">
        <v>18</v>
      </c>
      <c r="B839" s="5" t="s">
        <v>1588</v>
      </c>
      <c r="C839" s="6" t="s">
        <v>1589</v>
      </c>
      <c r="D839" s="6"/>
      <c r="E839" s="4" t="s">
        <v>763</v>
      </c>
      <c r="F839" s="4" t="s">
        <v>1590</v>
      </c>
      <c r="G839" s="6" t="s">
        <v>1591</v>
      </c>
      <c r="H839" s="6" t="s">
        <v>769</v>
      </c>
      <c r="I839" s="5" t="s">
        <v>770</v>
      </c>
      <c r="J839" s="5" t="s">
        <v>26</v>
      </c>
      <c r="K839" s="7" t="n">
        <v>1</v>
      </c>
      <c r="L839" s="8" t="s">
        <v>771</v>
      </c>
      <c r="M839" s="4" t="s">
        <v>772</v>
      </c>
      <c r="N839" s="5" t="s">
        <v>1592</v>
      </c>
    </row>
    <row r="840" customFormat="false" ht="23.85" hidden="false" customHeight="false" outlineLevel="0" collapsed="false">
      <c r="A840" s="4" t="s">
        <v>18</v>
      </c>
      <c r="B840" s="5" t="s">
        <v>1593</v>
      </c>
      <c r="C840" s="6" t="s">
        <v>41</v>
      </c>
      <c r="D840" s="6"/>
      <c r="E840" s="4" t="s">
        <v>580</v>
      </c>
      <c r="F840" s="4" t="s">
        <v>1177</v>
      </c>
      <c r="G840" s="6" t="s">
        <v>1594</v>
      </c>
      <c r="H840" s="6" t="s">
        <v>583</v>
      </c>
      <c r="I840" s="5" t="s">
        <v>584</v>
      </c>
      <c r="J840" s="5" t="s">
        <v>26</v>
      </c>
      <c r="K840" s="7" t="n">
        <v>0.6</v>
      </c>
      <c r="L840" s="8" t="s">
        <v>585</v>
      </c>
      <c r="M840" s="4" t="s">
        <v>586</v>
      </c>
      <c r="N840" s="5" t="s">
        <v>1595</v>
      </c>
    </row>
    <row r="841" customFormat="false" ht="23.85" hidden="false" customHeight="false" outlineLevel="0" collapsed="false">
      <c r="A841" s="4" t="s">
        <v>18</v>
      </c>
      <c r="B841" s="5" t="s">
        <v>1593</v>
      </c>
      <c r="C841" s="6" t="s">
        <v>41</v>
      </c>
      <c r="D841" s="6"/>
      <c r="E841" s="4" t="s">
        <v>580</v>
      </c>
      <c r="F841" s="4" t="s">
        <v>1177</v>
      </c>
      <c r="G841" s="6" t="s">
        <v>1594</v>
      </c>
      <c r="H841" s="6" t="s">
        <v>588</v>
      </c>
      <c r="I841" s="5" t="s">
        <v>589</v>
      </c>
      <c r="J841" s="5" t="s">
        <v>26</v>
      </c>
      <c r="K841" s="7" t="n">
        <v>0.6</v>
      </c>
      <c r="L841" s="8" t="s">
        <v>590</v>
      </c>
      <c r="M841" s="4" t="s">
        <v>591</v>
      </c>
      <c r="N841" s="5" t="s">
        <v>1595</v>
      </c>
    </row>
    <row r="842" customFormat="false" ht="35.05" hidden="false" customHeight="false" outlineLevel="0" collapsed="false">
      <c r="A842" s="4" t="s">
        <v>18</v>
      </c>
      <c r="B842" s="5" t="s">
        <v>1596</v>
      </c>
      <c r="C842" s="6" t="s">
        <v>41</v>
      </c>
      <c r="D842" s="6"/>
      <c r="E842" s="4" t="s">
        <v>1129</v>
      </c>
      <c r="F842" s="4" t="s">
        <v>1292</v>
      </c>
      <c r="G842" s="6" t="s">
        <v>1597</v>
      </c>
      <c r="H842" s="6" t="s">
        <v>1132</v>
      </c>
      <c r="I842" s="5" t="s">
        <v>1133</v>
      </c>
      <c r="J842" s="5" t="s">
        <v>26</v>
      </c>
      <c r="K842" s="7" t="n">
        <v>0.6</v>
      </c>
      <c r="L842" s="6"/>
      <c r="M842" s="4" t="s">
        <v>1134</v>
      </c>
      <c r="N842" s="5" t="s">
        <v>1598</v>
      </c>
    </row>
    <row r="843" customFormat="false" ht="35.05" hidden="false" customHeight="false" outlineLevel="0" collapsed="false">
      <c r="A843" s="4" t="s">
        <v>18</v>
      </c>
      <c r="B843" s="5" t="s">
        <v>1596</v>
      </c>
      <c r="C843" s="6" t="s">
        <v>41</v>
      </c>
      <c r="D843" s="6"/>
      <c r="E843" s="4" t="s">
        <v>1129</v>
      </c>
      <c r="F843" s="4" t="s">
        <v>1292</v>
      </c>
      <c r="G843" s="6" t="s">
        <v>1597</v>
      </c>
      <c r="H843" s="6" t="s">
        <v>1136</v>
      </c>
      <c r="I843" s="5" t="s">
        <v>1137</v>
      </c>
      <c r="J843" s="5" t="s">
        <v>26</v>
      </c>
      <c r="K843" s="7" t="n">
        <v>1</v>
      </c>
      <c r="L843" s="8" t="s">
        <v>485</v>
      </c>
      <c r="M843" s="4" t="s">
        <v>1138</v>
      </c>
      <c r="N843" s="5" t="s">
        <v>1598</v>
      </c>
    </row>
    <row r="844" customFormat="false" ht="35.05" hidden="false" customHeight="false" outlineLevel="0" collapsed="false">
      <c r="A844" s="4" t="s">
        <v>18</v>
      </c>
      <c r="B844" s="5" t="s">
        <v>1599</v>
      </c>
      <c r="C844" s="6" t="s">
        <v>41</v>
      </c>
      <c r="D844" s="6"/>
      <c r="E844" s="4" t="s">
        <v>1129</v>
      </c>
      <c r="F844" s="4" t="s">
        <v>1292</v>
      </c>
      <c r="G844" s="6" t="s">
        <v>1597</v>
      </c>
      <c r="H844" s="6" t="s">
        <v>1132</v>
      </c>
      <c r="I844" s="5" t="s">
        <v>1133</v>
      </c>
      <c r="J844" s="5" t="s">
        <v>26</v>
      </c>
      <c r="K844" s="7" t="n">
        <v>0.6</v>
      </c>
      <c r="L844" s="6"/>
      <c r="M844" s="4" t="s">
        <v>1134</v>
      </c>
      <c r="N844" s="5" t="s">
        <v>1600</v>
      </c>
    </row>
    <row r="845" customFormat="false" ht="35.05" hidden="false" customHeight="false" outlineLevel="0" collapsed="false">
      <c r="A845" s="4" t="s">
        <v>18</v>
      </c>
      <c r="B845" s="5" t="s">
        <v>1599</v>
      </c>
      <c r="C845" s="6" t="s">
        <v>41</v>
      </c>
      <c r="D845" s="6"/>
      <c r="E845" s="4" t="s">
        <v>1129</v>
      </c>
      <c r="F845" s="4" t="s">
        <v>1292</v>
      </c>
      <c r="G845" s="6" t="s">
        <v>1597</v>
      </c>
      <c r="H845" s="6" t="s">
        <v>1136</v>
      </c>
      <c r="I845" s="5" t="s">
        <v>1137</v>
      </c>
      <c r="J845" s="5" t="s">
        <v>26</v>
      </c>
      <c r="K845" s="7" t="n">
        <v>1</v>
      </c>
      <c r="L845" s="8" t="s">
        <v>485</v>
      </c>
      <c r="M845" s="4" t="s">
        <v>1138</v>
      </c>
      <c r="N845" s="5" t="s">
        <v>1600</v>
      </c>
    </row>
    <row r="846" customFormat="false" ht="35.05" hidden="false" customHeight="false" outlineLevel="0" collapsed="false">
      <c r="A846" s="4" t="s">
        <v>18</v>
      </c>
      <c r="B846" s="5" t="s">
        <v>1601</v>
      </c>
      <c r="C846" s="6" t="s">
        <v>41</v>
      </c>
      <c r="D846" s="6"/>
      <c r="E846" s="4" t="s">
        <v>1129</v>
      </c>
      <c r="F846" s="4" t="s">
        <v>1292</v>
      </c>
      <c r="G846" s="6" t="s">
        <v>1597</v>
      </c>
      <c r="H846" s="6" t="s">
        <v>1132</v>
      </c>
      <c r="I846" s="5" t="s">
        <v>1133</v>
      </c>
      <c r="J846" s="5" t="s">
        <v>26</v>
      </c>
      <c r="K846" s="7" t="n">
        <v>0.6</v>
      </c>
      <c r="L846" s="6"/>
      <c r="M846" s="4" t="s">
        <v>1134</v>
      </c>
      <c r="N846" s="5" t="s">
        <v>1602</v>
      </c>
    </row>
    <row r="847" customFormat="false" ht="35.05" hidden="false" customHeight="false" outlineLevel="0" collapsed="false">
      <c r="A847" s="4" t="s">
        <v>18</v>
      </c>
      <c r="B847" s="5" t="s">
        <v>1601</v>
      </c>
      <c r="C847" s="6" t="s">
        <v>41</v>
      </c>
      <c r="D847" s="6"/>
      <c r="E847" s="4" t="s">
        <v>1129</v>
      </c>
      <c r="F847" s="4" t="s">
        <v>1292</v>
      </c>
      <c r="G847" s="6" t="s">
        <v>1597</v>
      </c>
      <c r="H847" s="6" t="s">
        <v>1136</v>
      </c>
      <c r="I847" s="5" t="s">
        <v>1137</v>
      </c>
      <c r="J847" s="5" t="s">
        <v>26</v>
      </c>
      <c r="K847" s="7" t="n">
        <v>1</v>
      </c>
      <c r="L847" s="8" t="s">
        <v>485</v>
      </c>
      <c r="M847" s="4" t="s">
        <v>1138</v>
      </c>
      <c r="N847" s="5" t="s">
        <v>1602</v>
      </c>
    </row>
    <row r="848" customFormat="false" ht="35.05" hidden="false" customHeight="false" outlineLevel="0" collapsed="false">
      <c r="A848" s="4" t="s">
        <v>18</v>
      </c>
      <c r="B848" s="5" t="s">
        <v>1603</v>
      </c>
      <c r="C848" s="6" t="s">
        <v>41</v>
      </c>
      <c r="D848" s="6"/>
      <c r="E848" s="4" t="s">
        <v>1129</v>
      </c>
      <c r="F848" s="4" t="s">
        <v>1604</v>
      </c>
      <c r="G848" s="6" t="s">
        <v>1605</v>
      </c>
      <c r="H848" s="6" t="s">
        <v>1132</v>
      </c>
      <c r="I848" s="5" t="s">
        <v>1133</v>
      </c>
      <c r="J848" s="5" t="s">
        <v>26</v>
      </c>
      <c r="K848" s="7" t="n">
        <v>0.6</v>
      </c>
      <c r="L848" s="6"/>
      <c r="M848" s="4" t="s">
        <v>1134</v>
      </c>
      <c r="N848" s="5" t="s">
        <v>1606</v>
      </c>
    </row>
    <row r="849" customFormat="false" ht="35.05" hidden="false" customHeight="false" outlineLevel="0" collapsed="false">
      <c r="A849" s="4" t="s">
        <v>18</v>
      </c>
      <c r="B849" s="5" t="s">
        <v>1603</v>
      </c>
      <c r="C849" s="6" t="s">
        <v>41</v>
      </c>
      <c r="D849" s="6"/>
      <c r="E849" s="4" t="s">
        <v>1129</v>
      </c>
      <c r="F849" s="4" t="s">
        <v>1604</v>
      </c>
      <c r="G849" s="6" t="s">
        <v>1605</v>
      </c>
      <c r="H849" s="6" t="s">
        <v>1136</v>
      </c>
      <c r="I849" s="5" t="s">
        <v>1137</v>
      </c>
      <c r="J849" s="5" t="s">
        <v>26</v>
      </c>
      <c r="K849" s="7" t="n">
        <v>1</v>
      </c>
      <c r="L849" s="8" t="s">
        <v>485</v>
      </c>
      <c r="M849" s="4" t="s">
        <v>1138</v>
      </c>
      <c r="N849" s="5" t="s">
        <v>1606</v>
      </c>
    </row>
    <row r="850" customFormat="false" ht="35.05" hidden="false" customHeight="false" outlineLevel="0" collapsed="false">
      <c r="A850" s="4" t="s">
        <v>18</v>
      </c>
      <c r="B850" s="5" t="s">
        <v>1607</v>
      </c>
      <c r="C850" s="6" t="s">
        <v>41</v>
      </c>
      <c r="D850" s="6"/>
      <c r="E850" s="4" t="s">
        <v>1129</v>
      </c>
      <c r="F850" s="4" t="s">
        <v>1604</v>
      </c>
      <c r="G850" s="6" t="s">
        <v>1605</v>
      </c>
      <c r="H850" s="6" t="s">
        <v>1132</v>
      </c>
      <c r="I850" s="5" t="s">
        <v>1133</v>
      </c>
      <c r="J850" s="5" t="s">
        <v>26</v>
      </c>
      <c r="K850" s="7" t="n">
        <v>0.6</v>
      </c>
      <c r="L850" s="6"/>
      <c r="M850" s="4" t="s">
        <v>1134</v>
      </c>
      <c r="N850" s="5" t="s">
        <v>1608</v>
      </c>
    </row>
    <row r="851" customFormat="false" ht="35.05" hidden="false" customHeight="false" outlineLevel="0" collapsed="false">
      <c r="A851" s="4" t="s">
        <v>18</v>
      </c>
      <c r="B851" s="5" t="s">
        <v>1607</v>
      </c>
      <c r="C851" s="6" t="s">
        <v>41</v>
      </c>
      <c r="D851" s="6"/>
      <c r="E851" s="4" t="s">
        <v>1129</v>
      </c>
      <c r="F851" s="4" t="s">
        <v>1604</v>
      </c>
      <c r="G851" s="6" t="s">
        <v>1605</v>
      </c>
      <c r="H851" s="6" t="s">
        <v>1136</v>
      </c>
      <c r="I851" s="5" t="s">
        <v>1137</v>
      </c>
      <c r="J851" s="5" t="s">
        <v>26</v>
      </c>
      <c r="K851" s="7" t="n">
        <v>1</v>
      </c>
      <c r="L851" s="8" t="s">
        <v>485</v>
      </c>
      <c r="M851" s="4" t="s">
        <v>1138</v>
      </c>
      <c r="N851" s="5" t="s">
        <v>1608</v>
      </c>
    </row>
    <row r="852" customFormat="false" ht="23.85" hidden="false" customHeight="false" outlineLevel="0" collapsed="false">
      <c r="A852" s="4" t="s">
        <v>18</v>
      </c>
      <c r="B852" s="5" t="s">
        <v>1609</v>
      </c>
      <c r="C852" s="6" t="s">
        <v>41</v>
      </c>
      <c r="D852" s="6"/>
      <c r="E852" s="4" t="s">
        <v>580</v>
      </c>
      <c r="F852" s="4" t="s">
        <v>1195</v>
      </c>
      <c r="G852" s="6" t="s">
        <v>1610</v>
      </c>
      <c r="H852" s="6" t="s">
        <v>583</v>
      </c>
      <c r="I852" s="5" t="s">
        <v>584</v>
      </c>
      <c r="J852" s="5" t="s">
        <v>26</v>
      </c>
      <c r="K852" s="7" t="n">
        <v>0.6</v>
      </c>
      <c r="L852" s="8" t="s">
        <v>585</v>
      </c>
      <c r="M852" s="4" t="s">
        <v>586</v>
      </c>
      <c r="N852" s="5" t="s">
        <v>1611</v>
      </c>
    </row>
    <row r="853" customFormat="false" ht="23.85" hidden="false" customHeight="false" outlineLevel="0" collapsed="false">
      <c r="A853" s="4" t="s">
        <v>18</v>
      </c>
      <c r="B853" s="5" t="s">
        <v>1609</v>
      </c>
      <c r="C853" s="6" t="s">
        <v>41</v>
      </c>
      <c r="D853" s="6"/>
      <c r="E853" s="4" t="s">
        <v>580</v>
      </c>
      <c r="F853" s="4" t="s">
        <v>1195</v>
      </c>
      <c r="G853" s="6" t="s">
        <v>1610</v>
      </c>
      <c r="H853" s="6" t="s">
        <v>588</v>
      </c>
      <c r="I853" s="5" t="s">
        <v>589</v>
      </c>
      <c r="J853" s="5" t="s">
        <v>26</v>
      </c>
      <c r="K853" s="7" t="n">
        <v>0.6</v>
      </c>
      <c r="L853" s="8" t="s">
        <v>590</v>
      </c>
      <c r="M853" s="4" t="s">
        <v>591</v>
      </c>
      <c r="N853" s="5" t="s">
        <v>1611</v>
      </c>
    </row>
    <row r="854" customFormat="false" ht="23.85" hidden="false" customHeight="false" outlineLevel="0" collapsed="false">
      <c r="A854" s="4" t="s">
        <v>18</v>
      </c>
      <c r="B854" s="5" t="s">
        <v>1612</v>
      </c>
      <c r="C854" s="6" t="s">
        <v>1613</v>
      </c>
      <c r="D854" s="6"/>
      <c r="E854" s="4" t="s">
        <v>580</v>
      </c>
      <c r="F854" s="4" t="s">
        <v>1614</v>
      </c>
      <c r="G854" s="6" t="s">
        <v>1615</v>
      </c>
      <c r="H854" s="6" t="s">
        <v>583</v>
      </c>
      <c r="I854" s="5" t="s">
        <v>584</v>
      </c>
      <c r="J854" s="5" t="s">
        <v>26</v>
      </c>
      <c r="K854" s="7" t="n">
        <v>0.6</v>
      </c>
      <c r="L854" s="8" t="s">
        <v>585</v>
      </c>
      <c r="M854" s="4" t="s">
        <v>586</v>
      </c>
      <c r="N854" s="5" t="s">
        <v>1616</v>
      </c>
    </row>
    <row r="855" customFormat="false" ht="23.85" hidden="false" customHeight="false" outlineLevel="0" collapsed="false">
      <c r="A855" s="4" t="s">
        <v>18</v>
      </c>
      <c r="B855" s="5" t="s">
        <v>1612</v>
      </c>
      <c r="C855" s="6" t="s">
        <v>1613</v>
      </c>
      <c r="D855" s="6"/>
      <c r="E855" s="4" t="s">
        <v>580</v>
      </c>
      <c r="F855" s="4" t="s">
        <v>1614</v>
      </c>
      <c r="G855" s="6" t="s">
        <v>1615</v>
      </c>
      <c r="H855" s="6" t="s">
        <v>588</v>
      </c>
      <c r="I855" s="5" t="s">
        <v>589</v>
      </c>
      <c r="J855" s="5" t="s">
        <v>26</v>
      </c>
      <c r="K855" s="7" t="n">
        <v>0.6</v>
      </c>
      <c r="L855" s="8" t="s">
        <v>590</v>
      </c>
      <c r="M855" s="4" t="s">
        <v>591</v>
      </c>
      <c r="N855" s="5" t="s">
        <v>1616</v>
      </c>
    </row>
    <row r="856" customFormat="false" ht="23.85" hidden="false" customHeight="false" outlineLevel="0" collapsed="false">
      <c r="A856" s="4" t="s">
        <v>18</v>
      </c>
      <c r="B856" s="5" t="s">
        <v>1612</v>
      </c>
      <c r="C856" s="6" t="s">
        <v>1613</v>
      </c>
      <c r="D856" s="6"/>
      <c r="E856" s="4" t="s">
        <v>580</v>
      </c>
      <c r="F856" s="4" t="s">
        <v>1617</v>
      </c>
      <c r="G856" s="6" t="s">
        <v>1618</v>
      </c>
      <c r="H856" s="6" t="s">
        <v>583</v>
      </c>
      <c r="I856" s="5" t="s">
        <v>584</v>
      </c>
      <c r="J856" s="5" t="s">
        <v>26</v>
      </c>
      <c r="K856" s="7" t="n">
        <v>0.6</v>
      </c>
      <c r="L856" s="8" t="s">
        <v>585</v>
      </c>
      <c r="M856" s="4" t="s">
        <v>586</v>
      </c>
      <c r="N856" s="5" t="s">
        <v>1616</v>
      </c>
    </row>
    <row r="857" customFormat="false" ht="23.85" hidden="false" customHeight="false" outlineLevel="0" collapsed="false">
      <c r="A857" s="4" t="s">
        <v>18</v>
      </c>
      <c r="B857" s="5" t="s">
        <v>1612</v>
      </c>
      <c r="C857" s="6" t="s">
        <v>1613</v>
      </c>
      <c r="D857" s="6"/>
      <c r="E857" s="4" t="s">
        <v>580</v>
      </c>
      <c r="F857" s="4" t="s">
        <v>1617</v>
      </c>
      <c r="G857" s="6" t="s">
        <v>1618</v>
      </c>
      <c r="H857" s="6" t="s">
        <v>588</v>
      </c>
      <c r="I857" s="5" t="s">
        <v>589</v>
      </c>
      <c r="J857" s="5" t="s">
        <v>26</v>
      </c>
      <c r="K857" s="7" t="n">
        <v>0.6</v>
      </c>
      <c r="L857" s="8" t="s">
        <v>590</v>
      </c>
      <c r="M857" s="4" t="s">
        <v>591</v>
      </c>
      <c r="N857" s="5" t="s">
        <v>1616</v>
      </c>
    </row>
    <row r="858" customFormat="false" ht="23.85" hidden="false" customHeight="false" outlineLevel="0" collapsed="false">
      <c r="A858" s="4" t="s">
        <v>18</v>
      </c>
      <c r="B858" s="5" t="s">
        <v>1612</v>
      </c>
      <c r="C858" s="6" t="s">
        <v>1613</v>
      </c>
      <c r="D858" s="6"/>
      <c r="E858" s="4" t="s">
        <v>580</v>
      </c>
      <c r="F858" s="4" t="s">
        <v>1034</v>
      </c>
      <c r="G858" s="6" t="s">
        <v>1035</v>
      </c>
      <c r="H858" s="6" t="s">
        <v>583</v>
      </c>
      <c r="I858" s="5" t="s">
        <v>584</v>
      </c>
      <c r="J858" s="5" t="s">
        <v>26</v>
      </c>
      <c r="K858" s="7" t="n">
        <v>0.6</v>
      </c>
      <c r="L858" s="8" t="s">
        <v>585</v>
      </c>
      <c r="M858" s="4" t="s">
        <v>586</v>
      </c>
      <c r="N858" s="5" t="s">
        <v>1616</v>
      </c>
    </row>
    <row r="859" customFormat="false" ht="23.85" hidden="false" customHeight="false" outlineLevel="0" collapsed="false">
      <c r="A859" s="4" t="s">
        <v>18</v>
      </c>
      <c r="B859" s="5" t="s">
        <v>1612</v>
      </c>
      <c r="C859" s="6" t="s">
        <v>1613</v>
      </c>
      <c r="D859" s="6"/>
      <c r="E859" s="4" t="s">
        <v>580</v>
      </c>
      <c r="F859" s="4" t="s">
        <v>1034</v>
      </c>
      <c r="G859" s="6" t="s">
        <v>1035</v>
      </c>
      <c r="H859" s="6" t="s">
        <v>588</v>
      </c>
      <c r="I859" s="5" t="s">
        <v>589</v>
      </c>
      <c r="J859" s="5" t="s">
        <v>26</v>
      </c>
      <c r="K859" s="7" t="n">
        <v>0.6</v>
      </c>
      <c r="L859" s="8" t="s">
        <v>590</v>
      </c>
      <c r="M859" s="4" t="s">
        <v>591</v>
      </c>
      <c r="N859" s="5" t="s">
        <v>1616</v>
      </c>
    </row>
    <row r="860" customFormat="false" ht="46.25" hidden="false" customHeight="false" outlineLevel="0" collapsed="false">
      <c r="A860" s="4" t="s">
        <v>18</v>
      </c>
      <c r="B860" s="5" t="s">
        <v>1619</v>
      </c>
      <c r="C860" s="6" t="s">
        <v>1620</v>
      </c>
      <c r="D860" s="6"/>
      <c r="E860" s="4" t="s">
        <v>580</v>
      </c>
      <c r="F860" s="4" t="s">
        <v>1621</v>
      </c>
      <c r="G860" s="6" t="s">
        <v>1622</v>
      </c>
      <c r="H860" s="6" t="s">
        <v>583</v>
      </c>
      <c r="I860" s="5" t="s">
        <v>584</v>
      </c>
      <c r="J860" s="5" t="s">
        <v>26</v>
      </c>
      <c r="K860" s="7" t="n">
        <v>0.6</v>
      </c>
      <c r="L860" s="8" t="s">
        <v>585</v>
      </c>
      <c r="M860" s="4" t="s">
        <v>586</v>
      </c>
      <c r="N860" s="5" t="s">
        <v>1623</v>
      </c>
    </row>
    <row r="861" customFormat="false" ht="46.25" hidden="false" customHeight="false" outlineLevel="0" collapsed="false">
      <c r="A861" s="4" t="s">
        <v>18</v>
      </c>
      <c r="B861" s="5" t="s">
        <v>1619</v>
      </c>
      <c r="C861" s="6" t="s">
        <v>1620</v>
      </c>
      <c r="D861" s="6"/>
      <c r="E861" s="4" t="s">
        <v>580</v>
      </c>
      <c r="F861" s="4" t="s">
        <v>1621</v>
      </c>
      <c r="G861" s="6" t="s">
        <v>1622</v>
      </c>
      <c r="H861" s="6" t="s">
        <v>588</v>
      </c>
      <c r="I861" s="5" t="s">
        <v>589</v>
      </c>
      <c r="J861" s="5" t="s">
        <v>26</v>
      </c>
      <c r="K861" s="7" t="n">
        <v>0.6</v>
      </c>
      <c r="L861" s="8" t="s">
        <v>590</v>
      </c>
      <c r="M861" s="4" t="s">
        <v>591</v>
      </c>
      <c r="N861" s="5" t="s">
        <v>1623</v>
      </c>
    </row>
    <row r="862" customFormat="false" ht="23.85" hidden="false" customHeight="false" outlineLevel="0" collapsed="false">
      <c r="A862" s="4" t="s">
        <v>18</v>
      </c>
      <c r="B862" s="5" t="s">
        <v>1624</v>
      </c>
      <c r="C862" s="6" t="s">
        <v>1625</v>
      </c>
      <c r="D862" s="6"/>
      <c r="E862" s="4" t="s">
        <v>763</v>
      </c>
      <c r="F862" s="4" t="s">
        <v>871</v>
      </c>
      <c r="G862" s="6" t="s">
        <v>1626</v>
      </c>
      <c r="H862" s="6" t="s">
        <v>765</v>
      </c>
      <c r="I862" s="5" t="s">
        <v>766</v>
      </c>
      <c r="J862" s="5" t="s">
        <v>26</v>
      </c>
      <c r="K862" s="7" t="n">
        <v>0.6</v>
      </c>
      <c r="L862" s="6"/>
      <c r="M862" s="4" t="s">
        <v>767</v>
      </c>
      <c r="N862" s="5" t="s">
        <v>1627</v>
      </c>
    </row>
    <row r="863" customFormat="false" ht="46.25" hidden="false" customHeight="false" outlineLevel="0" collapsed="false">
      <c r="A863" s="4" t="s">
        <v>18</v>
      </c>
      <c r="B863" s="5" t="s">
        <v>1624</v>
      </c>
      <c r="C863" s="6" t="s">
        <v>1625</v>
      </c>
      <c r="D863" s="6"/>
      <c r="E863" s="4" t="s">
        <v>763</v>
      </c>
      <c r="F863" s="4" t="s">
        <v>871</v>
      </c>
      <c r="G863" s="6" t="s">
        <v>1626</v>
      </c>
      <c r="H863" s="6" t="s">
        <v>769</v>
      </c>
      <c r="I863" s="5" t="s">
        <v>770</v>
      </c>
      <c r="J863" s="5" t="s">
        <v>26</v>
      </c>
      <c r="K863" s="7" t="n">
        <v>1</v>
      </c>
      <c r="L863" s="8" t="s">
        <v>771</v>
      </c>
      <c r="M863" s="4" t="s">
        <v>772</v>
      </c>
      <c r="N863" s="5" t="s">
        <v>1627</v>
      </c>
    </row>
    <row r="864" customFormat="false" ht="23.85" hidden="false" customHeight="false" outlineLevel="0" collapsed="false">
      <c r="A864" s="4" t="s">
        <v>18</v>
      </c>
      <c r="B864" s="5" t="s">
        <v>1628</v>
      </c>
      <c r="C864" s="6" t="s">
        <v>41</v>
      </c>
      <c r="D864" s="6"/>
      <c r="E864" s="4" t="s">
        <v>1013</v>
      </c>
      <c r="F864" s="4" t="s">
        <v>186</v>
      </c>
      <c r="G864" s="6" t="s">
        <v>1629</v>
      </c>
      <c r="H864" s="6" t="s">
        <v>1015</v>
      </c>
      <c r="I864" s="5" t="s">
        <v>1016</v>
      </c>
      <c r="J864" s="5" t="s">
        <v>26</v>
      </c>
      <c r="K864" s="7" t="n">
        <v>0.6</v>
      </c>
      <c r="L864" s="6"/>
      <c r="M864" s="4" t="s">
        <v>1017</v>
      </c>
      <c r="N864" s="5" t="s">
        <v>1630</v>
      </c>
    </row>
    <row r="865" customFormat="false" ht="23.85" hidden="false" customHeight="false" outlineLevel="0" collapsed="false">
      <c r="A865" s="4" t="s">
        <v>18</v>
      </c>
      <c r="B865" s="5" t="s">
        <v>1631</v>
      </c>
      <c r="C865" s="6" t="s">
        <v>41</v>
      </c>
      <c r="D865" s="6"/>
      <c r="E865" s="4" t="s">
        <v>1013</v>
      </c>
      <c r="F865" s="4" t="s">
        <v>239</v>
      </c>
      <c r="G865" s="6" t="s">
        <v>1632</v>
      </c>
      <c r="H865" s="6" t="s">
        <v>1015</v>
      </c>
      <c r="I865" s="5" t="s">
        <v>1016</v>
      </c>
      <c r="J865" s="5" t="s">
        <v>26</v>
      </c>
      <c r="K865" s="7" t="n">
        <v>0.6</v>
      </c>
      <c r="L865" s="6"/>
      <c r="M865" s="4" t="s">
        <v>1017</v>
      </c>
      <c r="N865" s="5" t="s">
        <v>1633</v>
      </c>
    </row>
    <row r="866" customFormat="false" ht="35.05" hidden="false" customHeight="false" outlineLevel="0" collapsed="false">
      <c r="A866" s="4" t="s">
        <v>18</v>
      </c>
      <c r="B866" s="5" t="s">
        <v>1634</v>
      </c>
      <c r="C866" s="6" t="s">
        <v>41</v>
      </c>
      <c r="D866" s="6"/>
      <c r="E866" s="4" t="s">
        <v>629</v>
      </c>
      <c r="F866" s="4" t="s">
        <v>604</v>
      </c>
      <c r="G866" s="6" t="s">
        <v>1635</v>
      </c>
      <c r="H866" s="6" t="s">
        <v>1121</v>
      </c>
      <c r="I866" s="5" t="s">
        <v>1122</v>
      </c>
      <c r="J866" s="5" t="s">
        <v>26</v>
      </c>
      <c r="K866" s="7" t="n">
        <v>0.6</v>
      </c>
      <c r="L866" s="8" t="s">
        <v>1123</v>
      </c>
      <c r="M866" s="4" t="s">
        <v>1124</v>
      </c>
      <c r="N866" s="5" t="s">
        <v>1636</v>
      </c>
    </row>
    <row r="867" customFormat="false" ht="35.05" hidden="false" customHeight="false" outlineLevel="0" collapsed="false">
      <c r="A867" s="4" t="s">
        <v>18</v>
      </c>
      <c r="B867" s="5" t="s">
        <v>1637</v>
      </c>
      <c r="C867" s="6" t="s">
        <v>41</v>
      </c>
      <c r="D867" s="6"/>
      <c r="E867" s="4" t="s">
        <v>629</v>
      </c>
      <c r="F867" s="4" t="s">
        <v>606</v>
      </c>
      <c r="G867" s="6" t="s">
        <v>1638</v>
      </c>
      <c r="H867" s="6" t="s">
        <v>1121</v>
      </c>
      <c r="I867" s="5" t="s">
        <v>1122</v>
      </c>
      <c r="J867" s="5" t="s">
        <v>26</v>
      </c>
      <c r="K867" s="7" t="n">
        <v>0.6</v>
      </c>
      <c r="L867" s="8" t="s">
        <v>1123</v>
      </c>
      <c r="M867" s="4" t="s">
        <v>1124</v>
      </c>
      <c r="N867" s="5" t="s">
        <v>1639</v>
      </c>
    </row>
    <row r="868" customFormat="false" ht="35.05" hidden="false" customHeight="false" outlineLevel="0" collapsed="false">
      <c r="A868" s="4" t="s">
        <v>18</v>
      </c>
      <c r="B868" s="5" t="s">
        <v>1640</v>
      </c>
      <c r="C868" s="6" t="s">
        <v>41</v>
      </c>
      <c r="D868" s="6"/>
      <c r="E868" s="4" t="s">
        <v>629</v>
      </c>
      <c r="F868" s="4" t="s">
        <v>608</v>
      </c>
      <c r="G868" s="6" t="s">
        <v>1641</v>
      </c>
      <c r="H868" s="6" t="s">
        <v>1121</v>
      </c>
      <c r="I868" s="5" t="s">
        <v>1122</v>
      </c>
      <c r="J868" s="5" t="s">
        <v>26</v>
      </c>
      <c r="K868" s="7" t="n">
        <v>0.6</v>
      </c>
      <c r="L868" s="8" t="s">
        <v>1123</v>
      </c>
      <c r="M868" s="4" t="s">
        <v>1124</v>
      </c>
      <c r="N868" s="5" t="s">
        <v>1642</v>
      </c>
    </row>
    <row r="869" customFormat="false" ht="35.05" hidden="false" customHeight="false" outlineLevel="0" collapsed="false">
      <c r="A869" s="4" t="s">
        <v>1643</v>
      </c>
      <c r="B869" s="5" t="s">
        <v>1644</v>
      </c>
      <c r="C869" s="6" t="s">
        <v>1645</v>
      </c>
      <c r="D869" s="6"/>
      <c r="E869" s="4" t="s">
        <v>629</v>
      </c>
      <c r="F869" s="4"/>
      <c r="G869" s="6"/>
      <c r="H869" s="6" t="s">
        <v>1121</v>
      </c>
      <c r="I869" s="5" t="s">
        <v>1122</v>
      </c>
      <c r="J869" s="5" t="s">
        <v>26</v>
      </c>
      <c r="K869" s="7" t="n">
        <v>0.6</v>
      </c>
      <c r="L869" s="8" t="s">
        <v>1123</v>
      </c>
      <c r="M869" s="4" t="s">
        <v>1124</v>
      </c>
      <c r="N869" s="5" t="s">
        <v>1646</v>
      </c>
    </row>
    <row r="870" customFormat="false" ht="35.05" hidden="false" customHeight="false" outlineLevel="0" collapsed="false">
      <c r="A870" s="4" t="s">
        <v>1643</v>
      </c>
      <c r="B870" s="5" t="s">
        <v>1647</v>
      </c>
      <c r="C870" s="6" t="s">
        <v>1648</v>
      </c>
      <c r="D870" s="6"/>
      <c r="E870" s="4" t="s">
        <v>629</v>
      </c>
      <c r="F870" s="4" t="s">
        <v>413</v>
      </c>
      <c r="G870" s="6" t="s">
        <v>1649</v>
      </c>
      <c r="H870" s="6" t="s">
        <v>1121</v>
      </c>
      <c r="I870" s="5" t="s">
        <v>1122</v>
      </c>
      <c r="J870" s="5" t="s">
        <v>26</v>
      </c>
      <c r="K870" s="7" t="n">
        <v>0.6</v>
      </c>
      <c r="L870" s="8" t="s">
        <v>1123</v>
      </c>
      <c r="M870" s="4" t="s">
        <v>1124</v>
      </c>
      <c r="N870" s="5" t="s">
        <v>1650</v>
      </c>
    </row>
    <row r="871" customFormat="false" ht="35.05" hidden="false" customHeight="false" outlineLevel="0" collapsed="false">
      <c r="A871" s="4" t="s">
        <v>1643</v>
      </c>
      <c r="B871" s="5" t="s">
        <v>1651</v>
      </c>
      <c r="C871" s="6" t="s">
        <v>1645</v>
      </c>
      <c r="D871" s="6"/>
      <c r="E871" s="4" t="s">
        <v>629</v>
      </c>
      <c r="F871" s="4" t="s">
        <v>37</v>
      </c>
      <c r="G871" s="6" t="s">
        <v>1652</v>
      </c>
      <c r="H871" s="6" t="s">
        <v>1121</v>
      </c>
      <c r="I871" s="5" t="s">
        <v>1122</v>
      </c>
      <c r="J871" s="5" t="s">
        <v>26</v>
      </c>
      <c r="K871" s="7" t="n">
        <v>0.6</v>
      </c>
      <c r="L871" s="8" t="s">
        <v>1123</v>
      </c>
      <c r="M871" s="4" t="s">
        <v>1124</v>
      </c>
      <c r="N871" s="5" t="s">
        <v>1653</v>
      </c>
    </row>
    <row r="872" customFormat="false" ht="35.05" hidden="false" customHeight="false" outlineLevel="0" collapsed="false">
      <c r="A872" s="4" t="s">
        <v>1643</v>
      </c>
      <c r="B872" s="5" t="s">
        <v>1654</v>
      </c>
      <c r="C872" s="6" t="s">
        <v>1645</v>
      </c>
      <c r="D872" s="6"/>
      <c r="E872" s="4" t="s">
        <v>629</v>
      </c>
      <c r="F872" s="4" t="s">
        <v>243</v>
      </c>
      <c r="G872" s="6" t="s">
        <v>1655</v>
      </c>
      <c r="H872" s="6" t="s">
        <v>1121</v>
      </c>
      <c r="I872" s="5" t="s">
        <v>1122</v>
      </c>
      <c r="J872" s="5" t="s">
        <v>26</v>
      </c>
      <c r="K872" s="7" t="n">
        <v>0.6</v>
      </c>
      <c r="L872" s="8" t="s">
        <v>1123</v>
      </c>
      <c r="M872" s="4" t="s">
        <v>1124</v>
      </c>
      <c r="N872" s="5" t="s">
        <v>1656</v>
      </c>
    </row>
    <row r="873" customFormat="false" ht="35.05" hidden="false" customHeight="false" outlineLevel="0" collapsed="false">
      <c r="A873" s="4" t="s">
        <v>1643</v>
      </c>
      <c r="B873" s="5" t="s">
        <v>1657</v>
      </c>
      <c r="C873" s="6" t="s">
        <v>1645</v>
      </c>
      <c r="D873" s="6"/>
      <c r="E873" s="4" t="s">
        <v>629</v>
      </c>
      <c r="F873" s="4" t="s">
        <v>22</v>
      </c>
      <c r="G873" s="6" t="s">
        <v>1658</v>
      </c>
      <c r="H873" s="6" t="s">
        <v>1121</v>
      </c>
      <c r="I873" s="5" t="s">
        <v>1122</v>
      </c>
      <c r="J873" s="5" t="s">
        <v>26</v>
      </c>
      <c r="K873" s="7" t="n">
        <v>0.6</v>
      </c>
      <c r="L873" s="8" t="s">
        <v>1123</v>
      </c>
      <c r="M873" s="4" t="s">
        <v>1124</v>
      </c>
      <c r="N873" s="5" t="s">
        <v>1659</v>
      </c>
    </row>
    <row r="874" customFormat="false" ht="35.05" hidden="false" customHeight="false" outlineLevel="0" collapsed="false">
      <c r="A874" s="4" t="s">
        <v>1643</v>
      </c>
      <c r="B874" s="5" t="s">
        <v>1660</v>
      </c>
      <c r="C874" s="6" t="s">
        <v>1645</v>
      </c>
      <c r="D874" s="6"/>
      <c r="E874" s="4" t="s">
        <v>629</v>
      </c>
      <c r="F874" s="4" t="s">
        <v>223</v>
      </c>
      <c r="G874" s="6" t="s">
        <v>1661</v>
      </c>
      <c r="H874" s="6" t="s">
        <v>1121</v>
      </c>
      <c r="I874" s="5" t="s">
        <v>1122</v>
      </c>
      <c r="J874" s="5" t="s">
        <v>26</v>
      </c>
      <c r="K874" s="7" t="n">
        <v>0.6</v>
      </c>
      <c r="L874" s="8" t="s">
        <v>1123</v>
      </c>
      <c r="M874" s="4" t="s">
        <v>1124</v>
      </c>
      <c r="N874" s="5" t="s">
        <v>1662</v>
      </c>
    </row>
    <row r="875" customFormat="false" ht="35.05" hidden="false" customHeight="false" outlineLevel="0" collapsed="false">
      <c r="A875" s="4" t="s">
        <v>1643</v>
      </c>
      <c r="B875" s="5" t="s">
        <v>1663</v>
      </c>
      <c r="C875" s="6" t="s">
        <v>1645</v>
      </c>
      <c r="D875" s="6"/>
      <c r="E875" s="4" t="s">
        <v>629</v>
      </c>
      <c r="F875" s="4" t="s">
        <v>42</v>
      </c>
      <c r="G875" s="6" t="s">
        <v>1664</v>
      </c>
      <c r="H875" s="6" t="s">
        <v>1121</v>
      </c>
      <c r="I875" s="5" t="s">
        <v>1122</v>
      </c>
      <c r="J875" s="5" t="s">
        <v>26</v>
      </c>
      <c r="K875" s="7" t="n">
        <v>0.6</v>
      </c>
      <c r="L875" s="8" t="s">
        <v>1123</v>
      </c>
      <c r="M875" s="4" t="s">
        <v>1124</v>
      </c>
      <c r="N875" s="5" t="s">
        <v>1665</v>
      </c>
    </row>
    <row r="876" customFormat="false" ht="35.05" hidden="false" customHeight="false" outlineLevel="0" collapsed="false">
      <c r="A876" s="4" t="s">
        <v>1643</v>
      </c>
      <c r="B876" s="5" t="s">
        <v>1666</v>
      </c>
      <c r="C876" s="6" t="s">
        <v>1667</v>
      </c>
      <c r="D876" s="6"/>
      <c r="E876" s="4" t="s">
        <v>629</v>
      </c>
      <c r="F876" s="4" t="s">
        <v>395</v>
      </c>
      <c r="G876" s="6" t="s">
        <v>1668</v>
      </c>
      <c r="H876" s="6" t="s">
        <v>1121</v>
      </c>
      <c r="I876" s="5" t="s">
        <v>1122</v>
      </c>
      <c r="J876" s="5" t="s">
        <v>26</v>
      </c>
      <c r="K876" s="7" t="n">
        <v>0.6</v>
      </c>
      <c r="L876" s="8" t="s">
        <v>1123</v>
      </c>
      <c r="M876" s="4" t="s">
        <v>1124</v>
      </c>
      <c r="N876" s="5" t="s">
        <v>1669</v>
      </c>
    </row>
    <row r="877" customFormat="false" ht="35.05" hidden="false" customHeight="false" outlineLevel="0" collapsed="false">
      <c r="A877" s="4" t="s">
        <v>1643</v>
      </c>
      <c r="B877" s="5" t="s">
        <v>1670</v>
      </c>
      <c r="C877" s="6" t="s">
        <v>1671</v>
      </c>
      <c r="D877" s="6"/>
      <c r="E877" s="4" t="s">
        <v>629</v>
      </c>
      <c r="F877" s="4" t="s">
        <v>48</v>
      </c>
      <c r="G877" s="6" t="s">
        <v>1672</v>
      </c>
      <c r="H877" s="6" t="s">
        <v>1121</v>
      </c>
      <c r="I877" s="5" t="s">
        <v>1122</v>
      </c>
      <c r="J877" s="5" t="s">
        <v>26</v>
      </c>
      <c r="K877" s="7" t="n">
        <v>0.6</v>
      </c>
      <c r="L877" s="8" t="s">
        <v>1123</v>
      </c>
      <c r="M877" s="4" t="s">
        <v>1124</v>
      </c>
      <c r="N877" s="5" t="s">
        <v>1673</v>
      </c>
    </row>
    <row r="878" customFormat="false" ht="35.05" hidden="false" customHeight="false" outlineLevel="0" collapsed="false">
      <c r="A878" s="4" t="s">
        <v>1643</v>
      </c>
      <c r="B878" s="5" t="s">
        <v>1674</v>
      </c>
      <c r="C878" s="6" t="s">
        <v>1645</v>
      </c>
      <c r="D878" s="6"/>
      <c r="E878" s="4" t="s">
        <v>629</v>
      </c>
      <c r="F878" s="4"/>
      <c r="G878" s="6"/>
      <c r="H878" s="6" t="s">
        <v>1121</v>
      </c>
      <c r="I878" s="5" t="s">
        <v>1122</v>
      </c>
      <c r="J878" s="5" t="s">
        <v>26</v>
      </c>
      <c r="K878" s="7" t="n">
        <v>0.6</v>
      </c>
      <c r="L878" s="8" t="s">
        <v>1123</v>
      </c>
      <c r="M878" s="4" t="s">
        <v>1124</v>
      </c>
      <c r="N878" s="5" t="s">
        <v>1675</v>
      </c>
    </row>
    <row r="879" customFormat="false" ht="23.85" hidden="false" customHeight="false" outlineLevel="0" collapsed="false">
      <c r="A879" s="4" t="s">
        <v>1643</v>
      </c>
      <c r="B879" s="5" t="s">
        <v>1676</v>
      </c>
      <c r="C879" s="6" t="s">
        <v>1645</v>
      </c>
      <c r="D879" s="6"/>
      <c r="E879" s="4" t="s">
        <v>629</v>
      </c>
      <c r="F879" s="4" t="s">
        <v>488</v>
      </c>
      <c r="G879" s="6" t="s">
        <v>1677</v>
      </c>
      <c r="H879" s="6" t="s">
        <v>24</v>
      </c>
      <c r="I879" s="5" t="s">
        <v>25</v>
      </c>
      <c r="J879" s="5" t="s">
        <v>26</v>
      </c>
      <c r="K879" s="7" t="n">
        <v>0.6</v>
      </c>
      <c r="L879" s="6"/>
      <c r="M879" s="4" t="s">
        <v>27</v>
      </c>
      <c r="N879" s="5" t="s">
        <v>1678</v>
      </c>
    </row>
    <row r="880" customFormat="false" ht="35.05" hidden="false" customHeight="false" outlineLevel="0" collapsed="false">
      <c r="A880" s="4" t="s">
        <v>1643</v>
      </c>
      <c r="B880" s="5" t="s">
        <v>1679</v>
      </c>
      <c r="C880" s="6" t="s">
        <v>1680</v>
      </c>
      <c r="D880" s="6"/>
      <c r="E880" s="4" t="s">
        <v>629</v>
      </c>
      <c r="F880" s="4"/>
      <c r="G880" s="6"/>
      <c r="H880" s="6" t="s">
        <v>1121</v>
      </c>
      <c r="I880" s="5" t="s">
        <v>1122</v>
      </c>
      <c r="J880" s="5" t="s">
        <v>26</v>
      </c>
      <c r="K880" s="7" t="n">
        <v>0.6</v>
      </c>
      <c r="L880" s="8" t="s">
        <v>1123</v>
      </c>
      <c r="M880" s="4" t="s">
        <v>1124</v>
      </c>
      <c r="N880" s="5" t="s">
        <v>1681</v>
      </c>
    </row>
    <row r="881" customFormat="false" ht="35.05" hidden="false" customHeight="false" outlineLevel="0" collapsed="false">
      <c r="A881" s="4" t="s">
        <v>1643</v>
      </c>
      <c r="B881" s="5" t="s">
        <v>1682</v>
      </c>
      <c r="C881" s="6" t="s">
        <v>1645</v>
      </c>
      <c r="D881" s="6"/>
      <c r="E881" s="4" t="s">
        <v>629</v>
      </c>
      <c r="F881" s="4" t="s">
        <v>107</v>
      </c>
      <c r="G881" s="6" t="s">
        <v>1683</v>
      </c>
      <c r="H881" s="6" t="s">
        <v>1121</v>
      </c>
      <c r="I881" s="5" t="s">
        <v>1122</v>
      </c>
      <c r="J881" s="5" t="s">
        <v>26</v>
      </c>
      <c r="K881" s="7" t="n">
        <v>0.6</v>
      </c>
      <c r="L881" s="8" t="s">
        <v>1123</v>
      </c>
      <c r="M881" s="4" t="s">
        <v>1124</v>
      </c>
      <c r="N881" s="5" t="s">
        <v>1684</v>
      </c>
    </row>
    <row r="882" customFormat="false" ht="35.05" hidden="false" customHeight="false" outlineLevel="0" collapsed="false">
      <c r="A882" s="4" t="s">
        <v>1643</v>
      </c>
      <c r="B882" s="5" t="s">
        <v>1685</v>
      </c>
      <c r="C882" s="6" t="s">
        <v>1645</v>
      </c>
      <c r="D882" s="6"/>
      <c r="E882" s="4" t="s">
        <v>629</v>
      </c>
      <c r="F882" s="4" t="s">
        <v>89</v>
      </c>
      <c r="G882" s="6" t="s">
        <v>1686</v>
      </c>
      <c r="H882" s="6" t="s">
        <v>1121</v>
      </c>
      <c r="I882" s="5" t="s">
        <v>1122</v>
      </c>
      <c r="J882" s="5" t="s">
        <v>26</v>
      </c>
      <c r="K882" s="7" t="n">
        <v>0.6</v>
      </c>
      <c r="L882" s="8" t="s">
        <v>1123</v>
      </c>
      <c r="M882" s="4" t="s">
        <v>1124</v>
      </c>
      <c r="N882" s="5" t="s">
        <v>1687</v>
      </c>
    </row>
    <row r="883" customFormat="false" ht="35.05" hidden="false" customHeight="false" outlineLevel="0" collapsed="false">
      <c r="A883" s="4" t="s">
        <v>1643</v>
      </c>
      <c r="B883" s="5" t="s">
        <v>1688</v>
      </c>
      <c r="C883" s="6" t="s">
        <v>1645</v>
      </c>
      <c r="D883" s="6"/>
      <c r="E883" s="4" t="s">
        <v>629</v>
      </c>
      <c r="F883" s="4" t="s">
        <v>658</v>
      </c>
      <c r="G883" s="6" t="s">
        <v>1689</v>
      </c>
      <c r="H883" s="6" t="s">
        <v>1121</v>
      </c>
      <c r="I883" s="5" t="s">
        <v>1122</v>
      </c>
      <c r="J883" s="5" t="s">
        <v>26</v>
      </c>
      <c r="K883" s="7" t="n">
        <v>0.6</v>
      </c>
      <c r="L883" s="8" t="s">
        <v>1123</v>
      </c>
      <c r="M883" s="4" t="s">
        <v>1124</v>
      </c>
      <c r="N883" s="5" t="s">
        <v>1690</v>
      </c>
    </row>
    <row r="884" customFormat="false" ht="35.05" hidden="false" customHeight="false" outlineLevel="0" collapsed="false">
      <c r="A884" s="4" t="s">
        <v>1643</v>
      </c>
      <c r="B884" s="5" t="s">
        <v>1691</v>
      </c>
      <c r="C884" s="6" t="s">
        <v>1645</v>
      </c>
      <c r="D884" s="6"/>
      <c r="E884" s="4" t="s">
        <v>629</v>
      </c>
      <c r="F884" s="4" t="s">
        <v>363</v>
      </c>
      <c r="G884" s="6" t="s">
        <v>1692</v>
      </c>
      <c r="H884" s="6" t="s">
        <v>1121</v>
      </c>
      <c r="I884" s="5" t="s">
        <v>1122</v>
      </c>
      <c r="J884" s="5" t="s">
        <v>26</v>
      </c>
      <c r="K884" s="7" t="n">
        <v>0.6</v>
      </c>
      <c r="L884" s="8" t="s">
        <v>1123</v>
      </c>
      <c r="M884" s="4" t="s">
        <v>1124</v>
      </c>
      <c r="N884" s="5" t="s">
        <v>1693</v>
      </c>
    </row>
    <row r="885" customFormat="false" ht="35.05" hidden="false" customHeight="false" outlineLevel="0" collapsed="false">
      <c r="A885" s="4" t="s">
        <v>1643</v>
      </c>
      <c r="B885" s="5" t="s">
        <v>1694</v>
      </c>
      <c r="C885" s="6" t="s">
        <v>1645</v>
      </c>
      <c r="D885" s="6"/>
      <c r="E885" s="4" t="s">
        <v>629</v>
      </c>
      <c r="F885" s="4" t="s">
        <v>526</v>
      </c>
      <c r="G885" s="6" t="s">
        <v>1695</v>
      </c>
      <c r="H885" s="6" t="s">
        <v>1121</v>
      </c>
      <c r="I885" s="5" t="s">
        <v>1122</v>
      </c>
      <c r="J885" s="5" t="s">
        <v>26</v>
      </c>
      <c r="K885" s="7" t="n">
        <v>0.6</v>
      </c>
      <c r="L885" s="8" t="s">
        <v>1123</v>
      </c>
      <c r="M885" s="4" t="s">
        <v>1124</v>
      </c>
      <c r="N885" s="5" t="s">
        <v>1696</v>
      </c>
    </row>
    <row r="886" customFormat="false" ht="35.05" hidden="false" customHeight="false" outlineLevel="0" collapsed="false">
      <c r="A886" s="4" t="s">
        <v>1643</v>
      </c>
      <c r="B886" s="5" t="s">
        <v>1697</v>
      </c>
      <c r="C886" s="6" t="s">
        <v>1698</v>
      </c>
      <c r="D886" s="6"/>
      <c r="E886" s="4" t="s">
        <v>629</v>
      </c>
      <c r="F886" s="4" t="s">
        <v>534</v>
      </c>
      <c r="G886" s="6" t="s">
        <v>1699</v>
      </c>
      <c r="H886" s="6" t="s">
        <v>1121</v>
      </c>
      <c r="I886" s="5" t="s">
        <v>1122</v>
      </c>
      <c r="J886" s="5" t="s">
        <v>26</v>
      </c>
      <c r="K886" s="7" t="n">
        <v>0.6</v>
      </c>
      <c r="L886" s="8" t="s">
        <v>1123</v>
      </c>
      <c r="M886" s="4" t="s">
        <v>1124</v>
      </c>
      <c r="N886" s="5" t="s">
        <v>1700</v>
      </c>
    </row>
    <row r="887" customFormat="false" ht="35.05" hidden="false" customHeight="false" outlineLevel="0" collapsed="false">
      <c r="A887" s="4" t="s">
        <v>1643</v>
      </c>
      <c r="B887" s="5" t="s">
        <v>1701</v>
      </c>
      <c r="C887" s="6" t="s">
        <v>1702</v>
      </c>
      <c r="D887" s="6"/>
      <c r="E887" s="4" t="s">
        <v>629</v>
      </c>
      <c r="F887" s="4" t="s">
        <v>593</v>
      </c>
      <c r="G887" s="6" t="s">
        <v>1703</v>
      </c>
      <c r="H887" s="6" t="s">
        <v>1121</v>
      </c>
      <c r="I887" s="5" t="s">
        <v>1122</v>
      </c>
      <c r="J887" s="5" t="s">
        <v>26</v>
      </c>
      <c r="K887" s="7" t="n">
        <v>0.6</v>
      </c>
      <c r="L887" s="8" t="s">
        <v>1123</v>
      </c>
      <c r="M887" s="4" t="s">
        <v>1124</v>
      </c>
      <c r="N887" s="5" t="s">
        <v>1704</v>
      </c>
    </row>
    <row r="888" customFormat="false" ht="35.05" hidden="false" customHeight="false" outlineLevel="0" collapsed="false">
      <c r="A888" s="4" t="s">
        <v>1643</v>
      </c>
      <c r="B888" s="5" t="s">
        <v>1705</v>
      </c>
      <c r="C888" s="6" t="s">
        <v>1645</v>
      </c>
      <c r="D888" s="6"/>
      <c r="E888" s="4" t="s">
        <v>629</v>
      </c>
      <c r="F888" s="4"/>
      <c r="G888" s="6"/>
      <c r="H888" s="6" t="s">
        <v>1121</v>
      </c>
      <c r="I888" s="5" t="s">
        <v>1122</v>
      </c>
      <c r="J888" s="5" t="s">
        <v>26</v>
      </c>
      <c r="K888" s="7" t="n">
        <v>0.6</v>
      </c>
      <c r="L888" s="8" t="s">
        <v>1123</v>
      </c>
      <c r="M888" s="4" t="s">
        <v>1124</v>
      </c>
      <c r="N888" s="5" t="s">
        <v>1706</v>
      </c>
    </row>
    <row r="889" customFormat="false" ht="35.05" hidden="false" customHeight="false" outlineLevel="0" collapsed="false">
      <c r="A889" s="4" t="s">
        <v>1643</v>
      </c>
      <c r="B889" s="5" t="s">
        <v>1707</v>
      </c>
      <c r="C889" s="6" t="s">
        <v>1645</v>
      </c>
      <c r="D889" s="6"/>
      <c r="E889" s="4" t="s">
        <v>629</v>
      </c>
      <c r="F889" s="4" t="s">
        <v>709</v>
      </c>
      <c r="G889" s="6" t="s">
        <v>1708</v>
      </c>
      <c r="H889" s="6" t="s">
        <v>1121</v>
      </c>
      <c r="I889" s="5" t="s">
        <v>1122</v>
      </c>
      <c r="J889" s="5" t="s">
        <v>26</v>
      </c>
      <c r="K889" s="7" t="n">
        <v>0.6</v>
      </c>
      <c r="L889" s="8" t="s">
        <v>1123</v>
      </c>
      <c r="M889" s="4" t="s">
        <v>1124</v>
      </c>
      <c r="N889" s="5" t="s">
        <v>1709</v>
      </c>
    </row>
    <row r="890" customFormat="false" ht="35.05" hidden="false" customHeight="false" outlineLevel="0" collapsed="false">
      <c r="A890" s="4" t="s">
        <v>1643</v>
      </c>
      <c r="B890" s="5" t="s">
        <v>1710</v>
      </c>
      <c r="C890" s="6" t="s">
        <v>1645</v>
      </c>
      <c r="D890" s="6"/>
      <c r="E890" s="4" t="s">
        <v>629</v>
      </c>
      <c r="F890" s="4" t="s">
        <v>718</v>
      </c>
      <c r="G890" s="6" t="s">
        <v>1711</v>
      </c>
      <c r="H890" s="6" t="s">
        <v>1121</v>
      </c>
      <c r="I890" s="5" t="s">
        <v>1122</v>
      </c>
      <c r="J890" s="5" t="s">
        <v>26</v>
      </c>
      <c r="K890" s="7" t="n">
        <v>0.6</v>
      </c>
      <c r="L890" s="8" t="s">
        <v>1123</v>
      </c>
      <c r="M890" s="4" t="s">
        <v>1124</v>
      </c>
      <c r="N890" s="5" t="s">
        <v>1712</v>
      </c>
    </row>
    <row r="891" customFormat="false" ht="35.05" hidden="false" customHeight="false" outlineLevel="0" collapsed="false">
      <c r="A891" s="4" t="s">
        <v>1643</v>
      </c>
      <c r="B891" s="5" t="s">
        <v>1713</v>
      </c>
      <c r="C891" s="6" t="s">
        <v>1645</v>
      </c>
      <c r="D891" s="6"/>
      <c r="E891" s="4" t="s">
        <v>629</v>
      </c>
      <c r="F891" s="4" t="s">
        <v>1004</v>
      </c>
      <c r="G891" s="6" t="s">
        <v>1714</v>
      </c>
      <c r="H891" s="6" t="s">
        <v>1121</v>
      </c>
      <c r="I891" s="5" t="s">
        <v>1122</v>
      </c>
      <c r="J891" s="5" t="s">
        <v>26</v>
      </c>
      <c r="K891" s="7" t="n">
        <v>0.6</v>
      </c>
      <c r="L891" s="8" t="s">
        <v>1123</v>
      </c>
      <c r="M891" s="4" t="s">
        <v>1124</v>
      </c>
      <c r="N891" s="5" t="s">
        <v>1715</v>
      </c>
    </row>
    <row r="892" customFormat="false" ht="35.05" hidden="false" customHeight="false" outlineLevel="0" collapsed="false">
      <c r="A892" s="4" t="s">
        <v>1643</v>
      </c>
      <c r="B892" s="5" t="s">
        <v>1716</v>
      </c>
      <c r="C892" s="6" t="s">
        <v>1645</v>
      </c>
      <c r="D892" s="6"/>
      <c r="E892" s="4" t="s">
        <v>629</v>
      </c>
      <c r="F892" s="4" t="s">
        <v>663</v>
      </c>
      <c r="G892" s="6" t="s">
        <v>1717</v>
      </c>
      <c r="H892" s="6" t="s">
        <v>1121</v>
      </c>
      <c r="I892" s="5" t="s">
        <v>1122</v>
      </c>
      <c r="J892" s="5" t="s">
        <v>26</v>
      </c>
      <c r="K892" s="7" t="n">
        <v>0.6</v>
      </c>
      <c r="L892" s="8" t="s">
        <v>1123</v>
      </c>
      <c r="M892" s="4" t="s">
        <v>1124</v>
      </c>
      <c r="N892" s="5" t="s">
        <v>1718</v>
      </c>
    </row>
    <row r="893" customFormat="false" ht="23.85" hidden="false" customHeight="false" outlineLevel="0" collapsed="false">
      <c r="A893" s="4" t="s">
        <v>1643</v>
      </c>
      <c r="B893" s="5" t="s">
        <v>1719</v>
      </c>
      <c r="C893" s="6" t="s">
        <v>1645</v>
      </c>
      <c r="D893" s="6"/>
      <c r="E893" s="4" t="s">
        <v>629</v>
      </c>
      <c r="F893" s="4" t="s">
        <v>264</v>
      </c>
      <c r="G893" s="6" t="s">
        <v>1720</v>
      </c>
      <c r="H893" s="6" t="s">
        <v>24</v>
      </c>
      <c r="I893" s="5" t="s">
        <v>25</v>
      </c>
      <c r="J893" s="5" t="s">
        <v>26</v>
      </c>
      <c r="K893" s="7" t="n">
        <v>0.6</v>
      </c>
      <c r="L893" s="6"/>
      <c r="M893" s="4" t="s">
        <v>27</v>
      </c>
      <c r="N893" s="5" t="s">
        <v>1721</v>
      </c>
    </row>
    <row r="894" customFormat="false" ht="23.85" hidden="false" customHeight="false" outlineLevel="0" collapsed="false">
      <c r="A894" s="4" t="s">
        <v>1643</v>
      </c>
      <c r="B894" s="5" t="s">
        <v>1722</v>
      </c>
      <c r="C894" s="6" t="s">
        <v>1645</v>
      </c>
      <c r="D894" s="6"/>
      <c r="E894" s="4" t="s">
        <v>629</v>
      </c>
      <c r="F894" s="4" t="s">
        <v>251</v>
      </c>
      <c r="G894" s="6" t="s">
        <v>1723</v>
      </c>
      <c r="H894" s="6" t="s">
        <v>24</v>
      </c>
      <c r="I894" s="5" t="s">
        <v>25</v>
      </c>
      <c r="J894" s="5" t="s">
        <v>26</v>
      </c>
      <c r="K894" s="7" t="n">
        <v>0.6</v>
      </c>
      <c r="L894" s="6"/>
      <c r="M894" s="4" t="s">
        <v>27</v>
      </c>
      <c r="N894" s="5" t="s">
        <v>1724</v>
      </c>
    </row>
    <row r="895" customFormat="false" ht="23.85" hidden="false" customHeight="false" outlineLevel="0" collapsed="false">
      <c r="A895" s="4" t="s">
        <v>1643</v>
      </c>
      <c r="B895" s="5" t="s">
        <v>1725</v>
      </c>
      <c r="C895" s="6" t="s">
        <v>1645</v>
      </c>
      <c r="D895" s="6"/>
      <c r="E895" s="4" t="s">
        <v>629</v>
      </c>
      <c r="F895" s="4" t="s">
        <v>239</v>
      </c>
      <c r="G895" s="6" t="s">
        <v>1726</v>
      </c>
      <c r="H895" s="6" t="s">
        <v>24</v>
      </c>
      <c r="I895" s="5" t="s">
        <v>25</v>
      </c>
      <c r="J895" s="5" t="s">
        <v>26</v>
      </c>
      <c r="K895" s="7" t="n">
        <v>0.6</v>
      </c>
      <c r="L895" s="6"/>
      <c r="M895" s="4" t="s">
        <v>27</v>
      </c>
      <c r="N895" s="5" t="s">
        <v>1727</v>
      </c>
    </row>
    <row r="896" customFormat="false" ht="23.85" hidden="false" customHeight="false" outlineLevel="0" collapsed="false">
      <c r="A896" s="4" t="s">
        <v>1643</v>
      </c>
      <c r="B896" s="5" t="s">
        <v>1728</v>
      </c>
      <c r="C896" s="6" t="s">
        <v>1645</v>
      </c>
      <c r="D896" s="6"/>
      <c r="E896" s="4" t="s">
        <v>629</v>
      </c>
      <c r="F896" s="4" t="s">
        <v>358</v>
      </c>
      <c r="G896" s="6" t="s">
        <v>1729</v>
      </c>
      <c r="H896" s="6" t="s">
        <v>24</v>
      </c>
      <c r="I896" s="5" t="s">
        <v>25</v>
      </c>
      <c r="J896" s="5" t="s">
        <v>26</v>
      </c>
      <c r="K896" s="7" t="n">
        <v>0.6</v>
      </c>
      <c r="L896" s="6"/>
      <c r="M896" s="4" t="s">
        <v>27</v>
      </c>
      <c r="N896" s="5" t="s">
        <v>1730</v>
      </c>
    </row>
    <row r="897" customFormat="false" ht="23.85" hidden="false" customHeight="false" outlineLevel="0" collapsed="false">
      <c r="A897" s="4" t="s">
        <v>1643</v>
      </c>
      <c r="B897" s="5" t="s">
        <v>1731</v>
      </c>
      <c r="C897" s="6" t="s">
        <v>1645</v>
      </c>
      <c r="D897" s="6"/>
      <c r="E897" s="4" t="s">
        <v>629</v>
      </c>
      <c r="F897" s="4" t="s">
        <v>136</v>
      </c>
      <c r="G897" s="6" t="s">
        <v>1732</v>
      </c>
      <c r="H897" s="6" t="s">
        <v>24</v>
      </c>
      <c r="I897" s="5" t="s">
        <v>25</v>
      </c>
      <c r="J897" s="5" t="s">
        <v>26</v>
      </c>
      <c r="K897" s="7" t="n">
        <v>0.6</v>
      </c>
      <c r="L897" s="6"/>
      <c r="M897" s="4" t="s">
        <v>27</v>
      </c>
      <c r="N897" s="5" t="s">
        <v>1733</v>
      </c>
    </row>
    <row r="898" customFormat="false" ht="23.85" hidden="false" customHeight="false" outlineLevel="0" collapsed="false">
      <c r="A898" s="4" t="s">
        <v>1643</v>
      </c>
      <c r="B898" s="5" t="s">
        <v>1734</v>
      </c>
      <c r="C898" s="6" t="s">
        <v>1645</v>
      </c>
      <c r="D898" s="6"/>
      <c r="E898" s="4" t="s">
        <v>629</v>
      </c>
      <c r="F898" s="4" t="s">
        <v>136</v>
      </c>
      <c r="G898" s="6" t="s">
        <v>1732</v>
      </c>
      <c r="H898" s="6" t="s">
        <v>24</v>
      </c>
      <c r="I898" s="5" t="s">
        <v>25</v>
      </c>
      <c r="J898" s="5" t="s">
        <v>26</v>
      </c>
      <c r="K898" s="7" t="n">
        <v>0.6</v>
      </c>
      <c r="L898" s="6"/>
      <c r="M898" s="4" t="s">
        <v>27</v>
      </c>
      <c r="N898" s="5" t="s">
        <v>1735</v>
      </c>
    </row>
    <row r="899" customFormat="false" ht="23.85" hidden="false" customHeight="false" outlineLevel="0" collapsed="false">
      <c r="A899" s="4" t="s">
        <v>1643</v>
      </c>
      <c r="B899" s="5" t="s">
        <v>1734</v>
      </c>
      <c r="C899" s="6" t="s">
        <v>1645</v>
      </c>
      <c r="D899" s="6"/>
      <c r="E899" s="4" t="s">
        <v>629</v>
      </c>
      <c r="F899" s="4" t="s">
        <v>186</v>
      </c>
      <c r="G899" s="6" t="s">
        <v>1736</v>
      </c>
      <c r="H899" s="6" t="s">
        <v>24</v>
      </c>
      <c r="I899" s="5" t="s">
        <v>25</v>
      </c>
      <c r="J899" s="5" t="s">
        <v>26</v>
      </c>
      <c r="K899" s="7" t="n">
        <v>0.6</v>
      </c>
      <c r="L899" s="6"/>
      <c r="M899" s="4" t="s">
        <v>27</v>
      </c>
      <c r="N899" s="5" t="s">
        <v>1735</v>
      </c>
    </row>
    <row r="900" customFormat="false" ht="23.85" hidden="false" customHeight="false" outlineLevel="0" collapsed="false">
      <c r="A900" s="4" t="s">
        <v>1643</v>
      </c>
      <c r="B900" s="5" t="s">
        <v>1737</v>
      </c>
      <c r="C900" s="6" t="s">
        <v>1645</v>
      </c>
      <c r="D900" s="6"/>
      <c r="E900" s="4" t="s">
        <v>629</v>
      </c>
      <c r="F900" s="4" t="s">
        <v>136</v>
      </c>
      <c r="G900" s="6" t="s">
        <v>1732</v>
      </c>
      <c r="H900" s="6" t="s">
        <v>24</v>
      </c>
      <c r="I900" s="5" t="s">
        <v>25</v>
      </c>
      <c r="J900" s="5" t="s">
        <v>26</v>
      </c>
      <c r="K900" s="7" t="n">
        <v>0.6</v>
      </c>
      <c r="L900" s="6"/>
      <c r="M900" s="4" t="s">
        <v>27</v>
      </c>
      <c r="N900" s="5" t="s">
        <v>1738</v>
      </c>
    </row>
    <row r="901" customFormat="false" ht="23.85" hidden="false" customHeight="false" outlineLevel="0" collapsed="false">
      <c r="A901" s="4" t="s">
        <v>1643</v>
      </c>
      <c r="B901" s="5" t="s">
        <v>1739</v>
      </c>
      <c r="C901" s="6" t="s">
        <v>1645</v>
      </c>
      <c r="D901" s="6"/>
      <c r="E901" s="4" t="s">
        <v>21</v>
      </c>
      <c r="F901" s="4" t="s">
        <v>893</v>
      </c>
      <c r="G901" s="6" t="s">
        <v>1740</v>
      </c>
      <c r="H901" s="6" t="s">
        <v>24</v>
      </c>
      <c r="I901" s="5" t="s">
        <v>25</v>
      </c>
      <c r="J901" s="5" t="s">
        <v>26</v>
      </c>
      <c r="K901" s="7" t="n">
        <v>0.6</v>
      </c>
      <c r="L901" s="6"/>
      <c r="M901" s="4" t="s">
        <v>27</v>
      </c>
      <c r="N901" s="5" t="s">
        <v>1741</v>
      </c>
    </row>
    <row r="902" customFormat="false" ht="23.85" hidden="false" customHeight="false" outlineLevel="0" collapsed="false">
      <c r="A902" s="4" t="s">
        <v>1643</v>
      </c>
      <c r="B902" s="5" t="s">
        <v>1739</v>
      </c>
      <c r="C902" s="6" t="s">
        <v>1645</v>
      </c>
      <c r="D902" s="6"/>
      <c r="E902" s="4" t="s">
        <v>21</v>
      </c>
      <c r="F902" s="4" t="s">
        <v>875</v>
      </c>
      <c r="G902" s="6" t="s">
        <v>1742</v>
      </c>
      <c r="H902" s="6" t="s">
        <v>24</v>
      </c>
      <c r="I902" s="5" t="s">
        <v>25</v>
      </c>
      <c r="J902" s="5" t="s">
        <v>26</v>
      </c>
      <c r="K902" s="7" t="n">
        <v>0.6</v>
      </c>
      <c r="L902" s="6"/>
      <c r="M902" s="4" t="s">
        <v>27</v>
      </c>
      <c r="N902" s="5" t="s">
        <v>1741</v>
      </c>
    </row>
    <row r="903" customFormat="false" ht="23.85" hidden="false" customHeight="false" outlineLevel="0" collapsed="false">
      <c r="A903" s="4" t="s">
        <v>1643</v>
      </c>
      <c r="B903" s="5" t="s">
        <v>1739</v>
      </c>
      <c r="C903" s="6" t="s">
        <v>1645</v>
      </c>
      <c r="D903" s="6"/>
      <c r="E903" s="4" t="s">
        <v>629</v>
      </c>
      <c r="F903" s="4" t="s">
        <v>172</v>
      </c>
      <c r="G903" s="6" t="s">
        <v>1743</v>
      </c>
      <c r="H903" s="6" t="s">
        <v>24</v>
      </c>
      <c r="I903" s="5" t="s">
        <v>25</v>
      </c>
      <c r="J903" s="5" t="s">
        <v>26</v>
      </c>
      <c r="K903" s="7" t="n">
        <v>0.6</v>
      </c>
      <c r="L903" s="6"/>
      <c r="M903" s="4" t="s">
        <v>27</v>
      </c>
      <c r="N903" s="5" t="s">
        <v>1741</v>
      </c>
    </row>
    <row r="904" customFormat="false" ht="23.85" hidden="false" customHeight="false" outlineLevel="0" collapsed="false">
      <c r="A904" s="4" t="s">
        <v>1643</v>
      </c>
      <c r="B904" s="5" t="s">
        <v>1744</v>
      </c>
      <c r="C904" s="6" t="s">
        <v>1645</v>
      </c>
      <c r="D904" s="6"/>
      <c r="E904" s="4" t="s">
        <v>580</v>
      </c>
      <c r="F904" s="4"/>
      <c r="G904" s="6"/>
      <c r="H904" s="6" t="s">
        <v>583</v>
      </c>
      <c r="I904" s="5" t="s">
        <v>584</v>
      </c>
      <c r="J904" s="5" t="s">
        <v>26</v>
      </c>
      <c r="K904" s="7" t="n">
        <v>0.6</v>
      </c>
      <c r="L904" s="8" t="s">
        <v>585</v>
      </c>
      <c r="M904" s="4" t="s">
        <v>586</v>
      </c>
      <c r="N904" s="5" t="s">
        <v>1745</v>
      </c>
    </row>
    <row r="905" customFormat="false" ht="23.85" hidden="false" customHeight="false" outlineLevel="0" collapsed="false">
      <c r="A905" s="4" t="s">
        <v>1643</v>
      </c>
      <c r="B905" s="5" t="s">
        <v>1744</v>
      </c>
      <c r="C905" s="6" t="s">
        <v>1645</v>
      </c>
      <c r="D905" s="6"/>
      <c r="E905" s="4" t="s">
        <v>580</v>
      </c>
      <c r="F905" s="4"/>
      <c r="G905" s="6"/>
      <c r="H905" s="6" t="s">
        <v>588</v>
      </c>
      <c r="I905" s="5" t="s">
        <v>589</v>
      </c>
      <c r="J905" s="5" t="s">
        <v>26</v>
      </c>
      <c r="K905" s="7" t="n">
        <v>0.6</v>
      </c>
      <c r="L905" s="8" t="s">
        <v>590</v>
      </c>
      <c r="M905" s="4" t="s">
        <v>591</v>
      </c>
      <c r="N905" s="5" t="s">
        <v>1745</v>
      </c>
    </row>
    <row r="906" customFormat="false" ht="23.85" hidden="false" customHeight="false" outlineLevel="0" collapsed="false">
      <c r="A906" s="4" t="s">
        <v>1643</v>
      </c>
      <c r="B906" s="5" t="s">
        <v>1746</v>
      </c>
      <c r="C906" s="6" t="s">
        <v>1645</v>
      </c>
      <c r="D906" s="6"/>
      <c r="E906" s="4" t="s">
        <v>580</v>
      </c>
      <c r="F906" s="4"/>
      <c r="G906" s="6"/>
      <c r="H906" s="6" t="s">
        <v>583</v>
      </c>
      <c r="I906" s="5" t="s">
        <v>584</v>
      </c>
      <c r="J906" s="5" t="s">
        <v>26</v>
      </c>
      <c r="K906" s="7" t="n">
        <v>0.6</v>
      </c>
      <c r="L906" s="8" t="s">
        <v>585</v>
      </c>
      <c r="M906" s="4" t="s">
        <v>586</v>
      </c>
      <c r="N906" s="5" t="s">
        <v>1747</v>
      </c>
    </row>
    <row r="907" customFormat="false" ht="23.85" hidden="false" customHeight="false" outlineLevel="0" collapsed="false">
      <c r="A907" s="4" t="s">
        <v>1643</v>
      </c>
      <c r="B907" s="5" t="s">
        <v>1746</v>
      </c>
      <c r="C907" s="6" t="s">
        <v>1645</v>
      </c>
      <c r="D907" s="6"/>
      <c r="E907" s="4" t="s">
        <v>580</v>
      </c>
      <c r="F907" s="4"/>
      <c r="G907" s="6"/>
      <c r="H907" s="6" t="s">
        <v>588</v>
      </c>
      <c r="I907" s="5" t="s">
        <v>589</v>
      </c>
      <c r="J907" s="5" t="s">
        <v>26</v>
      </c>
      <c r="K907" s="7" t="n">
        <v>0.6</v>
      </c>
      <c r="L907" s="8" t="s">
        <v>590</v>
      </c>
      <c r="M907" s="4" t="s">
        <v>591</v>
      </c>
      <c r="N907" s="5" t="s">
        <v>1747</v>
      </c>
    </row>
    <row r="908" customFormat="false" ht="23.85" hidden="false" customHeight="false" outlineLevel="0" collapsed="false">
      <c r="A908" s="4" t="s">
        <v>1643</v>
      </c>
      <c r="B908" s="5" t="s">
        <v>1748</v>
      </c>
      <c r="C908" s="6" t="s">
        <v>1645</v>
      </c>
      <c r="D908" s="6"/>
      <c r="E908" s="4" t="s">
        <v>580</v>
      </c>
      <c r="F908" s="4"/>
      <c r="G908" s="6"/>
      <c r="H908" s="6" t="s">
        <v>583</v>
      </c>
      <c r="I908" s="5" t="s">
        <v>584</v>
      </c>
      <c r="J908" s="5" t="s">
        <v>26</v>
      </c>
      <c r="K908" s="7" t="n">
        <v>0.6</v>
      </c>
      <c r="L908" s="8" t="s">
        <v>585</v>
      </c>
      <c r="M908" s="4" t="s">
        <v>586</v>
      </c>
      <c r="N908" s="5" t="s">
        <v>1749</v>
      </c>
    </row>
    <row r="909" customFormat="false" ht="23.85" hidden="false" customHeight="false" outlineLevel="0" collapsed="false">
      <c r="A909" s="4" t="s">
        <v>1643</v>
      </c>
      <c r="B909" s="5" t="s">
        <v>1748</v>
      </c>
      <c r="C909" s="6" t="s">
        <v>1645</v>
      </c>
      <c r="D909" s="6"/>
      <c r="E909" s="4" t="s">
        <v>580</v>
      </c>
      <c r="F909" s="4"/>
      <c r="G909" s="6"/>
      <c r="H909" s="6" t="s">
        <v>588</v>
      </c>
      <c r="I909" s="5" t="s">
        <v>589</v>
      </c>
      <c r="J909" s="5" t="s">
        <v>26</v>
      </c>
      <c r="K909" s="7" t="n">
        <v>0.6</v>
      </c>
      <c r="L909" s="8" t="s">
        <v>590</v>
      </c>
      <c r="M909" s="4" t="s">
        <v>591</v>
      </c>
      <c r="N909" s="5" t="s">
        <v>1749</v>
      </c>
    </row>
    <row r="910" customFormat="false" ht="35.05" hidden="false" customHeight="false" outlineLevel="0" collapsed="false">
      <c r="A910" s="4" t="s">
        <v>1643</v>
      </c>
      <c r="B910" s="5" t="s">
        <v>1750</v>
      </c>
      <c r="C910" s="6" t="s">
        <v>1645</v>
      </c>
      <c r="D910" s="6"/>
      <c r="E910" s="4" t="s">
        <v>629</v>
      </c>
      <c r="F910" s="4" t="s">
        <v>722</v>
      </c>
      <c r="G910" s="6" t="s">
        <v>1751</v>
      </c>
      <c r="H910" s="6" t="s">
        <v>1121</v>
      </c>
      <c r="I910" s="5" t="s">
        <v>1122</v>
      </c>
      <c r="J910" s="5" t="s">
        <v>26</v>
      </c>
      <c r="K910" s="7" t="n">
        <v>0.6</v>
      </c>
      <c r="L910" s="8" t="s">
        <v>1123</v>
      </c>
      <c r="M910" s="4" t="s">
        <v>1124</v>
      </c>
      <c r="N910" s="5" t="s">
        <v>1752</v>
      </c>
    </row>
    <row r="911" customFormat="false" ht="35.05" hidden="false" customHeight="false" outlineLevel="0" collapsed="false">
      <c r="A911" s="4" t="s">
        <v>1643</v>
      </c>
      <c r="B911" s="5" t="s">
        <v>1753</v>
      </c>
      <c r="C911" s="6" t="s">
        <v>1645</v>
      </c>
      <c r="D911" s="6"/>
      <c r="E911" s="4" t="s">
        <v>629</v>
      </c>
      <c r="F911" s="4" t="s">
        <v>893</v>
      </c>
      <c r="G911" s="6" t="s">
        <v>1754</v>
      </c>
      <c r="H911" s="6" t="s">
        <v>1121</v>
      </c>
      <c r="I911" s="5" t="s">
        <v>1122</v>
      </c>
      <c r="J911" s="5" t="s">
        <v>26</v>
      </c>
      <c r="K911" s="7" t="n">
        <v>0.6</v>
      </c>
      <c r="L911" s="8" t="s">
        <v>1123</v>
      </c>
      <c r="M911" s="4" t="s">
        <v>1124</v>
      </c>
      <c r="N911" s="5" t="s">
        <v>1755</v>
      </c>
    </row>
    <row r="912" customFormat="false" ht="35.05" hidden="false" customHeight="false" outlineLevel="0" collapsed="false">
      <c r="A912" s="4" t="s">
        <v>1643</v>
      </c>
      <c r="B912" s="5" t="s">
        <v>1756</v>
      </c>
      <c r="C912" s="6" t="s">
        <v>1645</v>
      </c>
      <c r="D912" s="6"/>
      <c r="E912" s="4" t="s">
        <v>580</v>
      </c>
      <c r="F912" s="4" t="s">
        <v>1757</v>
      </c>
      <c r="G912" s="6" t="s">
        <v>1758</v>
      </c>
      <c r="H912" s="6" t="s">
        <v>1121</v>
      </c>
      <c r="I912" s="5" t="s">
        <v>1122</v>
      </c>
      <c r="J912" s="5" t="s">
        <v>26</v>
      </c>
      <c r="K912" s="7" t="n">
        <v>0.6</v>
      </c>
      <c r="L912" s="8" t="s">
        <v>1123</v>
      </c>
      <c r="M912" s="4" t="s">
        <v>1124</v>
      </c>
      <c r="N912" s="5" t="s">
        <v>1759</v>
      </c>
    </row>
    <row r="913" customFormat="false" ht="35.05" hidden="false" customHeight="false" outlineLevel="0" collapsed="false">
      <c r="A913" s="4" t="s">
        <v>1643</v>
      </c>
      <c r="B913" s="5" t="s">
        <v>1760</v>
      </c>
      <c r="C913" s="6" t="s">
        <v>1761</v>
      </c>
      <c r="D913" s="6"/>
      <c r="E913" s="4" t="s">
        <v>629</v>
      </c>
      <c r="F913" s="4" t="s">
        <v>875</v>
      </c>
      <c r="G913" s="6" t="s">
        <v>1762</v>
      </c>
      <c r="H913" s="6" t="s">
        <v>1121</v>
      </c>
      <c r="I913" s="5" t="s">
        <v>1122</v>
      </c>
      <c r="J913" s="5" t="s">
        <v>26</v>
      </c>
      <c r="K913" s="7" t="n">
        <v>0.6</v>
      </c>
      <c r="L913" s="8" t="s">
        <v>1123</v>
      </c>
      <c r="M913" s="4" t="s">
        <v>1124</v>
      </c>
      <c r="N913" s="5" t="s">
        <v>1763</v>
      </c>
    </row>
    <row r="914" customFormat="false" ht="23.85" hidden="false" customHeight="false" outlineLevel="0" collapsed="false">
      <c r="A914" s="4" t="s">
        <v>1643</v>
      </c>
      <c r="B914" s="5" t="s">
        <v>1764</v>
      </c>
      <c r="C914" s="6" t="s">
        <v>1645</v>
      </c>
      <c r="D914" s="6"/>
      <c r="E914" s="4" t="s">
        <v>629</v>
      </c>
      <c r="F914" s="4" t="s">
        <v>205</v>
      </c>
      <c r="G914" s="6" t="s">
        <v>1765</v>
      </c>
      <c r="H914" s="6" t="s">
        <v>24</v>
      </c>
      <c r="I914" s="5" t="s">
        <v>25</v>
      </c>
      <c r="J914" s="5" t="s">
        <v>26</v>
      </c>
      <c r="K914" s="7" t="n">
        <v>0.6</v>
      </c>
      <c r="L914" s="6"/>
      <c r="M914" s="4" t="s">
        <v>27</v>
      </c>
      <c r="N914" s="5" t="s">
        <v>1766</v>
      </c>
    </row>
    <row r="915" customFormat="false" ht="23.85" hidden="false" customHeight="false" outlineLevel="0" collapsed="false">
      <c r="A915" s="4" t="s">
        <v>1643</v>
      </c>
      <c r="B915" s="5" t="s">
        <v>1764</v>
      </c>
      <c r="C915" s="6" t="s">
        <v>1645</v>
      </c>
      <c r="D915" s="6"/>
      <c r="E915" s="4" t="s">
        <v>629</v>
      </c>
      <c r="F915" s="4" t="s">
        <v>334</v>
      </c>
      <c r="G915" s="6" t="s">
        <v>1767</v>
      </c>
      <c r="H915" s="6" t="s">
        <v>24</v>
      </c>
      <c r="I915" s="5" t="s">
        <v>25</v>
      </c>
      <c r="J915" s="5" t="s">
        <v>26</v>
      </c>
      <c r="K915" s="7" t="n">
        <v>0.6</v>
      </c>
      <c r="L915" s="6"/>
      <c r="M915" s="4" t="s">
        <v>27</v>
      </c>
      <c r="N915" s="5" t="s">
        <v>1766</v>
      </c>
    </row>
    <row r="916" customFormat="false" ht="23.85" hidden="false" customHeight="false" outlineLevel="0" collapsed="false">
      <c r="A916" s="4" t="s">
        <v>1643</v>
      </c>
      <c r="B916" s="5" t="s">
        <v>1768</v>
      </c>
      <c r="C916" s="6" t="s">
        <v>1645</v>
      </c>
      <c r="D916" s="6"/>
      <c r="E916" s="4" t="s">
        <v>580</v>
      </c>
      <c r="F916" s="4"/>
      <c r="G916" s="6"/>
      <c r="H916" s="6" t="s">
        <v>583</v>
      </c>
      <c r="I916" s="5" t="s">
        <v>584</v>
      </c>
      <c r="J916" s="5" t="s">
        <v>26</v>
      </c>
      <c r="K916" s="7" t="n">
        <v>0.6</v>
      </c>
      <c r="L916" s="8" t="s">
        <v>585</v>
      </c>
      <c r="M916" s="4" t="s">
        <v>586</v>
      </c>
      <c r="N916" s="5" t="s">
        <v>1769</v>
      </c>
    </row>
    <row r="917" customFormat="false" ht="23.85" hidden="false" customHeight="false" outlineLevel="0" collapsed="false">
      <c r="A917" s="4" t="s">
        <v>1643</v>
      </c>
      <c r="B917" s="5" t="s">
        <v>1768</v>
      </c>
      <c r="C917" s="6" t="s">
        <v>1645</v>
      </c>
      <c r="D917" s="6"/>
      <c r="E917" s="4" t="s">
        <v>580</v>
      </c>
      <c r="F917" s="4"/>
      <c r="G917" s="6"/>
      <c r="H917" s="6" t="s">
        <v>588</v>
      </c>
      <c r="I917" s="5" t="s">
        <v>589</v>
      </c>
      <c r="J917" s="5" t="s">
        <v>26</v>
      </c>
      <c r="K917" s="7" t="n">
        <v>0.6</v>
      </c>
      <c r="L917" s="8" t="s">
        <v>590</v>
      </c>
      <c r="M917" s="4" t="s">
        <v>591</v>
      </c>
      <c r="N917" s="5" t="s">
        <v>1769</v>
      </c>
    </row>
    <row r="918" customFormat="false" ht="23.85" hidden="false" customHeight="false" outlineLevel="0" collapsed="false">
      <c r="A918" s="4" t="s">
        <v>1643</v>
      </c>
      <c r="B918" s="5" t="s">
        <v>1770</v>
      </c>
      <c r="C918" s="6" t="s">
        <v>1645</v>
      </c>
      <c r="D918" s="6"/>
      <c r="E918" s="4" t="s">
        <v>580</v>
      </c>
      <c r="F918" s="4"/>
      <c r="G918" s="6"/>
      <c r="H918" s="6" t="s">
        <v>583</v>
      </c>
      <c r="I918" s="5" t="s">
        <v>584</v>
      </c>
      <c r="J918" s="5" t="s">
        <v>26</v>
      </c>
      <c r="K918" s="7" t="n">
        <v>0.6</v>
      </c>
      <c r="L918" s="8" t="s">
        <v>585</v>
      </c>
      <c r="M918" s="4" t="s">
        <v>586</v>
      </c>
      <c r="N918" s="5" t="s">
        <v>1771</v>
      </c>
    </row>
    <row r="919" customFormat="false" ht="23.85" hidden="false" customHeight="false" outlineLevel="0" collapsed="false">
      <c r="A919" s="4" t="s">
        <v>1643</v>
      </c>
      <c r="B919" s="5" t="s">
        <v>1770</v>
      </c>
      <c r="C919" s="6" t="s">
        <v>1645</v>
      </c>
      <c r="D919" s="6"/>
      <c r="E919" s="4" t="s">
        <v>580</v>
      </c>
      <c r="F919" s="4"/>
      <c r="G919" s="6"/>
      <c r="H919" s="6" t="s">
        <v>588</v>
      </c>
      <c r="I919" s="5" t="s">
        <v>589</v>
      </c>
      <c r="J919" s="5" t="s">
        <v>26</v>
      </c>
      <c r="K919" s="7" t="n">
        <v>0.6</v>
      </c>
      <c r="L919" s="8" t="s">
        <v>590</v>
      </c>
      <c r="M919" s="4" t="s">
        <v>591</v>
      </c>
      <c r="N919" s="5" t="s">
        <v>1771</v>
      </c>
    </row>
    <row r="920" customFormat="false" ht="23.85" hidden="false" customHeight="false" outlineLevel="0" collapsed="false">
      <c r="A920" s="4" t="s">
        <v>1643</v>
      </c>
      <c r="B920" s="5" t="s">
        <v>1772</v>
      </c>
      <c r="C920" s="6" t="s">
        <v>1773</v>
      </c>
      <c r="D920" s="6"/>
      <c r="E920" s="4" t="s">
        <v>21</v>
      </c>
      <c r="F920" s="4" t="s">
        <v>913</v>
      </c>
      <c r="G920" s="6" t="s">
        <v>1774</v>
      </c>
      <c r="H920" s="6" t="s">
        <v>1775</v>
      </c>
      <c r="I920" s="5" t="s">
        <v>1776</v>
      </c>
      <c r="J920" s="5" t="s">
        <v>26</v>
      </c>
      <c r="K920" s="7" t="n">
        <v>0.6</v>
      </c>
      <c r="L920" s="6"/>
      <c r="M920" s="4" t="s">
        <v>1777</v>
      </c>
      <c r="N920" s="5" t="s">
        <v>1778</v>
      </c>
    </row>
    <row r="921" customFormat="false" ht="23.85" hidden="false" customHeight="false" outlineLevel="0" collapsed="false">
      <c r="A921" s="4" t="s">
        <v>1643</v>
      </c>
      <c r="B921" s="5" t="s">
        <v>1779</v>
      </c>
      <c r="C921" s="6" t="s">
        <v>1645</v>
      </c>
      <c r="D921" s="6"/>
      <c r="E921" s="4" t="s">
        <v>1780</v>
      </c>
      <c r="F921" s="4" t="s">
        <v>136</v>
      </c>
      <c r="G921" s="6" t="s">
        <v>1781</v>
      </c>
      <c r="H921" s="6" t="s">
        <v>1775</v>
      </c>
      <c r="I921" s="5" t="s">
        <v>1776</v>
      </c>
      <c r="J921" s="5" t="s">
        <v>26</v>
      </c>
      <c r="K921" s="7" t="n">
        <v>0.6</v>
      </c>
      <c r="L921" s="6"/>
      <c r="M921" s="4" t="s">
        <v>1777</v>
      </c>
      <c r="N921" s="5" t="s">
        <v>1782</v>
      </c>
    </row>
    <row r="922" customFormat="false" ht="23.85" hidden="false" customHeight="false" outlineLevel="0" collapsed="false">
      <c r="A922" s="4" t="s">
        <v>1643</v>
      </c>
      <c r="B922" s="5" t="s">
        <v>1783</v>
      </c>
      <c r="C922" s="6" t="s">
        <v>1645</v>
      </c>
      <c r="D922" s="6"/>
      <c r="E922" s="4" t="s">
        <v>1780</v>
      </c>
      <c r="F922" s="4" t="s">
        <v>172</v>
      </c>
      <c r="G922" s="6" t="s">
        <v>1784</v>
      </c>
      <c r="H922" s="6" t="s">
        <v>1775</v>
      </c>
      <c r="I922" s="5" t="s">
        <v>1776</v>
      </c>
      <c r="J922" s="5" t="s">
        <v>26</v>
      </c>
      <c r="K922" s="7" t="n">
        <v>0.6</v>
      </c>
      <c r="L922" s="6"/>
      <c r="M922" s="4" t="s">
        <v>1777</v>
      </c>
      <c r="N922" s="5" t="s">
        <v>1785</v>
      </c>
    </row>
    <row r="923" customFormat="false" ht="23.85" hidden="false" customHeight="false" outlineLevel="0" collapsed="false">
      <c r="A923" s="4" t="s">
        <v>1643</v>
      </c>
      <c r="B923" s="5" t="s">
        <v>1786</v>
      </c>
      <c r="C923" s="6" t="s">
        <v>1645</v>
      </c>
      <c r="D923" s="6"/>
      <c r="E923" s="4" t="s">
        <v>1780</v>
      </c>
      <c r="F923" s="4" t="s">
        <v>186</v>
      </c>
      <c r="G923" s="6" t="s">
        <v>1787</v>
      </c>
      <c r="H923" s="6" t="s">
        <v>1775</v>
      </c>
      <c r="I923" s="5" t="s">
        <v>1776</v>
      </c>
      <c r="J923" s="5" t="s">
        <v>26</v>
      </c>
      <c r="K923" s="7" t="n">
        <v>0.6</v>
      </c>
      <c r="L923" s="6"/>
      <c r="M923" s="4" t="s">
        <v>1777</v>
      </c>
      <c r="N923" s="5" t="s">
        <v>1788</v>
      </c>
    </row>
    <row r="924" customFormat="false" ht="23.85" hidden="false" customHeight="false" outlineLevel="0" collapsed="false">
      <c r="A924" s="4" t="s">
        <v>1643</v>
      </c>
      <c r="B924" s="5" t="s">
        <v>1789</v>
      </c>
      <c r="C924" s="6" t="s">
        <v>1790</v>
      </c>
      <c r="D924" s="6"/>
      <c r="E924" s="4" t="s">
        <v>1780</v>
      </c>
      <c r="F924" s="4" t="s">
        <v>251</v>
      </c>
      <c r="G924" s="6" t="s">
        <v>1791</v>
      </c>
      <c r="H924" s="6" t="s">
        <v>1775</v>
      </c>
      <c r="I924" s="5" t="s">
        <v>1776</v>
      </c>
      <c r="J924" s="5" t="s">
        <v>26</v>
      </c>
      <c r="K924" s="7" t="n">
        <v>0.6</v>
      </c>
      <c r="L924" s="6"/>
      <c r="M924" s="4" t="s">
        <v>1777</v>
      </c>
      <c r="N924" s="5" t="s">
        <v>1792</v>
      </c>
    </row>
    <row r="925" customFormat="false" ht="35.05" hidden="false" customHeight="false" outlineLevel="0" collapsed="false">
      <c r="A925" s="4" t="s">
        <v>1643</v>
      </c>
      <c r="B925" s="5" t="s">
        <v>1793</v>
      </c>
      <c r="C925" s="6" t="s">
        <v>1794</v>
      </c>
      <c r="D925" s="6"/>
      <c r="E925" s="4" t="s">
        <v>1780</v>
      </c>
      <c r="F925" s="4" t="s">
        <v>205</v>
      </c>
      <c r="G925" s="6" t="s">
        <v>1795</v>
      </c>
      <c r="H925" s="6" t="s">
        <v>1775</v>
      </c>
      <c r="I925" s="5" t="s">
        <v>1776</v>
      </c>
      <c r="J925" s="5" t="s">
        <v>26</v>
      </c>
      <c r="K925" s="7" t="n">
        <v>0.6</v>
      </c>
      <c r="L925" s="6"/>
      <c r="M925" s="4" t="s">
        <v>1777</v>
      </c>
      <c r="N925" s="5" t="s">
        <v>1796</v>
      </c>
    </row>
    <row r="926" customFormat="false" ht="35.05" hidden="false" customHeight="false" outlineLevel="0" collapsed="false">
      <c r="A926" s="4" t="s">
        <v>1643</v>
      </c>
      <c r="B926" s="5" t="s">
        <v>1797</v>
      </c>
      <c r="C926" s="6" t="s">
        <v>1645</v>
      </c>
      <c r="D926" s="6"/>
      <c r="E926" s="4" t="s">
        <v>1780</v>
      </c>
      <c r="F926" s="4" t="s">
        <v>334</v>
      </c>
      <c r="G926" s="6" t="s">
        <v>1798</v>
      </c>
      <c r="H926" s="6" t="s">
        <v>1775</v>
      </c>
      <c r="I926" s="5" t="s">
        <v>1776</v>
      </c>
      <c r="J926" s="5" t="s">
        <v>26</v>
      </c>
      <c r="K926" s="7" t="n">
        <v>0.6</v>
      </c>
      <c r="L926" s="6"/>
      <c r="M926" s="4" t="s">
        <v>1777</v>
      </c>
      <c r="N926" s="5" t="s">
        <v>1799</v>
      </c>
    </row>
    <row r="927" customFormat="false" ht="23.85" hidden="false" customHeight="false" outlineLevel="0" collapsed="false">
      <c r="A927" s="4" t="s">
        <v>1643</v>
      </c>
      <c r="B927" s="5" t="s">
        <v>1797</v>
      </c>
      <c r="C927" s="6" t="s">
        <v>1645</v>
      </c>
      <c r="D927" s="6"/>
      <c r="E927" s="4" t="s">
        <v>1780</v>
      </c>
      <c r="F927" s="4" t="s">
        <v>239</v>
      </c>
      <c r="G927" s="6" t="s">
        <v>1800</v>
      </c>
      <c r="H927" s="6" t="s">
        <v>1775</v>
      </c>
      <c r="I927" s="5" t="s">
        <v>1776</v>
      </c>
      <c r="J927" s="5" t="s">
        <v>26</v>
      </c>
      <c r="K927" s="7" t="n">
        <v>0.6</v>
      </c>
      <c r="L927" s="6"/>
      <c r="M927" s="4" t="s">
        <v>1777</v>
      </c>
      <c r="N927" s="5" t="s">
        <v>1799</v>
      </c>
    </row>
    <row r="928" customFormat="false" ht="23.85" hidden="false" customHeight="false" outlineLevel="0" collapsed="false">
      <c r="A928" s="4" t="s">
        <v>1643</v>
      </c>
      <c r="B928" s="5" t="s">
        <v>1801</v>
      </c>
      <c r="C928" s="6" t="s">
        <v>1645</v>
      </c>
      <c r="D928" s="6"/>
      <c r="E928" s="4" t="s">
        <v>1780</v>
      </c>
      <c r="F928" s="4" t="s">
        <v>358</v>
      </c>
      <c r="G928" s="6" t="s">
        <v>1802</v>
      </c>
      <c r="H928" s="6" t="s">
        <v>1803</v>
      </c>
      <c r="I928" s="5" t="s">
        <v>1804</v>
      </c>
      <c r="J928" s="5" t="s">
        <v>26</v>
      </c>
      <c r="K928" s="7" t="n">
        <v>0.6</v>
      </c>
      <c r="L928" s="6"/>
      <c r="M928" s="4" t="s">
        <v>1805</v>
      </c>
      <c r="N928" s="5" t="s">
        <v>1806</v>
      </c>
    </row>
    <row r="929" customFormat="false" ht="23.85" hidden="false" customHeight="false" outlineLevel="0" collapsed="false">
      <c r="A929" s="4" t="s">
        <v>1643</v>
      </c>
      <c r="B929" s="5" t="s">
        <v>1807</v>
      </c>
      <c r="C929" s="6" t="s">
        <v>1645</v>
      </c>
      <c r="D929" s="6"/>
      <c r="E929" s="4" t="s">
        <v>1808</v>
      </c>
      <c r="F929" s="4" t="s">
        <v>136</v>
      </c>
      <c r="G929" s="6" t="s">
        <v>1809</v>
      </c>
      <c r="H929" s="6" t="s">
        <v>1803</v>
      </c>
      <c r="I929" s="5" t="s">
        <v>1804</v>
      </c>
      <c r="J929" s="5" t="s">
        <v>26</v>
      </c>
      <c r="K929" s="7" t="n">
        <v>0.6</v>
      </c>
      <c r="L929" s="6"/>
      <c r="M929" s="4" t="s">
        <v>1805</v>
      </c>
      <c r="N929" s="5" t="s">
        <v>1810</v>
      </c>
    </row>
    <row r="930" customFormat="false" ht="23.85" hidden="false" customHeight="false" outlineLevel="0" collapsed="false">
      <c r="A930" s="4" t="s">
        <v>1643</v>
      </c>
      <c r="B930" s="5" t="s">
        <v>1811</v>
      </c>
      <c r="C930" s="6" t="s">
        <v>1645</v>
      </c>
      <c r="D930" s="6"/>
      <c r="E930" s="4" t="s">
        <v>1808</v>
      </c>
      <c r="F930" s="4" t="s">
        <v>172</v>
      </c>
      <c r="G930" s="6" t="s">
        <v>1812</v>
      </c>
      <c r="H930" s="6" t="s">
        <v>1803</v>
      </c>
      <c r="I930" s="5" t="s">
        <v>1804</v>
      </c>
      <c r="J930" s="5" t="s">
        <v>26</v>
      </c>
      <c r="K930" s="7" t="n">
        <v>0.6</v>
      </c>
      <c r="L930" s="6"/>
      <c r="M930" s="4" t="s">
        <v>1805</v>
      </c>
      <c r="N930" s="5" t="s">
        <v>1813</v>
      </c>
    </row>
    <row r="931" customFormat="false" ht="23.85" hidden="false" customHeight="false" outlineLevel="0" collapsed="false">
      <c r="A931" s="4" t="s">
        <v>1643</v>
      </c>
      <c r="B931" s="5" t="s">
        <v>1814</v>
      </c>
      <c r="C931" s="6" t="s">
        <v>1645</v>
      </c>
      <c r="D931" s="6"/>
      <c r="E931" s="4" t="s">
        <v>1808</v>
      </c>
      <c r="F931" s="4" t="s">
        <v>186</v>
      </c>
      <c r="G931" s="6" t="s">
        <v>1815</v>
      </c>
      <c r="H931" s="6" t="s">
        <v>1803</v>
      </c>
      <c r="I931" s="5" t="s">
        <v>1804</v>
      </c>
      <c r="J931" s="5" t="s">
        <v>26</v>
      </c>
      <c r="K931" s="7" t="n">
        <v>0.6</v>
      </c>
      <c r="L931" s="6"/>
      <c r="M931" s="4" t="s">
        <v>1805</v>
      </c>
      <c r="N931" s="5" t="s">
        <v>1816</v>
      </c>
    </row>
    <row r="932" customFormat="false" ht="23.85" hidden="false" customHeight="false" outlineLevel="0" collapsed="false">
      <c r="A932" s="4" t="s">
        <v>1643</v>
      </c>
      <c r="B932" s="5" t="s">
        <v>1817</v>
      </c>
      <c r="C932" s="6" t="s">
        <v>1645</v>
      </c>
      <c r="D932" s="6"/>
      <c r="E932" s="4" t="s">
        <v>1808</v>
      </c>
      <c r="F932" s="4" t="s">
        <v>251</v>
      </c>
      <c r="G932" s="6" t="s">
        <v>1818</v>
      </c>
      <c r="H932" s="6" t="s">
        <v>1803</v>
      </c>
      <c r="I932" s="5" t="s">
        <v>1804</v>
      </c>
      <c r="J932" s="5" t="s">
        <v>26</v>
      </c>
      <c r="K932" s="7" t="n">
        <v>0.6</v>
      </c>
      <c r="L932" s="6"/>
      <c r="M932" s="4" t="s">
        <v>1805</v>
      </c>
      <c r="N932" s="5" t="s">
        <v>1819</v>
      </c>
    </row>
    <row r="933" customFormat="false" ht="23.85" hidden="false" customHeight="false" outlineLevel="0" collapsed="false">
      <c r="A933" s="4" t="s">
        <v>1643</v>
      </c>
      <c r="B933" s="5" t="s">
        <v>1820</v>
      </c>
      <c r="C933" s="6" t="s">
        <v>1645</v>
      </c>
      <c r="D933" s="6"/>
      <c r="E933" s="4" t="s">
        <v>1808</v>
      </c>
      <c r="F933" s="4" t="s">
        <v>205</v>
      </c>
      <c r="G933" s="6" t="s">
        <v>1821</v>
      </c>
      <c r="H933" s="6" t="s">
        <v>1803</v>
      </c>
      <c r="I933" s="5" t="s">
        <v>1804</v>
      </c>
      <c r="J933" s="5" t="s">
        <v>26</v>
      </c>
      <c r="K933" s="7" t="n">
        <v>0.6</v>
      </c>
      <c r="L933" s="6"/>
      <c r="M933" s="4" t="s">
        <v>1805</v>
      </c>
      <c r="N933" s="5" t="s">
        <v>1822</v>
      </c>
    </row>
    <row r="934" customFormat="false" ht="23.85" hidden="false" customHeight="false" outlineLevel="0" collapsed="false">
      <c r="A934" s="4" t="s">
        <v>1643</v>
      </c>
      <c r="B934" s="5" t="s">
        <v>1823</v>
      </c>
      <c r="C934" s="6" t="s">
        <v>1645</v>
      </c>
      <c r="D934" s="6"/>
      <c r="E934" s="4" t="s">
        <v>1808</v>
      </c>
      <c r="F934" s="4" t="s">
        <v>334</v>
      </c>
      <c r="G934" s="6" t="s">
        <v>1824</v>
      </c>
      <c r="H934" s="6" t="s">
        <v>1803</v>
      </c>
      <c r="I934" s="5" t="s">
        <v>1804</v>
      </c>
      <c r="J934" s="5" t="s">
        <v>26</v>
      </c>
      <c r="K934" s="7" t="n">
        <v>0.6</v>
      </c>
      <c r="L934" s="6"/>
      <c r="M934" s="4" t="s">
        <v>1805</v>
      </c>
      <c r="N934" s="5" t="s">
        <v>1825</v>
      </c>
    </row>
    <row r="935" customFormat="false" ht="23.85" hidden="false" customHeight="false" outlineLevel="0" collapsed="false">
      <c r="A935" s="4" t="s">
        <v>1643</v>
      </c>
      <c r="B935" s="5" t="s">
        <v>1826</v>
      </c>
      <c r="C935" s="6" t="s">
        <v>1645</v>
      </c>
      <c r="D935" s="6"/>
      <c r="E935" s="4" t="s">
        <v>1808</v>
      </c>
      <c r="F935" s="4" t="s">
        <v>239</v>
      </c>
      <c r="G935" s="6" t="s">
        <v>1827</v>
      </c>
      <c r="H935" s="6" t="s">
        <v>1803</v>
      </c>
      <c r="I935" s="5" t="s">
        <v>1804</v>
      </c>
      <c r="J935" s="5" t="s">
        <v>26</v>
      </c>
      <c r="K935" s="7" t="n">
        <v>0.6</v>
      </c>
      <c r="L935" s="6"/>
      <c r="M935" s="4" t="s">
        <v>1805</v>
      </c>
      <c r="N935" s="5" t="s">
        <v>1828</v>
      </c>
    </row>
    <row r="936" customFormat="false" ht="23.85" hidden="false" customHeight="false" outlineLevel="0" collapsed="false">
      <c r="A936" s="4" t="s">
        <v>1643</v>
      </c>
      <c r="B936" s="5" t="s">
        <v>1829</v>
      </c>
      <c r="C936" s="6" t="s">
        <v>1645</v>
      </c>
      <c r="D936" s="6"/>
      <c r="E936" s="4" t="s">
        <v>1808</v>
      </c>
      <c r="F936" s="4" t="s">
        <v>358</v>
      </c>
      <c r="G936" s="6" t="s">
        <v>1830</v>
      </c>
      <c r="H936" s="6" t="s">
        <v>1803</v>
      </c>
      <c r="I936" s="5" t="s">
        <v>1804</v>
      </c>
      <c r="J936" s="5" t="s">
        <v>26</v>
      </c>
      <c r="K936" s="7" t="n">
        <v>0.6</v>
      </c>
      <c r="L936" s="6"/>
      <c r="M936" s="4" t="s">
        <v>1805</v>
      </c>
      <c r="N936" s="5" t="s">
        <v>1831</v>
      </c>
    </row>
    <row r="937" customFormat="false" ht="23.85" hidden="false" customHeight="false" outlineLevel="0" collapsed="false">
      <c r="A937" s="4" t="s">
        <v>1643</v>
      </c>
      <c r="B937" s="5" t="s">
        <v>1832</v>
      </c>
      <c r="C937" s="6" t="s">
        <v>1645</v>
      </c>
      <c r="D937" s="6"/>
      <c r="E937" s="4" t="s">
        <v>1808</v>
      </c>
      <c r="F937" s="4" t="s">
        <v>488</v>
      </c>
      <c r="G937" s="6" t="s">
        <v>1833</v>
      </c>
      <c r="H937" s="6" t="s">
        <v>1803</v>
      </c>
      <c r="I937" s="5" t="s">
        <v>1804</v>
      </c>
      <c r="J937" s="5" t="s">
        <v>26</v>
      </c>
      <c r="K937" s="7" t="n">
        <v>0.6</v>
      </c>
      <c r="L937" s="6"/>
      <c r="M937" s="4" t="s">
        <v>1805</v>
      </c>
      <c r="N937" s="5" t="s">
        <v>1834</v>
      </c>
    </row>
    <row r="938" customFormat="false" ht="23.85" hidden="false" customHeight="false" outlineLevel="0" collapsed="false">
      <c r="A938" s="4" t="s">
        <v>1643</v>
      </c>
      <c r="B938" s="5" t="s">
        <v>1835</v>
      </c>
      <c r="C938" s="6" t="s">
        <v>1645</v>
      </c>
      <c r="D938" s="6"/>
      <c r="E938" s="4" t="s">
        <v>1808</v>
      </c>
      <c r="F938" s="4" t="s">
        <v>264</v>
      </c>
      <c r="G938" s="6" t="s">
        <v>1836</v>
      </c>
      <c r="H938" s="6" t="s">
        <v>1803</v>
      </c>
      <c r="I938" s="5" t="s">
        <v>1804</v>
      </c>
      <c r="J938" s="5" t="s">
        <v>26</v>
      </c>
      <c r="K938" s="7" t="n">
        <v>0.6</v>
      </c>
      <c r="L938" s="6"/>
      <c r="M938" s="4" t="s">
        <v>1805</v>
      </c>
      <c r="N938" s="5" t="s">
        <v>1837</v>
      </c>
    </row>
    <row r="939" customFormat="false" ht="23.85" hidden="false" customHeight="false" outlineLevel="0" collapsed="false">
      <c r="A939" s="4" t="s">
        <v>1643</v>
      </c>
      <c r="B939" s="5" t="s">
        <v>1838</v>
      </c>
      <c r="C939" s="6" t="s">
        <v>1645</v>
      </c>
      <c r="D939" s="6"/>
      <c r="E939" s="4" t="s">
        <v>1808</v>
      </c>
      <c r="F939" s="4" t="s">
        <v>256</v>
      </c>
      <c r="G939" s="6" t="s">
        <v>1839</v>
      </c>
      <c r="H939" s="6" t="s">
        <v>1803</v>
      </c>
      <c r="I939" s="5" t="s">
        <v>1804</v>
      </c>
      <c r="J939" s="5" t="s">
        <v>26</v>
      </c>
      <c r="K939" s="7" t="n">
        <v>0.6</v>
      </c>
      <c r="L939" s="6"/>
      <c r="M939" s="4" t="s">
        <v>1805</v>
      </c>
      <c r="N939" s="5" t="s">
        <v>1840</v>
      </c>
    </row>
    <row r="940" customFormat="false" ht="23.85" hidden="false" customHeight="false" outlineLevel="0" collapsed="false">
      <c r="A940" s="4" t="s">
        <v>1643</v>
      </c>
      <c r="B940" s="5" t="s">
        <v>1841</v>
      </c>
      <c r="C940" s="6" t="s">
        <v>1645</v>
      </c>
      <c r="D940" s="6"/>
      <c r="E940" s="4" t="s">
        <v>1808</v>
      </c>
      <c r="F940" s="4" t="s">
        <v>413</v>
      </c>
      <c r="G940" s="6" t="s">
        <v>1842</v>
      </c>
      <c r="H940" s="6" t="s">
        <v>1803</v>
      </c>
      <c r="I940" s="5" t="s">
        <v>1804</v>
      </c>
      <c r="J940" s="5" t="s">
        <v>26</v>
      </c>
      <c r="K940" s="7" t="n">
        <v>0.6</v>
      </c>
      <c r="L940" s="6"/>
      <c r="M940" s="4" t="s">
        <v>1805</v>
      </c>
      <c r="N940" s="5" t="s">
        <v>1843</v>
      </c>
    </row>
    <row r="941" customFormat="false" ht="23.85" hidden="false" customHeight="false" outlineLevel="0" collapsed="false">
      <c r="A941" s="4" t="s">
        <v>1643</v>
      </c>
      <c r="B941" s="5" t="s">
        <v>1844</v>
      </c>
      <c r="C941" s="6" t="s">
        <v>1645</v>
      </c>
      <c r="D941" s="6"/>
      <c r="E941" s="4" t="s">
        <v>1808</v>
      </c>
      <c r="F941" s="4" t="s">
        <v>37</v>
      </c>
      <c r="G941" s="6" t="s">
        <v>1845</v>
      </c>
      <c r="H941" s="6" t="s">
        <v>1803</v>
      </c>
      <c r="I941" s="5" t="s">
        <v>1804</v>
      </c>
      <c r="J941" s="5" t="s">
        <v>26</v>
      </c>
      <c r="K941" s="7" t="n">
        <v>0.6</v>
      </c>
      <c r="L941" s="6"/>
      <c r="M941" s="4" t="s">
        <v>1805</v>
      </c>
      <c r="N941" s="5" t="s">
        <v>1846</v>
      </c>
    </row>
    <row r="942" customFormat="false" ht="23.85" hidden="false" customHeight="false" outlineLevel="0" collapsed="false">
      <c r="A942" s="4" t="s">
        <v>1643</v>
      </c>
      <c r="B942" s="5" t="s">
        <v>1847</v>
      </c>
      <c r="C942" s="6" t="s">
        <v>1645</v>
      </c>
      <c r="D942" s="6"/>
      <c r="E942" s="4" t="s">
        <v>1808</v>
      </c>
      <c r="F942" s="4" t="s">
        <v>243</v>
      </c>
      <c r="G942" s="6" t="s">
        <v>1848</v>
      </c>
      <c r="H942" s="6" t="s">
        <v>1803</v>
      </c>
      <c r="I942" s="5" t="s">
        <v>1804</v>
      </c>
      <c r="J942" s="5" t="s">
        <v>26</v>
      </c>
      <c r="K942" s="7" t="n">
        <v>0.6</v>
      </c>
      <c r="L942" s="6"/>
      <c r="M942" s="4" t="s">
        <v>1805</v>
      </c>
      <c r="N942" s="5" t="s">
        <v>1849</v>
      </c>
    </row>
    <row r="943" customFormat="false" ht="23.85" hidden="false" customHeight="false" outlineLevel="0" collapsed="false">
      <c r="A943" s="4" t="s">
        <v>1643</v>
      </c>
      <c r="B943" s="5" t="s">
        <v>1850</v>
      </c>
      <c r="C943" s="6" t="s">
        <v>1645</v>
      </c>
      <c r="D943" s="6"/>
      <c r="E943" s="4" t="s">
        <v>1808</v>
      </c>
      <c r="F943" s="4" t="s">
        <v>22</v>
      </c>
      <c r="G943" s="6" t="s">
        <v>1851</v>
      </c>
      <c r="H943" s="6" t="s">
        <v>1803</v>
      </c>
      <c r="I943" s="5" t="s">
        <v>1804</v>
      </c>
      <c r="J943" s="5" t="s">
        <v>26</v>
      </c>
      <c r="K943" s="7" t="n">
        <v>0.6</v>
      </c>
      <c r="L943" s="6"/>
      <c r="M943" s="4" t="s">
        <v>1805</v>
      </c>
      <c r="N943" s="5" t="s">
        <v>1852</v>
      </c>
    </row>
    <row r="944" customFormat="false" ht="23.85" hidden="false" customHeight="false" outlineLevel="0" collapsed="false">
      <c r="A944" s="4" t="s">
        <v>1643</v>
      </c>
      <c r="B944" s="5" t="s">
        <v>1853</v>
      </c>
      <c r="C944" s="6" t="s">
        <v>1645</v>
      </c>
      <c r="D944" s="6"/>
      <c r="E944" s="4" t="s">
        <v>1808</v>
      </c>
      <c r="F944" s="4" t="s">
        <v>223</v>
      </c>
      <c r="G944" s="6" t="s">
        <v>1854</v>
      </c>
      <c r="H944" s="6" t="s">
        <v>1803</v>
      </c>
      <c r="I944" s="5" t="s">
        <v>1804</v>
      </c>
      <c r="J944" s="5" t="s">
        <v>26</v>
      </c>
      <c r="K944" s="7" t="n">
        <v>0.6</v>
      </c>
      <c r="L944" s="6"/>
      <c r="M944" s="4" t="s">
        <v>1805</v>
      </c>
      <c r="N944" s="5" t="s">
        <v>1855</v>
      </c>
    </row>
    <row r="945" customFormat="false" ht="23.85" hidden="false" customHeight="false" outlineLevel="0" collapsed="false">
      <c r="A945" s="4" t="s">
        <v>1643</v>
      </c>
      <c r="B945" s="5" t="s">
        <v>1856</v>
      </c>
      <c r="C945" s="6" t="s">
        <v>1645</v>
      </c>
      <c r="D945" s="6"/>
      <c r="E945" s="4" t="s">
        <v>1808</v>
      </c>
      <c r="F945" s="4"/>
      <c r="G945" s="6"/>
      <c r="H945" s="6" t="s">
        <v>1803</v>
      </c>
      <c r="I945" s="5" t="s">
        <v>1804</v>
      </c>
      <c r="J945" s="5" t="s">
        <v>26</v>
      </c>
      <c r="K945" s="7" t="n">
        <v>0.6</v>
      </c>
      <c r="L945" s="6"/>
      <c r="M945" s="4" t="s">
        <v>1805</v>
      </c>
      <c r="N945" s="5" t="s">
        <v>1857</v>
      </c>
    </row>
    <row r="946" customFormat="false" ht="23.85" hidden="false" customHeight="false" outlineLevel="0" collapsed="false">
      <c r="A946" s="4" t="s">
        <v>1643</v>
      </c>
      <c r="B946" s="5" t="s">
        <v>1858</v>
      </c>
      <c r="C946" s="6" t="s">
        <v>1859</v>
      </c>
      <c r="D946" s="6"/>
      <c r="E946" s="4" t="s">
        <v>21</v>
      </c>
      <c r="F946" s="4" t="s">
        <v>718</v>
      </c>
      <c r="G946" s="6" t="s">
        <v>1860</v>
      </c>
      <c r="H946" s="6" t="s">
        <v>1803</v>
      </c>
      <c r="I946" s="5" t="s">
        <v>1804</v>
      </c>
      <c r="J946" s="5" t="s">
        <v>26</v>
      </c>
      <c r="K946" s="7" t="n">
        <v>0.6</v>
      </c>
      <c r="L946" s="6"/>
      <c r="M946" s="4" t="s">
        <v>1805</v>
      </c>
      <c r="N946" s="5" t="s">
        <v>1861</v>
      </c>
    </row>
    <row r="947" customFormat="false" ht="35.05" hidden="false" customHeight="false" outlineLevel="0" collapsed="false">
      <c r="A947" s="4" t="s">
        <v>1643</v>
      </c>
      <c r="B947" s="5" t="s">
        <v>1862</v>
      </c>
      <c r="C947" s="6" t="s">
        <v>1645</v>
      </c>
      <c r="D947" s="6"/>
      <c r="E947" s="4" t="s">
        <v>629</v>
      </c>
      <c r="F947" s="4" t="s">
        <v>879</v>
      </c>
      <c r="G947" s="6" t="s">
        <v>1863</v>
      </c>
      <c r="H947" s="6" t="s">
        <v>1121</v>
      </c>
      <c r="I947" s="5" t="s">
        <v>1122</v>
      </c>
      <c r="J947" s="5" t="s">
        <v>26</v>
      </c>
      <c r="K947" s="7" t="n">
        <v>0.6</v>
      </c>
      <c r="L947" s="8" t="s">
        <v>1123</v>
      </c>
      <c r="M947" s="4" t="s">
        <v>1124</v>
      </c>
      <c r="N947" s="5" t="s">
        <v>1864</v>
      </c>
    </row>
    <row r="948" customFormat="false" ht="35.05" hidden="false" customHeight="false" outlineLevel="0" collapsed="false">
      <c r="A948" s="4" t="s">
        <v>1643</v>
      </c>
      <c r="B948" s="5" t="s">
        <v>1865</v>
      </c>
      <c r="C948" s="6" t="s">
        <v>1645</v>
      </c>
      <c r="D948" s="6"/>
      <c r="E948" s="4" t="s">
        <v>629</v>
      </c>
      <c r="F948" s="4" t="s">
        <v>913</v>
      </c>
      <c r="G948" s="6" t="s">
        <v>1866</v>
      </c>
      <c r="H948" s="6" t="s">
        <v>1121</v>
      </c>
      <c r="I948" s="5" t="s">
        <v>1122</v>
      </c>
      <c r="J948" s="5" t="s">
        <v>26</v>
      </c>
      <c r="K948" s="7" t="n">
        <v>0.6</v>
      </c>
      <c r="L948" s="8" t="s">
        <v>1123</v>
      </c>
      <c r="M948" s="4" t="s">
        <v>1124</v>
      </c>
      <c r="N948" s="5" t="s">
        <v>1867</v>
      </c>
    </row>
    <row r="949" customFormat="false" ht="35.05" hidden="false" customHeight="false" outlineLevel="0" collapsed="false">
      <c r="A949" s="4" t="s">
        <v>1643</v>
      </c>
      <c r="B949" s="5" t="s">
        <v>1868</v>
      </c>
      <c r="C949" s="6" t="s">
        <v>1645</v>
      </c>
      <c r="D949" s="6"/>
      <c r="E949" s="4" t="s">
        <v>629</v>
      </c>
      <c r="F949" s="4" t="s">
        <v>917</v>
      </c>
      <c r="G949" s="6" t="s">
        <v>1869</v>
      </c>
      <c r="H949" s="6" t="s">
        <v>1121</v>
      </c>
      <c r="I949" s="5" t="s">
        <v>1122</v>
      </c>
      <c r="J949" s="5" t="s">
        <v>26</v>
      </c>
      <c r="K949" s="7" t="n">
        <v>0.6</v>
      </c>
      <c r="L949" s="8" t="s">
        <v>1123</v>
      </c>
      <c r="M949" s="4" t="s">
        <v>1124</v>
      </c>
      <c r="N949" s="5" t="s">
        <v>1870</v>
      </c>
    </row>
    <row r="950" customFormat="false" ht="35.05" hidden="false" customHeight="false" outlineLevel="0" collapsed="false">
      <c r="A950" s="4" t="s">
        <v>1643</v>
      </c>
      <c r="B950" s="5" t="s">
        <v>1871</v>
      </c>
      <c r="C950" s="6" t="s">
        <v>1645</v>
      </c>
      <c r="D950" s="6"/>
      <c r="E950" s="4" t="s">
        <v>629</v>
      </c>
      <c r="F950" s="4" t="s">
        <v>823</v>
      </c>
      <c r="G950" s="6" t="s">
        <v>1872</v>
      </c>
      <c r="H950" s="6" t="s">
        <v>1121</v>
      </c>
      <c r="I950" s="5" t="s">
        <v>1122</v>
      </c>
      <c r="J950" s="5" t="s">
        <v>26</v>
      </c>
      <c r="K950" s="7" t="n">
        <v>0.6</v>
      </c>
      <c r="L950" s="8" t="s">
        <v>1123</v>
      </c>
      <c r="M950" s="4" t="s">
        <v>1124</v>
      </c>
      <c r="N950" s="5" t="s">
        <v>1873</v>
      </c>
    </row>
    <row r="951" customFormat="false" ht="35.05" hidden="false" customHeight="false" outlineLevel="0" collapsed="false">
      <c r="A951" s="4" t="s">
        <v>1643</v>
      </c>
      <c r="B951" s="5" t="s">
        <v>1874</v>
      </c>
      <c r="C951" s="6" t="s">
        <v>1645</v>
      </c>
      <c r="D951" s="6"/>
      <c r="E951" s="4" t="s">
        <v>629</v>
      </c>
      <c r="F951" s="4" t="s">
        <v>924</v>
      </c>
      <c r="G951" s="6" t="s">
        <v>1875</v>
      </c>
      <c r="H951" s="6" t="s">
        <v>1121</v>
      </c>
      <c r="I951" s="5" t="s">
        <v>1122</v>
      </c>
      <c r="J951" s="5" t="s">
        <v>26</v>
      </c>
      <c r="K951" s="7" t="n">
        <v>0.6</v>
      </c>
      <c r="L951" s="8" t="s">
        <v>1123</v>
      </c>
      <c r="M951" s="4" t="s">
        <v>1124</v>
      </c>
      <c r="N951" s="5" t="s">
        <v>1876</v>
      </c>
    </row>
    <row r="952" customFormat="false" ht="35.05" hidden="false" customHeight="false" outlineLevel="0" collapsed="false">
      <c r="A952" s="4" t="s">
        <v>1643</v>
      </c>
      <c r="B952" s="5" t="s">
        <v>1877</v>
      </c>
      <c r="C952" s="6" t="s">
        <v>1645</v>
      </c>
      <c r="D952" s="6"/>
      <c r="E952" s="4" t="s">
        <v>629</v>
      </c>
      <c r="F952" s="4" t="s">
        <v>596</v>
      </c>
      <c r="G952" s="6" t="s">
        <v>1878</v>
      </c>
      <c r="H952" s="6" t="s">
        <v>1121</v>
      </c>
      <c r="I952" s="5" t="s">
        <v>1122</v>
      </c>
      <c r="J952" s="5" t="s">
        <v>26</v>
      </c>
      <c r="K952" s="7" t="n">
        <v>0.6</v>
      </c>
      <c r="L952" s="8" t="s">
        <v>1123</v>
      </c>
      <c r="M952" s="4" t="s">
        <v>1124</v>
      </c>
      <c r="N952" s="5" t="s">
        <v>1879</v>
      </c>
    </row>
    <row r="953" customFormat="false" ht="35.05" hidden="false" customHeight="false" outlineLevel="0" collapsed="false">
      <c r="A953" s="4" t="s">
        <v>1643</v>
      </c>
      <c r="B953" s="5" t="s">
        <v>1880</v>
      </c>
      <c r="C953" s="6" t="s">
        <v>1645</v>
      </c>
      <c r="D953" s="6"/>
      <c r="E953" s="4" t="s">
        <v>629</v>
      </c>
      <c r="F953" s="4" t="s">
        <v>598</v>
      </c>
      <c r="G953" s="6" t="s">
        <v>1881</v>
      </c>
      <c r="H953" s="6" t="s">
        <v>1121</v>
      </c>
      <c r="I953" s="5" t="s">
        <v>1122</v>
      </c>
      <c r="J953" s="5" t="s">
        <v>26</v>
      </c>
      <c r="K953" s="7" t="n">
        <v>0.6</v>
      </c>
      <c r="L953" s="8" t="s">
        <v>1123</v>
      </c>
      <c r="M953" s="4" t="s">
        <v>1124</v>
      </c>
      <c r="N953" s="5" t="s">
        <v>1882</v>
      </c>
    </row>
    <row r="954" customFormat="false" ht="35.05" hidden="false" customHeight="false" outlineLevel="0" collapsed="false">
      <c r="A954" s="4" t="s">
        <v>1643</v>
      </c>
      <c r="B954" s="5" t="s">
        <v>1883</v>
      </c>
      <c r="C954" s="6" t="s">
        <v>1645</v>
      </c>
      <c r="D954" s="6"/>
      <c r="E954" s="4" t="s">
        <v>629</v>
      </c>
      <c r="F954" s="4" t="s">
        <v>600</v>
      </c>
      <c r="G954" s="6" t="s">
        <v>1884</v>
      </c>
      <c r="H954" s="6" t="s">
        <v>1121</v>
      </c>
      <c r="I954" s="5" t="s">
        <v>1122</v>
      </c>
      <c r="J954" s="5" t="s">
        <v>26</v>
      </c>
      <c r="K954" s="7" t="n">
        <v>0.6</v>
      </c>
      <c r="L954" s="8" t="s">
        <v>1123</v>
      </c>
      <c r="M954" s="4" t="s">
        <v>1124</v>
      </c>
      <c r="N954" s="5" t="s">
        <v>1885</v>
      </c>
    </row>
    <row r="955" customFormat="false" ht="35.05" hidden="false" customHeight="false" outlineLevel="0" collapsed="false">
      <c r="A955" s="4" t="s">
        <v>1643</v>
      </c>
      <c r="B955" s="5" t="s">
        <v>1886</v>
      </c>
      <c r="C955" s="6" t="s">
        <v>1645</v>
      </c>
      <c r="D955" s="6"/>
      <c r="E955" s="4" t="s">
        <v>629</v>
      </c>
      <c r="F955" s="4" t="s">
        <v>610</v>
      </c>
      <c r="G955" s="6" t="s">
        <v>1887</v>
      </c>
      <c r="H955" s="6" t="s">
        <v>1121</v>
      </c>
      <c r="I955" s="5" t="s">
        <v>1122</v>
      </c>
      <c r="J955" s="5" t="s">
        <v>26</v>
      </c>
      <c r="K955" s="7" t="n">
        <v>0.6</v>
      </c>
      <c r="L955" s="8" t="s">
        <v>1123</v>
      </c>
      <c r="M955" s="4" t="s">
        <v>1124</v>
      </c>
      <c r="N955" s="5" t="s">
        <v>1888</v>
      </c>
    </row>
    <row r="956" customFormat="false" ht="35.05" hidden="false" customHeight="false" outlineLevel="0" collapsed="false">
      <c r="A956" s="4" t="s">
        <v>1643</v>
      </c>
      <c r="B956" s="5" t="s">
        <v>1889</v>
      </c>
      <c r="C956" s="6" t="s">
        <v>1645</v>
      </c>
      <c r="D956" s="6"/>
      <c r="E956" s="4" t="s">
        <v>629</v>
      </c>
      <c r="F956" s="4" t="s">
        <v>613</v>
      </c>
      <c r="G956" s="6" t="s">
        <v>1890</v>
      </c>
      <c r="H956" s="6" t="s">
        <v>1121</v>
      </c>
      <c r="I956" s="5" t="s">
        <v>1122</v>
      </c>
      <c r="J956" s="5" t="s">
        <v>26</v>
      </c>
      <c r="K956" s="7" t="n">
        <v>0.6</v>
      </c>
      <c r="L956" s="8" t="s">
        <v>1123</v>
      </c>
      <c r="M956" s="4" t="s">
        <v>1124</v>
      </c>
      <c r="N956" s="5" t="s">
        <v>1891</v>
      </c>
    </row>
    <row r="957" customFormat="false" ht="35.05" hidden="false" customHeight="false" outlineLevel="0" collapsed="false">
      <c r="A957" s="4" t="s">
        <v>1643</v>
      </c>
      <c r="B957" s="5" t="s">
        <v>1892</v>
      </c>
      <c r="C957" s="6" t="s">
        <v>1645</v>
      </c>
      <c r="D957" s="6"/>
      <c r="E957" s="4" t="s">
        <v>629</v>
      </c>
      <c r="F957" s="4" t="s">
        <v>616</v>
      </c>
      <c r="G957" s="6" t="s">
        <v>1893</v>
      </c>
      <c r="H957" s="6" t="s">
        <v>1121</v>
      </c>
      <c r="I957" s="5" t="s">
        <v>1122</v>
      </c>
      <c r="J957" s="5" t="s">
        <v>26</v>
      </c>
      <c r="K957" s="7" t="n">
        <v>0.6</v>
      </c>
      <c r="L957" s="8" t="s">
        <v>1123</v>
      </c>
      <c r="M957" s="4" t="s">
        <v>1124</v>
      </c>
      <c r="N957" s="5" t="s">
        <v>1894</v>
      </c>
    </row>
    <row r="958" customFormat="false" ht="46.25" hidden="false" customHeight="false" outlineLevel="0" collapsed="false">
      <c r="A958" s="4" t="s">
        <v>1643</v>
      </c>
      <c r="B958" s="5" t="s">
        <v>1895</v>
      </c>
      <c r="C958" s="6" t="s">
        <v>1645</v>
      </c>
      <c r="D958" s="6"/>
      <c r="E958" s="4" t="s">
        <v>629</v>
      </c>
      <c r="F958" s="4" t="s">
        <v>798</v>
      </c>
      <c r="G958" s="6" t="s">
        <v>1896</v>
      </c>
      <c r="H958" s="6" t="s">
        <v>1121</v>
      </c>
      <c r="I958" s="5" t="s">
        <v>1122</v>
      </c>
      <c r="J958" s="5" t="s">
        <v>26</v>
      </c>
      <c r="K958" s="7" t="n">
        <v>0.6</v>
      </c>
      <c r="L958" s="8" t="s">
        <v>1123</v>
      </c>
      <c r="M958" s="4" t="s">
        <v>1124</v>
      </c>
      <c r="N958" s="5" t="s">
        <v>1897</v>
      </c>
    </row>
    <row r="959" customFormat="false" ht="35.05" hidden="false" customHeight="false" outlineLevel="0" collapsed="false">
      <c r="A959" s="4" t="s">
        <v>1643</v>
      </c>
      <c r="B959" s="5" t="s">
        <v>1898</v>
      </c>
      <c r="C959" s="6" t="s">
        <v>1645</v>
      </c>
      <c r="D959" s="6"/>
      <c r="E959" s="4" t="s">
        <v>629</v>
      </c>
      <c r="F959" s="4" t="s">
        <v>815</v>
      </c>
      <c r="G959" s="6" t="s">
        <v>1899</v>
      </c>
      <c r="H959" s="6" t="s">
        <v>1121</v>
      </c>
      <c r="I959" s="5" t="s">
        <v>1122</v>
      </c>
      <c r="J959" s="5" t="s">
        <v>26</v>
      </c>
      <c r="K959" s="7" t="n">
        <v>0.6</v>
      </c>
      <c r="L959" s="8" t="s">
        <v>1123</v>
      </c>
      <c r="M959" s="4" t="s">
        <v>1124</v>
      </c>
      <c r="N959" s="5" t="s">
        <v>1900</v>
      </c>
    </row>
    <row r="960" customFormat="false" ht="57.45" hidden="false" customHeight="false" outlineLevel="0" collapsed="false">
      <c r="A960" s="4" t="s">
        <v>1643</v>
      </c>
      <c r="B960" s="5" t="s">
        <v>1901</v>
      </c>
      <c r="C960" s="6" t="s">
        <v>1645</v>
      </c>
      <c r="D960" s="6"/>
      <c r="E960" s="4" t="s">
        <v>629</v>
      </c>
      <c r="F960" s="4" t="s">
        <v>791</v>
      </c>
      <c r="G960" s="6" t="s">
        <v>1902</v>
      </c>
      <c r="H960" s="6" t="s">
        <v>1121</v>
      </c>
      <c r="I960" s="5" t="s">
        <v>1122</v>
      </c>
      <c r="J960" s="5" t="s">
        <v>26</v>
      </c>
      <c r="K960" s="7" t="n">
        <v>0.6</v>
      </c>
      <c r="L960" s="8" t="s">
        <v>1123</v>
      </c>
      <c r="M960" s="4" t="s">
        <v>1124</v>
      </c>
      <c r="N960" s="5" t="s">
        <v>1903</v>
      </c>
    </row>
    <row r="961" customFormat="false" ht="35.05" hidden="false" customHeight="false" outlineLevel="0" collapsed="false">
      <c r="A961" s="4" t="s">
        <v>1643</v>
      </c>
      <c r="B961" s="5" t="s">
        <v>1904</v>
      </c>
      <c r="C961" s="6" t="s">
        <v>1645</v>
      </c>
      <c r="D961" s="6"/>
      <c r="E961" s="4" t="s">
        <v>580</v>
      </c>
      <c r="F961" s="4" t="s">
        <v>1272</v>
      </c>
      <c r="G961" s="6" t="s">
        <v>1905</v>
      </c>
      <c r="H961" s="6" t="s">
        <v>1121</v>
      </c>
      <c r="I961" s="5" t="s">
        <v>1122</v>
      </c>
      <c r="J961" s="5" t="s">
        <v>26</v>
      </c>
      <c r="K961" s="7" t="n">
        <v>0.6</v>
      </c>
      <c r="L961" s="8" t="s">
        <v>1123</v>
      </c>
      <c r="M961" s="4" t="s">
        <v>1124</v>
      </c>
      <c r="N961" s="5" t="s">
        <v>1906</v>
      </c>
    </row>
    <row r="962" customFormat="false" ht="35.05" hidden="false" customHeight="false" outlineLevel="0" collapsed="false">
      <c r="A962" s="4" t="s">
        <v>1643</v>
      </c>
      <c r="B962" s="5" t="s">
        <v>1907</v>
      </c>
      <c r="C962" s="6" t="s">
        <v>1645</v>
      </c>
      <c r="D962" s="6"/>
      <c r="E962" s="4" t="s">
        <v>629</v>
      </c>
      <c r="F962" s="4"/>
      <c r="G962" s="6"/>
      <c r="H962" s="6" t="s">
        <v>1121</v>
      </c>
      <c r="I962" s="5" t="s">
        <v>1122</v>
      </c>
      <c r="J962" s="5" t="s">
        <v>26</v>
      </c>
      <c r="K962" s="7" t="n">
        <v>0.6</v>
      </c>
      <c r="L962" s="8" t="s">
        <v>1123</v>
      </c>
      <c r="M962" s="4" t="s">
        <v>1124</v>
      </c>
      <c r="N962" s="5" t="s">
        <v>1908</v>
      </c>
    </row>
    <row r="963" customFormat="false" ht="35.05" hidden="false" customHeight="false" outlineLevel="0" collapsed="false">
      <c r="A963" s="4" t="s">
        <v>1643</v>
      </c>
      <c r="B963" s="5" t="s">
        <v>1909</v>
      </c>
      <c r="C963" s="6" t="s">
        <v>1645</v>
      </c>
      <c r="D963" s="6"/>
      <c r="E963" s="4" t="s">
        <v>629</v>
      </c>
      <c r="F963" s="4"/>
      <c r="G963" s="6"/>
      <c r="H963" s="6" t="s">
        <v>1121</v>
      </c>
      <c r="I963" s="5" t="s">
        <v>1122</v>
      </c>
      <c r="J963" s="5" t="s">
        <v>26</v>
      </c>
      <c r="K963" s="7" t="n">
        <v>0.6</v>
      </c>
      <c r="L963" s="8" t="s">
        <v>1123</v>
      </c>
      <c r="M963" s="4" t="s">
        <v>1124</v>
      </c>
      <c r="N963" s="5" t="s">
        <v>1910</v>
      </c>
    </row>
    <row r="964" customFormat="false" ht="35.05" hidden="false" customHeight="false" outlineLevel="0" collapsed="false">
      <c r="A964" s="4" t="s">
        <v>1643</v>
      </c>
      <c r="B964" s="5" t="s">
        <v>1911</v>
      </c>
      <c r="C964" s="6" t="s">
        <v>1645</v>
      </c>
      <c r="D964" s="6"/>
      <c r="E964" s="4" t="s">
        <v>580</v>
      </c>
      <c r="F964" s="4" t="s">
        <v>1275</v>
      </c>
      <c r="G964" s="6" t="s">
        <v>1912</v>
      </c>
      <c r="H964" s="6" t="s">
        <v>1121</v>
      </c>
      <c r="I964" s="5" t="s">
        <v>1122</v>
      </c>
      <c r="J964" s="5" t="s">
        <v>26</v>
      </c>
      <c r="K964" s="7" t="n">
        <v>0.6</v>
      </c>
      <c r="L964" s="8" t="s">
        <v>1123</v>
      </c>
      <c r="M964" s="4" t="s">
        <v>1124</v>
      </c>
      <c r="N964" s="5" t="s">
        <v>1913</v>
      </c>
    </row>
    <row r="965" customFormat="false" ht="35.05" hidden="false" customHeight="false" outlineLevel="0" collapsed="false">
      <c r="A965" s="4" t="s">
        <v>1643</v>
      </c>
      <c r="B965" s="5" t="s">
        <v>1914</v>
      </c>
      <c r="C965" s="6" t="s">
        <v>1645</v>
      </c>
      <c r="D965" s="6"/>
      <c r="E965" s="4" t="s">
        <v>580</v>
      </c>
      <c r="F965" s="4" t="s">
        <v>1277</v>
      </c>
      <c r="G965" s="6" t="s">
        <v>1915</v>
      </c>
      <c r="H965" s="6" t="s">
        <v>1121</v>
      </c>
      <c r="I965" s="5" t="s">
        <v>1122</v>
      </c>
      <c r="J965" s="5" t="s">
        <v>26</v>
      </c>
      <c r="K965" s="7" t="n">
        <v>0.6</v>
      </c>
      <c r="L965" s="8" t="s">
        <v>1123</v>
      </c>
      <c r="M965" s="4" t="s">
        <v>1124</v>
      </c>
      <c r="N965" s="5" t="s">
        <v>1916</v>
      </c>
    </row>
    <row r="966" customFormat="false" ht="35.05" hidden="false" customHeight="false" outlineLevel="0" collapsed="false">
      <c r="A966" s="4" t="s">
        <v>1643</v>
      </c>
      <c r="B966" s="5" t="s">
        <v>1917</v>
      </c>
      <c r="C966" s="6" t="s">
        <v>1645</v>
      </c>
      <c r="D966" s="6"/>
      <c r="E966" s="4" t="s">
        <v>580</v>
      </c>
      <c r="F966" s="4" t="s">
        <v>1165</v>
      </c>
      <c r="G966" s="6" t="s">
        <v>1918</v>
      </c>
      <c r="H966" s="6" t="s">
        <v>1121</v>
      </c>
      <c r="I966" s="5" t="s">
        <v>1122</v>
      </c>
      <c r="J966" s="5" t="s">
        <v>26</v>
      </c>
      <c r="K966" s="7" t="n">
        <v>0.6</v>
      </c>
      <c r="L966" s="8" t="s">
        <v>1123</v>
      </c>
      <c r="M966" s="4" t="s">
        <v>1124</v>
      </c>
      <c r="N966" s="5" t="s">
        <v>1919</v>
      </c>
    </row>
    <row r="967" customFormat="false" ht="35.05" hidden="false" customHeight="false" outlineLevel="0" collapsed="false">
      <c r="A967" s="4" t="s">
        <v>1643</v>
      </c>
      <c r="B967" s="5" t="s">
        <v>1920</v>
      </c>
      <c r="C967" s="6" t="s">
        <v>1645</v>
      </c>
      <c r="D967" s="6"/>
      <c r="E967" s="4" t="s">
        <v>21</v>
      </c>
      <c r="F967" s="4" t="s">
        <v>722</v>
      </c>
      <c r="G967" s="6" t="s">
        <v>1921</v>
      </c>
      <c r="H967" s="6" t="s">
        <v>1803</v>
      </c>
      <c r="I967" s="5" t="s">
        <v>1804</v>
      </c>
      <c r="J967" s="5" t="s">
        <v>26</v>
      </c>
      <c r="K967" s="7" t="n">
        <v>0.6</v>
      </c>
      <c r="L967" s="6"/>
      <c r="M967" s="4" t="s">
        <v>1805</v>
      </c>
      <c r="N967" s="5" t="s">
        <v>1922</v>
      </c>
    </row>
  </sheetData>
  <autoFilter ref="A5:N967"/>
  <mergeCells count="3">
    <mergeCell ref="A2:N2"/>
    <mergeCell ref="A3:N3"/>
    <mergeCell ref="A4:N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6"/>
    <col collapsed="false" customWidth="true" hidden="false" outlineLevel="0" max="4" min="4" style="0" width="62"/>
    <col collapsed="false" customWidth="true" hidden="false" outlineLevel="0" max="5" min="5" style="0" width="24"/>
    <col collapsed="false" customWidth="true" hidden="false" outlineLevel="0" max="6" min="6" style="0" width="62"/>
  </cols>
  <sheetData>
    <row r="1" customFormat="false" ht="17.35" hidden="false" customHeight="false" outlineLevel="0" collapsed="false">
      <c r="A1" s="1" t="s">
        <v>1923</v>
      </c>
    </row>
    <row r="2" customFormat="false" ht="25.5" hidden="false" customHeight="true" outlineLevel="0" collapsed="false">
      <c r="A2" s="2" t="s">
        <v>1924</v>
      </c>
      <c r="B2" s="2"/>
      <c r="C2" s="2"/>
      <c r="D2" s="2"/>
      <c r="E2" s="2"/>
      <c r="F2" s="2"/>
    </row>
    <row r="3" customFormat="false" ht="37.5" hidden="false" customHeight="true" outlineLevel="0" collapsed="false">
      <c r="A3" s="2" t="s">
        <v>1925</v>
      </c>
      <c r="B3" s="2"/>
      <c r="C3" s="2"/>
      <c r="D3" s="2"/>
      <c r="E3" s="2"/>
      <c r="F3" s="2"/>
    </row>
    <row r="4" customFormat="false" ht="30" hidden="false" customHeight="true" outlineLevel="0" collapsed="false">
      <c r="A4" s="3" t="s">
        <v>1926</v>
      </c>
      <c r="B4" s="3" t="s">
        <v>1927</v>
      </c>
      <c r="C4" s="3" t="s">
        <v>1928</v>
      </c>
      <c r="D4" s="3" t="s">
        <v>1929</v>
      </c>
      <c r="E4" s="3" t="s">
        <v>1930</v>
      </c>
      <c r="F4" s="3" t="s">
        <v>1931</v>
      </c>
    </row>
    <row r="5" customFormat="false" ht="23.85" hidden="false" customHeight="false" outlineLevel="0" collapsed="false">
      <c r="A5" s="9" t="s">
        <v>1932</v>
      </c>
      <c r="B5" s="10" t="s">
        <v>1933</v>
      </c>
      <c r="C5" s="10" t="s">
        <v>1934</v>
      </c>
      <c r="D5" s="11" t="s">
        <v>1935</v>
      </c>
      <c r="E5" s="11" t="s">
        <v>1936</v>
      </c>
      <c r="F5" s="11" t="s">
        <v>1937</v>
      </c>
    </row>
    <row r="6" customFormat="false" ht="15" hidden="false" customHeight="false" outlineLevel="0" collapsed="false">
      <c r="A6" s="9" t="s">
        <v>1938</v>
      </c>
      <c r="B6" s="10" t="s">
        <v>1933</v>
      </c>
      <c r="C6" s="10" t="s">
        <v>1939</v>
      </c>
      <c r="D6" s="11" t="s">
        <v>1940</v>
      </c>
      <c r="E6" s="11" t="s">
        <v>1936</v>
      </c>
      <c r="F6" s="11" t="s">
        <v>1941</v>
      </c>
    </row>
    <row r="7" customFormat="false" ht="15" hidden="false" customHeight="false" outlineLevel="0" collapsed="false">
      <c r="A7" s="9" t="s">
        <v>1942</v>
      </c>
      <c r="B7" s="10" t="s">
        <v>1933</v>
      </c>
      <c r="C7" s="10" t="s">
        <v>1943</v>
      </c>
      <c r="D7" s="11" t="s">
        <v>1944</v>
      </c>
      <c r="E7" s="11" t="s">
        <v>1936</v>
      </c>
      <c r="F7" s="11" t="s">
        <v>1945</v>
      </c>
    </row>
    <row r="8" customFormat="false" ht="23.85" hidden="false" customHeight="false" outlineLevel="0" collapsed="false">
      <c r="A8" s="9" t="s">
        <v>1946</v>
      </c>
      <c r="B8" s="10" t="s">
        <v>1933</v>
      </c>
      <c r="C8" s="10" t="s">
        <v>1947</v>
      </c>
      <c r="D8" s="11" t="s">
        <v>1948</v>
      </c>
      <c r="E8" s="11" t="s">
        <v>1936</v>
      </c>
      <c r="F8" s="11" t="s">
        <v>1945</v>
      </c>
    </row>
    <row r="9" customFormat="false" ht="15" hidden="false" customHeight="false" outlineLevel="0" collapsed="false">
      <c r="A9" s="9" t="s">
        <v>1949</v>
      </c>
      <c r="B9" s="10" t="s">
        <v>1933</v>
      </c>
      <c r="C9" s="10" t="s">
        <v>1950</v>
      </c>
      <c r="D9" s="11" t="s">
        <v>1951</v>
      </c>
      <c r="E9" s="11" t="s">
        <v>1936</v>
      </c>
      <c r="F9" s="11" t="s">
        <v>1945</v>
      </c>
    </row>
    <row r="10" customFormat="false" ht="23.85" hidden="false" customHeight="false" outlineLevel="0" collapsed="false">
      <c r="A10" s="9" t="s">
        <v>1952</v>
      </c>
      <c r="B10" s="10" t="s">
        <v>1933</v>
      </c>
      <c r="C10" s="10" t="s">
        <v>1953</v>
      </c>
      <c r="D10" s="11" t="s">
        <v>1954</v>
      </c>
      <c r="E10" s="11" t="s">
        <v>1936</v>
      </c>
      <c r="F10" s="11" t="s">
        <v>1945</v>
      </c>
    </row>
    <row r="11" customFormat="false" ht="23.85" hidden="false" customHeight="false" outlineLevel="0" collapsed="false">
      <c r="A11" s="9" t="s">
        <v>1955</v>
      </c>
      <c r="B11" s="10" t="s">
        <v>1956</v>
      </c>
      <c r="C11" s="10" t="s">
        <v>1957</v>
      </c>
      <c r="D11" s="11" t="s">
        <v>1958</v>
      </c>
      <c r="E11" s="11" t="s">
        <v>1936</v>
      </c>
      <c r="F11" s="11" t="s">
        <v>1959</v>
      </c>
    </row>
    <row r="12" customFormat="false" ht="23.85" hidden="false" customHeight="false" outlineLevel="0" collapsed="false">
      <c r="A12" s="9" t="s">
        <v>1960</v>
      </c>
      <c r="B12" s="10" t="s">
        <v>1956</v>
      </c>
      <c r="C12" s="10" t="s">
        <v>1957</v>
      </c>
      <c r="D12" s="11" t="s">
        <v>1961</v>
      </c>
      <c r="E12" s="11" t="s">
        <v>1936</v>
      </c>
      <c r="F12" s="11" t="s">
        <v>1959</v>
      </c>
    </row>
    <row r="13" customFormat="false" ht="23.85" hidden="false" customHeight="false" outlineLevel="0" collapsed="false">
      <c r="A13" s="9" t="s">
        <v>1962</v>
      </c>
      <c r="B13" s="10" t="s">
        <v>1956</v>
      </c>
      <c r="C13" s="10" t="s">
        <v>1957</v>
      </c>
      <c r="D13" s="11" t="s">
        <v>1963</v>
      </c>
      <c r="E13" s="11" t="s">
        <v>1964</v>
      </c>
      <c r="F13" s="11" t="s">
        <v>1965</v>
      </c>
    </row>
    <row r="14" customFormat="false" ht="23.85" hidden="false" customHeight="false" outlineLevel="0" collapsed="false">
      <c r="A14" s="9" t="s">
        <v>1966</v>
      </c>
      <c r="B14" s="10" t="s">
        <v>1956</v>
      </c>
      <c r="C14" s="10" t="s">
        <v>1957</v>
      </c>
      <c r="D14" s="11" t="s">
        <v>1967</v>
      </c>
      <c r="E14" s="11" t="s">
        <v>1964</v>
      </c>
      <c r="F14" s="11" t="s">
        <v>1965</v>
      </c>
    </row>
    <row r="15" customFormat="false" ht="23.85" hidden="false" customHeight="false" outlineLevel="0" collapsed="false">
      <c r="A15" s="9" t="s">
        <v>1968</v>
      </c>
      <c r="B15" s="10" t="s">
        <v>1933</v>
      </c>
      <c r="C15" s="10" t="s">
        <v>1969</v>
      </c>
      <c r="D15" s="11" t="s">
        <v>1970</v>
      </c>
      <c r="E15" s="11" t="s">
        <v>1971</v>
      </c>
      <c r="F15" s="11" t="s">
        <v>1972</v>
      </c>
    </row>
    <row r="16" customFormat="false" ht="23.85" hidden="false" customHeight="false" outlineLevel="0" collapsed="false">
      <c r="A16" s="9" t="s">
        <v>1973</v>
      </c>
      <c r="B16" s="10" t="s">
        <v>1933</v>
      </c>
      <c r="C16" s="10" t="s">
        <v>1974</v>
      </c>
      <c r="D16" s="11" t="s">
        <v>1975</v>
      </c>
      <c r="E16" s="11" t="s">
        <v>1971</v>
      </c>
      <c r="F16" s="11" t="s">
        <v>1972</v>
      </c>
    </row>
    <row r="17" customFormat="false" ht="23.85" hidden="false" customHeight="false" outlineLevel="0" collapsed="false">
      <c r="A17" s="9" t="s">
        <v>1976</v>
      </c>
      <c r="B17" s="10" t="s">
        <v>1933</v>
      </c>
      <c r="C17" s="10" t="s">
        <v>1977</v>
      </c>
      <c r="D17" s="11" t="s">
        <v>1978</v>
      </c>
      <c r="E17" s="11" t="s">
        <v>1979</v>
      </c>
      <c r="F17" s="11" t="s">
        <v>1980</v>
      </c>
    </row>
    <row r="18" customFormat="false" ht="15" hidden="false" customHeight="false" outlineLevel="0" collapsed="false">
      <c r="A18" s="9" t="s">
        <v>1981</v>
      </c>
      <c r="B18" s="10" t="s">
        <v>1933</v>
      </c>
      <c r="C18" s="10" t="s">
        <v>1982</v>
      </c>
      <c r="D18" s="11" t="s">
        <v>1983</v>
      </c>
      <c r="E18" s="11" t="s">
        <v>1984</v>
      </c>
      <c r="F18" s="11" t="s">
        <v>1985</v>
      </c>
    </row>
    <row r="19" customFormat="false" ht="23.85" hidden="false" customHeight="false" outlineLevel="0" collapsed="false">
      <c r="A19" s="9" t="s">
        <v>1986</v>
      </c>
      <c r="B19" s="10" t="s">
        <v>1933</v>
      </c>
      <c r="C19" s="10" t="s">
        <v>1987</v>
      </c>
      <c r="D19" s="11" t="s">
        <v>1988</v>
      </c>
      <c r="E19" s="11" t="s">
        <v>1989</v>
      </c>
      <c r="F19" s="11" t="s">
        <v>1990</v>
      </c>
    </row>
    <row r="20" customFormat="false" ht="23.85" hidden="false" customHeight="false" outlineLevel="0" collapsed="false">
      <c r="A20" s="9" t="s">
        <v>1991</v>
      </c>
      <c r="B20" s="10" t="s">
        <v>1933</v>
      </c>
      <c r="C20" s="10" t="s">
        <v>1992</v>
      </c>
      <c r="D20" s="11" t="s">
        <v>1993</v>
      </c>
      <c r="E20" s="11" t="s">
        <v>1989</v>
      </c>
      <c r="F20" s="11" t="s">
        <v>1990</v>
      </c>
    </row>
    <row r="21" customFormat="false" ht="23.85" hidden="false" customHeight="false" outlineLevel="0" collapsed="false">
      <c r="A21" s="9" t="s">
        <v>1994</v>
      </c>
      <c r="B21" s="10" t="s">
        <v>1933</v>
      </c>
      <c r="C21" s="10" t="s">
        <v>1995</v>
      </c>
      <c r="D21" s="11" t="s">
        <v>1996</v>
      </c>
      <c r="E21" s="11" t="s">
        <v>1989</v>
      </c>
      <c r="F21" s="11" t="s">
        <v>1990</v>
      </c>
    </row>
    <row r="22" customFormat="false" ht="23.85" hidden="false" customHeight="false" outlineLevel="0" collapsed="false">
      <c r="A22" s="9" t="s">
        <v>1997</v>
      </c>
      <c r="B22" s="10" t="s">
        <v>1933</v>
      </c>
      <c r="C22" s="10" t="s">
        <v>1998</v>
      </c>
      <c r="D22" s="11" t="s">
        <v>1999</v>
      </c>
      <c r="E22" s="11" t="s">
        <v>2000</v>
      </c>
      <c r="F22" s="11" t="s">
        <v>2001</v>
      </c>
    </row>
    <row r="23" customFormat="false" ht="23.85" hidden="false" customHeight="false" outlineLevel="0" collapsed="false">
      <c r="A23" s="9" t="s">
        <v>2002</v>
      </c>
      <c r="B23" s="10" t="s">
        <v>1933</v>
      </c>
      <c r="C23" s="10" t="s">
        <v>2003</v>
      </c>
      <c r="D23" s="11" t="s">
        <v>2004</v>
      </c>
      <c r="E23" s="11" t="s">
        <v>2000</v>
      </c>
      <c r="F23" s="11" t="s">
        <v>2001</v>
      </c>
    </row>
    <row r="24" customFormat="false" ht="15" hidden="false" customHeight="false" outlineLevel="0" collapsed="false">
      <c r="A24" s="9" t="s">
        <v>2005</v>
      </c>
      <c r="B24" s="10" t="s">
        <v>2006</v>
      </c>
      <c r="C24" s="10" t="s">
        <v>1957</v>
      </c>
      <c r="D24" s="11" t="s">
        <v>2007</v>
      </c>
      <c r="E24" s="11" t="s">
        <v>2008</v>
      </c>
      <c r="F24" s="11" t="s">
        <v>2009</v>
      </c>
    </row>
    <row r="25" customFormat="false" ht="15" hidden="false" customHeight="false" outlineLevel="0" collapsed="false">
      <c r="A25" s="9" t="s">
        <v>2010</v>
      </c>
      <c r="B25" s="10" t="s">
        <v>2006</v>
      </c>
      <c r="C25" s="10" t="s">
        <v>1957</v>
      </c>
      <c r="D25" s="11" t="s">
        <v>2011</v>
      </c>
      <c r="E25" s="11" t="s">
        <v>2008</v>
      </c>
      <c r="F25" s="11" t="s">
        <v>2009</v>
      </c>
    </row>
    <row r="26" customFormat="false" ht="23.85" hidden="false" customHeight="false" outlineLevel="0" collapsed="false">
      <c r="A26" s="9" t="s">
        <v>2012</v>
      </c>
      <c r="B26" s="10" t="s">
        <v>1933</v>
      </c>
      <c r="C26" s="10" t="s">
        <v>2013</v>
      </c>
      <c r="D26" s="11" t="s">
        <v>2014</v>
      </c>
      <c r="E26" s="11" t="s">
        <v>2015</v>
      </c>
      <c r="F26" s="11" t="s">
        <v>2016</v>
      </c>
    </row>
    <row r="27" customFormat="false" ht="23.85" hidden="false" customHeight="false" outlineLevel="0" collapsed="false">
      <c r="A27" s="9" t="s">
        <v>2017</v>
      </c>
      <c r="B27" s="10" t="s">
        <v>1933</v>
      </c>
      <c r="C27" s="10" t="s">
        <v>2018</v>
      </c>
      <c r="D27" s="11" t="s">
        <v>2019</v>
      </c>
      <c r="E27" s="11" t="s">
        <v>2015</v>
      </c>
      <c r="F27" s="11" t="s">
        <v>2016</v>
      </c>
    </row>
    <row r="28" customFormat="false" ht="15" hidden="false" customHeight="false" outlineLevel="0" collapsed="false">
      <c r="A28" s="9" t="s">
        <v>2020</v>
      </c>
      <c r="B28" s="10" t="s">
        <v>1933</v>
      </c>
      <c r="C28" s="10" t="s">
        <v>2021</v>
      </c>
      <c r="D28" s="11" t="s">
        <v>2022</v>
      </c>
      <c r="E28" s="11" t="s">
        <v>2023</v>
      </c>
      <c r="F28" s="11" t="s">
        <v>2024</v>
      </c>
    </row>
    <row r="29" customFormat="false" ht="15" hidden="false" customHeight="false" outlineLevel="0" collapsed="false">
      <c r="A29" s="9" t="s">
        <v>2025</v>
      </c>
      <c r="B29" s="10" t="s">
        <v>1933</v>
      </c>
      <c r="C29" s="10" t="s">
        <v>2026</v>
      </c>
      <c r="D29" s="11" t="s">
        <v>2027</v>
      </c>
      <c r="E29" s="11" t="s">
        <v>2023</v>
      </c>
      <c r="F29" s="11" t="s">
        <v>2024</v>
      </c>
    </row>
    <row r="30" customFormat="false" ht="23.85" hidden="false" customHeight="false" outlineLevel="0" collapsed="false">
      <c r="A30" s="9" t="s">
        <v>2028</v>
      </c>
      <c r="B30" s="10" t="s">
        <v>1933</v>
      </c>
      <c r="C30" s="10" t="s">
        <v>2029</v>
      </c>
      <c r="D30" s="11" t="s">
        <v>2030</v>
      </c>
      <c r="E30" s="11" t="s">
        <v>2023</v>
      </c>
      <c r="F30" s="11" t="s">
        <v>2031</v>
      </c>
    </row>
    <row r="31" customFormat="false" ht="15" hidden="false" customHeight="false" outlineLevel="0" collapsed="false">
      <c r="A31" s="9" t="s">
        <v>2032</v>
      </c>
      <c r="B31" s="10" t="s">
        <v>1933</v>
      </c>
      <c r="C31" s="10" t="s">
        <v>2033</v>
      </c>
      <c r="D31" s="11" t="s">
        <v>2034</v>
      </c>
      <c r="E31" s="11" t="s">
        <v>2035</v>
      </c>
      <c r="F31" s="11" t="s">
        <v>2036</v>
      </c>
    </row>
    <row r="32" customFormat="false" ht="15" hidden="false" customHeight="false" outlineLevel="0" collapsed="false">
      <c r="A32" s="9" t="s">
        <v>2037</v>
      </c>
      <c r="B32" s="10" t="s">
        <v>1933</v>
      </c>
      <c r="C32" s="10" t="s">
        <v>2038</v>
      </c>
      <c r="D32" s="11" t="s">
        <v>2039</v>
      </c>
      <c r="E32" s="11" t="s">
        <v>2015</v>
      </c>
      <c r="F32" s="11" t="s">
        <v>2040</v>
      </c>
    </row>
    <row r="33" customFormat="false" ht="15" hidden="false" customHeight="false" outlineLevel="0" collapsed="false">
      <c r="A33" s="9" t="s">
        <v>2041</v>
      </c>
      <c r="B33" s="10" t="s">
        <v>1933</v>
      </c>
      <c r="C33" s="10" t="s">
        <v>2042</v>
      </c>
      <c r="D33" s="11" t="s">
        <v>2043</v>
      </c>
      <c r="E33" s="11" t="s">
        <v>2023</v>
      </c>
      <c r="F33" s="11" t="s">
        <v>2031</v>
      </c>
    </row>
    <row r="34" customFormat="false" ht="15" hidden="false" customHeight="false" outlineLevel="0" collapsed="false">
      <c r="A34" s="9" t="s">
        <v>2044</v>
      </c>
      <c r="B34" s="10" t="s">
        <v>1933</v>
      </c>
      <c r="C34" s="10" t="s">
        <v>2045</v>
      </c>
      <c r="D34" s="11" t="s">
        <v>2046</v>
      </c>
      <c r="E34" s="11" t="s">
        <v>2023</v>
      </c>
      <c r="F34" s="11" t="s">
        <v>2031</v>
      </c>
    </row>
    <row r="35" customFormat="false" ht="15" hidden="false" customHeight="false" outlineLevel="0" collapsed="false">
      <c r="A35" s="9" t="s">
        <v>2047</v>
      </c>
      <c r="B35" s="10" t="s">
        <v>1933</v>
      </c>
      <c r="C35" s="10" t="s">
        <v>2048</v>
      </c>
      <c r="D35" s="11" t="s">
        <v>2049</v>
      </c>
      <c r="E35" s="11" t="s">
        <v>2015</v>
      </c>
      <c r="F35" s="11" t="s">
        <v>2040</v>
      </c>
    </row>
    <row r="36" customFormat="false" ht="23.85" hidden="false" customHeight="false" outlineLevel="0" collapsed="false">
      <c r="A36" s="9" t="s">
        <v>2050</v>
      </c>
      <c r="B36" s="10" t="s">
        <v>1933</v>
      </c>
      <c r="C36" s="10" t="s">
        <v>2051</v>
      </c>
      <c r="D36" s="11" t="s">
        <v>2052</v>
      </c>
      <c r="E36" s="11" t="s">
        <v>2053</v>
      </c>
      <c r="F36" s="11" t="s">
        <v>2054</v>
      </c>
    </row>
    <row r="37" customFormat="false" ht="15" hidden="false" customHeight="false" outlineLevel="0" collapsed="false">
      <c r="A37" s="9" t="s">
        <v>2055</v>
      </c>
      <c r="B37" s="10" t="s">
        <v>1933</v>
      </c>
      <c r="C37" s="10" t="s">
        <v>2056</v>
      </c>
      <c r="D37" s="11" t="s">
        <v>2057</v>
      </c>
      <c r="E37" s="11" t="s">
        <v>2058</v>
      </c>
      <c r="F37" s="11" t="s">
        <v>2059</v>
      </c>
    </row>
    <row r="38" customFormat="false" ht="15" hidden="false" customHeight="false" outlineLevel="0" collapsed="false">
      <c r="A38" s="9" t="s">
        <v>2060</v>
      </c>
      <c r="B38" s="10" t="s">
        <v>1933</v>
      </c>
      <c r="C38" s="10" t="s">
        <v>2061</v>
      </c>
      <c r="D38" s="11" t="s">
        <v>2062</v>
      </c>
      <c r="E38" s="11" t="s">
        <v>2053</v>
      </c>
      <c r="F38" s="11" t="s">
        <v>2063</v>
      </c>
    </row>
    <row r="39" customFormat="false" ht="15" hidden="false" customHeight="false" outlineLevel="0" collapsed="false">
      <c r="A39" s="9" t="s">
        <v>2064</v>
      </c>
      <c r="B39" s="10" t="s">
        <v>1933</v>
      </c>
      <c r="C39" s="10" t="s">
        <v>2065</v>
      </c>
      <c r="D39" s="11" t="s">
        <v>2066</v>
      </c>
      <c r="E39" s="11" t="s">
        <v>2053</v>
      </c>
      <c r="F39" s="11" t="s">
        <v>2067</v>
      </c>
    </row>
    <row r="40" customFormat="false" ht="15" hidden="false" customHeight="false" outlineLevel="0" collapsed="false">
      <c r="A40" s="9" t="s">
        <v>2068</v>
      </c>
      <c r="B40" s="10" t="s">
        <v>1933</v>
      </c>
      <c r="C40" s="10" t="s">
        <v>2069</v>
      </c>
      <c r="D40" s="11" t="s">
        <v>2070</v>
      </c>
      <c r="E40" s="11" t="s">
        <v>2058</v>
      </c>
      <c r="F40" s="11" t="s">
        <v>2071</v>
      </c>
    </row>
    <row r="41" customFormat="false" ht="15" hidden="false" customHeight="false" outlineLevel="0" collapsed="false">
      <c r="A41" s="9" t="s">
        <v>2072</v>
      </c>
      <c r="B41" s="10" t="s">
        <v>1933</v>
      </c>
      <c r="C41" s="10" t="s">
        <v>2073</v>
      </c>
      <c r="D41" s="11" t="s">
        <v>2074</v>
      </c>
      <c r="E41" s="11" t="s">
        <v>2053</v>
      </c>
      <c r="F41" s="11" t="s">
        <v>2075</v>
      </c>
    </row>
    <row r="42" customFormat="false" ht="15" hidden="false" customHeight="false" outlineLevel="0" collapsed="false">
      <c r="A42" s="9" t="s">
        <v>2076</v>
      </c>
      <c r="B42" s="10" t="s">
        <v>1933</v>
      </c>
      <c r="C42" s="10" t="s">
        <v>2077</v>
      </c>
      <c r="D42" s="11" t="s">
        <v>2078</v>
      </c>
      <c r="E42" s="11" t="s">
        <v>2058</v>
      </c>
      <c r="F42" s="11" t="s">
        <v>2071</v>
      </c>
    </row>
    <row r="43" customFormat="false" ht="23.85" hidden="false" customHeight="false" outlineLevel="0" collapsed="false">
      <c r="A43" s="9" t="s">
        <v>2079</v>
      </c>
      <c r="B43" s="10" t="s">
        <v>1933</v>
      </c>
      <c r="C43" s="10" t="s">
        <v>2080</v>
      </c>
      <c r="D43" s="11" t="s">
        <v>2081</v>
      </c>
      <c r="E43" s="11" t="s">
        <v>2082</v>
      </c>
      <c r="F43" s="11" t="s">
        <v>2083</v>
      </c>
    </row>
    <row r="44" customFormat="false" ht="15" hidden="false" customHeight="false" outlineLevel="0" collapsed="false">
      <c r="A44" s="9" t="s">
        <v>2084</v>
      </c>
      <c r="B44" s="10" t="s">
        <v>1933</v>
      </c>
      <c r="C44" s="10" t="s">
        <v>2085</v>
      </c>
      <c r="D44" s="11" t="s">
        <v>2086</v>
      </c>
      <c r="E44" s="11" t="s">
        <v>2087</v>
      </c>
      <c r="F44" s="11" t="s">
        <v>2088</v>
      </c>
    </row>
    <row r="45" customFormat="false" ht="15" hidden="false" customHeight="false" outlineLevel="0" collapsed="false">
      <c r="A45" s="9" t="s">
        <v>2089</v>
      </c>
      <c r="B45" s="10" t="s">
        <v>1933</v>
      </c>
      <c r="C45" s="10" t="s">
        <v>2090</v>
      </c>
      <c r="D45" s="11" t="s">
        <v>2091</v>
      </c>
      <c r="E45" s="11" t="s">
        <v>2053</v>
      </c>
      <c r="F45" s="11" t="s">
        <v>2067</v>
      </c>
    </row>
    <row r="46" customFormat="false" ht="15" hidden="false" customHeight="false" outlineLevel="0" collapsed="false">
      <c r="A46" s="9" t="s">
        <v>2092</v>
      </c>
      <c r="B46" s="10" t="s">
        <v>1933</v>
      </c>
      <c r="C46" s="10" t="s">
        <v>2093</v>
      </c>
      <c r="D46" s="11" t="s">
        <v>2094</v>
      </c>
      <c r="E46" s="11" t="s">
        <v>2058</v>
      </c>
      <c r="F46" s="11" t="s">
        <v>2071</v>
      </c>
    </row>
    <row r="47" customFormat="false" ht="15" hidden="false" customHeight="false" outlineLevel="0" collapsed="false">
      <c r="A47" s="9" t="s">
        <v>2095</v>
      </c>
      <c r="B47" s="10" t="s">
        <v>1933</v>
      </c>
      <c r="C47" s="10" t="s">
        <v>2096</v>
      </c>
      <c r="D47" s="11" t="s">
        <v>2097</v>
      </c>
      <c r="E47" s="11" t="s">
        <v>2053</v>
      </c>
      <c r="F47" s="11" t="s">
        <v>2098</v>
      </c>
    </row>
    <row r="48" customFormat="false" ht="15" hidden="false" customHeight="false" outlineLevel="0" collapsed="false">
      <c r="A48" s="9" t="s">
        <v>2099</v>
      </c>
      <c r="B48" s="10" t="s">
        <v>1933</v>
      </c>
      <c r="C48" s="10" t="s">
        <v>2100</v>
      </c>
      <c r="D48" s="11" t="s">
        <v>2101</v>
      </c>
      <c r="E48" s="11" t="s">
        <v>2058</v>
      </c>
      <c r="F48" s="11" t="s">
        <v>2102</v>
      </c>
    </row>
    <row r="49" customFormat="false" ht="15" hidden="false" customHeight="false" outlineLevel="0" collapsed="false">
      <c r="A49" s="9" t="s">
        <v>2103</v>
      </c>
      <c r="B49" s="10" t="s">
        <v>1933</v>
      </c>
      <c r="C49" s="10" t="s">
        <v>2104</v>
      </c>
      <c r="D49" s="11" t="s">
        <v>2105</v>
      </c>
      <c r="E49" s="11" t="s">
        <v>2106</v>
      </c>
      <c r="F49" s="11" t="s">
        <v>2107</v>
      </c>
    </row>
    <row r="50" customFormat="false" ht="15" hidden="false" customHeight="false" outlineLevel="0" collapsed="false">
      <c r="A50" s="9" t="s">
        <v>2108</v>
      </c>
      <c r="B50" s="10" t="s">
        <v>1933</v>
      </c>
      <c r="C50" s="10" t="s">
        <v>2109</v>
      </c>
      <c r="D50" s="11" t="s">
        <v>2110</v>
      </c>
      <c r="E50" s="11" t="s">
        <v>2053</v>
      </c>
      <c r="F50" s="11" t="s">
        <v>2071</v>
      </c>
    </row>
    <row r="51" customFormat="false" ht="15" hidden="false" customHeight="false" outlineLevel="0" collapsed="false">
      <c r="A51" s="9" t="s">
        <v>2111</v>
      </c>
      <c r="B51" s="10" t="s">
        <v>1933</v>
      </c>
      <c r="C51" s="10" t="s">
        <v>2112</v>
      </c>
      <c r="D51" s="11" t="s">
        <v>2113</v>
      </c>
      <c r="E51" s="11" t="s">
        <v>2058</v>
      </c>
      <c r="F51" s="11" t="s">
        <v>2071</v>
      </c>
    </row>
    <row r="52" customFormat="false" ht="23.85" hidden="false" customHeight="false" outlineLevel="0" collapsed="false">
      <c r="A52" s="9" t="s">
        <v>2114</v>
      </c>
      <c r="B52" s="10" t="s">
        <v>1933</v>
      </c>
      <c r="C52" s="10" t="s">
        <v>1957</v>
      </c>
      <c r="D52" s="11" t="s">
        <v>2115</v>
      </c>
      <c r="E52" s="11" t="s">
        <v>2116</v>
      </c>
      <c r="F52" s="11" t="s">
        <v>2117</v>
      </c>
    </row>
    <row r="53" customFormat="false" ht="23.85" hidden="false" customHeight="false" outlineLevel="0" collapsed="false">
      <c r="A53" s="9" t="s">
        <v>2118</v>
      </c>
      <c r="B53" s="10" t="s">
        <v>1933</v>
      </c>
      <c r="C53" s="10" t="s">
        <v>2119</v>
      </c>
      <c r="D53" s="11" t="s">
        <v>2120</v>
      </c>
      <c r="E53" s="11" t="s">
        <v>2121</v>
      </c>
      <c r="F53" s="11" t="s">
        <v>2122</v>
      </c>
    </row>
    <row r="54" customFormat="false" ht="15" hidden="false" customHeight="false" outlineLevel="0" collapsed="false">
      <c r="A54" s="9" t="s">
        <v>2123</v>
      </c>
      <c r="B54" s="10" t="s">
        <v>1933</v>
      </c>
      <c r="C54" s="10" t="s">
        <v>2124</v>
      </c>
      <c r="D54" s="11" t="s">
        <v>2125</v>
      </c>
      <c r="E54" s="11" t="s">
        <v>1643</v>
      </c>
      <c r="F54" s="11" t="s">
        <v>2126</v>
      </c>
    </row>
    <row r="55" customFormat="false" ht="15" hidden="false" customHeight="false" outlineLevel="0" collapsed="false">
      <c r="A55" s="9" t="s">
        <v>2127</v>
      </c>
      <c r="B55" s="10" t="s">
        <v>1933</v>
      </c>
      <c r="C55" s="10" t="s">
        <v>2128</v>
      </c>
      <c r="D55" s="11" t="s">
        <v>2129</v>
      </c>
      <c r="E55" s="11" t="s">
        <v>2130</v>
      </c>
      <c r="F55" s="11" t="s">
        <v>2131</v>
      </c>
    </row>
    <row r="56" customFormat="false" ht="23.85" hidden="false" customHeight="false" outlineLevel="0" collapsed="false">
      <c r="A56" s="9" t="s">
        <v>2132</v>
      </c>
      <c r="B56" s="10" t="s">
        <v>2133</v>
      </c>
      <c r="C56" s="10" t="s">
        <v>2134</v>
      </c>
      <c r="D56" s="11" t="s">
        <v>2135</v>
      </c>
      <c r="E56" s="11" t="s">
        <v>2136</v>
      </c>
      <c r="F56" s="11" t="s">
        <v>2137</v>
      </c>
    </row>
    <row r="57" customFormat="false" ht="15" hidden="false" customHeight="false" outlineLevel="0" collapsed="false">
      <c r="A57" s="9" t="s">
        <v>388</v>
      </c>
      <c r="B57" s="10" t="s">
        <v>2133</v>
      </c>
      <c r="C57" s="10" t="s">
        <v>2138</v>
      </c>
      <c r="D57" s="11" t="s">
        <v>2139</v>
      </c>
      <c r="E57" s="11" t="s">
        <v>2136</v>
      </c>
      <c r="F57" s="11" t="s">
        <v>2140</v>
      </c>
    </row>
    <row r="58" customFormat="false" ht="23.85" hidden="false" customHeight="false" outlineLevel="0" collapsed="false">
      <c r="A58" s="9" t="s">
        <v>2141</v>
      </c>
      <c r="B58" s="10" t="s">
        <v>2133</v>
      </c>
      <c r="C58" s="10" t="s">
        <v>2142</v>
      </c>
      <c r="D58" s="11" t="s">
        <v>2143</v>
      </c>
      <c r="E58" s="11" t="s">
        <v>2144</v>
      </c>
      <c r="F58" s="11" t="s">
        <v>2145</v>
      </c>
    </row>
    <row r="59" customFormat="false" ht="15" hidden="false" customHeight="false" outlineLevel="0" collapsed="false">
      <c r="A59" s="9" t="s">
        <v>2146</v>
      </c>
      <c r="B59" s="10" t="s">
        <v>2133</v>
      </c>
      <c r="C59" s="10" t="s">
        <v>2147</v>
      </c>
      <c r="D59" s="11" t="s">
        <v>2148</v>
      </c>
      <c r="E59" s="11" t="s">
        <v>2149</v>
      </c>
      <c r="F59" s="11" t="s">
        <v>2140</v>
      </c>
    </row>
    <row r="60" customFormat="false" ht="15" hidden="false" customHeight="false" outlineLevel="0" collapsed="false">
      <c r="A60" s="9" t="s">
        <v>2150</v>
      </c>
      <c r="B60" s="10" t="s">
        <v>2133</v>
      </c>
      <c r="C60" s="10" t="s">
        <v>2151</v>
      </c>
      <c r="D60" s="11" t="s">
        <v>2152</v>
      </c>
      <c r="E60" s="11" t="s">
        <v>2153</v>
      </c>
      <c r="F60" s="11" t="s">
        <v>2154</v>
      </c>
    </row>
    <row r="61" customFormat="false" ht="15" hidden="false" customHeight="false" outlineLevel="0" collapsed="false">
      <c r="A61" s="9" t="s">
        <v>2155</v>
      </c>
      <c r="B61" s="10" t="s">
        <v>2133</v>
      </c>
      <c r="C61" s="10" t="s">
        <v>2156</v>
      </c>
      <c r="D61" s="11" t="s">
        <v>2157</v>
      </c>
      <c r="E61" s="11" t="s">
        <v>2153</v>
      </c>
      <c r="F61" s="11" t="s">
        <v>2154</v>
      </c>
    </row>
    <row r="62" customFormat="false" ht="15" hidden="false" customHeight="false" outlineLevel="0" collapsed="false">
      <c r="A62" s="9" t="s">
        <v>2158</v>
      </c>
      <c r="B62" s="10" t="s">
        <v>2133</v>
      </c>
      <c r="C62" s="10" t="s">
        <v>2159</v>
      </c>
      <c r="D62" s="11" t="s">
        <v>2160</v>
      </c>
      <c r="E62" s="11" t="s">
        <v>2161</v>
      </c>
      <c r="F62" s="11" t="s">
        <v>2162</v>
      </c>
    </row>
    <row r="63" customFormat="false" ht="15" hidden="false" customHeight="false" outlineLevel="0" collapsed="false">
      <c r="A63" s="9" t="s">
        <v>2163</v>
      </c>
      <c r="B63" s="10" t="s">
        <v>2133</v>
      </c>
      <c r="C63" s="10" t="s">
        <v>2164</v>
      </c>
      <c r="D63" s="11" t="s">
        <v>2165</v>
      </c>
      <c r="E63" s="11" t="s">
        <v>2161</v>
      </c>
      <c r="F63" s="11" t="s">
        <v>2162</v>
      </c>
    </row>
    <row r="64" customFormat="false" ht="15" hidden="false" customHeight="false" outlineLevel="0" collapsed="false">
      <c r="A64" s="9" t="s">
        <v>2166</v>
      </c>
      <c r="B64" s="10" t="s">
        <v>2133</v>
      </c>
      <c r="C64" s="10" t="s">
        <v>2167</v>
      </c>
      <c r="D64" s="11" t="s">
        <v>2168</v>
      </c>
      <c r="E64" s="11" t="s">
        <v>2161</v>
      </c>
      <c r="F64" s="11" t="s">
        <v>2169</v>
      </c>
    </row>
    <row r="65" customFormat="false" ht="15" hidden="false" customHeight="false" outlineLevel="0" collapsed="false">
      <c r="A65" s="9" t="s">
        <v>2170</v>
      </c>
      <c r="B65" s="10" t="s">
        <v>2133</v>
      </c>
      <c r="C65" s="10" t="s">
        <v>2171</v>
      </c>
      <c r="D65" s="11" t="s">
        <v>2172</v>
      </c>
      <c r="E65" s="11" t="s">
        <v>2015</v>
      </c>
      <c r="F65" s="11" t="s">
        <v>2040</v>
      </c>
    </row>
    <row r="66" customFormat="false" ht="15" hidden="false" customHeight="false" outlineLevel="0" collapsed="false">
      <c r="A66" s="9" t="s">
        <v>2173</v>
      </c>
      <c r="B66" s="10" t="s">
        <v>2133</v>
      </c>
      <c r="C66" s="10" t="s">
        <v>2174</v>
      </c>
      <c r="D66" s="11" t="s">
        <v>2175</v>
      </c>
      <c r="E66" s="11" t="s">
        <v>2015</v>
      </c>
      <c r="F66" s="11" t="s">
        <v>2040</v>
      </c>
    </row>
    <row r="67" customFormat="false" ht="15" hidden="false" customHeight="false" outlineLevel="0" collapsed="false">
      <c r="A67" s="9" t="s">
        <v>2176</v>
      </c>
      <c r="B67" s="10" t="s">
        <v>2133</v>
      </c>
      <c r="C67" s="10" t="s">
        <v>2177</v>
      </c>
      <c r="D67" s="11" t="s">
        <v>2178</v>
      </c>
      <c r="E67" s="11" t="s">
        <v>2082</v>
      </c>
      <c r="F67" s="11" t="s">
        <v>2179</v>
      </c>
    </row>
    <row r="68" customFormat="false" ht="15" hidden="false" customHeight="false" outlineLevel="0" collapsed="false">
      <c r="A68" s="9" t="s">
        <v>2180</v>
      </c>
      <c r="B68" s="10" t="s">
        <v>2133</v>
      </c>
      <c r="C68" s="10" t="s">
        <v>2181</v>
      </c>
      <c r="D68" s="11" t="s">
        <v>2182</v>
      </c>
      <c r="E68" s="11" t="s">
        <v>2053</v>
      </c>
      <c r="F68" s="11" t="s">
        <v>2183</v>
      </c>
    </row>
    <row r="69" customFormat="false" ht="15" hidden="false" customHeight="false" outlineLevel="0" collapsed="false">
      <c r="A69" s="9" t="s">
        <v>2184</v>
      </c>
      <c r="B69" s="10" t="s">
        <v>2133</v>
      </c>
      <c r="C69" s="10" t="s">
        <v>2185</v>
      </c>
      <c r="D69" s="11" t="s">
        <v>2186</v>
      </c>
      <c r="E69" s="11" t="s">
        <v>2058</v>
      </c>
      <c r="F69" s="11" t="s">
        <v>2187</v>
      </c>
    </row>
    <row r="70" customFormat="false" ht="15" hidden="false" customHeight="false" outlineLevel="0" collapsed="false">
      <c r="A70" s="9" t="s">
        <v>2188</v>
      </c>
      <c r="B70" s="10" t="s">
        <v>2133</v>
      </c>
      <c r="C70" s="10" t="s">
        <v>2189</v>
      </c>
      <c r="D70" s="11" t="s">
        <v>2190</v>
      </c>
      <c r="E70" s="11" t="s">
        <v>2191</v>
      </c>
      <c r="F70" s="11" t="s">
        <v>2140</v>
      </c>
    </row>
    <row r="71" customFormat="false" ht="15" hidden="false" customHeight="false" outlineLevel="0" collapsed="false">
      <c r="A71" s="9" t="s">
        <v>2192</v>
      </c>
      <c r="B71" s="10" t="s">
        <v>2133</v>
      </c>
      <c r="C71" s="10" t="s">
        <v>625</v>
      </c>
      <c r="D71" s="11" t="s">
        <v>2193</v>
      </c>
      <c r="E71" s="11" t="s">
        <v>2194</v>
      </c>
      <c r="F71" s="11" t="s">
        <v>2140</v>
      </c>
    </row>
    <row r="72" customFormat="false" ht="15" hidden="false" customHeight="false" outlineLevel="0" collapsed="false">
      <c r="A72" s="9" t="s">
        <v>2195</v>
      </c>
      <c r="B72" s="10" t="s">
        <v>2133</v>
      </c>
      <c r="C72" s="10" t="s">
        <v>2196</v>
      </c>
      <c r="D72" s="11" t="s">
        <v>2197</v>
      </c>
      <c r="E72" s="11" t="s">
        <v>2198</v>
      </c>
      <c r="F72" s="11" t="s">
        <v>2199</v>
      </c>
    </row>
    <row r="73" customFormat="false" ht="15" hidden="false" customHeight="false" outlineLevel="0" collapsed="false">
      <c r="A73" s="9" t="s">
        <v>2200</v>
      </c>
      <c r="B73" s="10" t="s">
        <v>2133</v>
      </c>
      <c r="C73" s="10" t="s">
        <v>2201</v>
      </c>
      <c r="D73" s="11" t="s">
        <v>2202</v>
      </c>
      <c r="E73" s="11" t="s">
        <v>2203</v>
      </c>
      <c r="F73" s="11" t="s">
        <v>2204</v>
      </c>
    </row>
    <row r="74" customFormat="false" ht="15" hidden="false" customHeight="false" outlineLevel="0" collapsed="false">
      <c r="A74" s="9" t="s">
        <v>2205</v>
      </c>
      <c r="B74" s="10" t="s">
        <v>2133</v>
      </c>
      <c r="C74" s="10" t="s">
        <v>2206</v>
      </c>
      <c r="D74" s="11" t="s">
        <v>2207</v>
      </c>
      <c r="E74" s="11" t="s">
        <v>2130</v>
      </c>
      <c r="F74" s="11" t="s">
        <v>2131</v>
      </c>
    </row>
  </sheetData>
  <autoFilter ref="A4:F74"/>
  <mergeCells count="2">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3" min="3" style="0" width="10"/>
    <col collapsed="false" customWidth="true" hidden="false" outlineLevel="0" max="5" min="4" style="0" width="16"/>
    <col collapsed="false" customWidth="true" hidden="false" outlineLevel="0" max="6" min="6" style="0" width="8"/>
    <col collapsed="false" customWidth="true" hidden="false" outlineLevel="0" max="7" min="7" style="0" width="10"/>
    <col collapsed="false" customWidth="true" hidden="false" outlineLevel="0" max="8" min="8" style="0" width="12"/>
    <col collapsed="false" customWidth="true" hidden="false" outlineLevel="0" max="9" min="9" style="0" width="34"/>
    <col collapsed="false" customWidth="true" hidden="false" outlineLevel="0" max="10" min="10" style="0" width="9"/>
    <col collapsed="false" customWidth="true" hidden="false" outlineLevel="0" max="11" min="11" style="0" width="44"/>
    <col collapsed="false" customWidth="true" hidden="false" outlineLevel="0" max="12" min="12" style="0" width="30"/>
    <col collapsed="false" customWidth="true" hidden="false" outlineLevel="0" max="13" min="13" style="0" width="34"/>
    <col collapsed="false" customWidth="true" hidden="false" outlineLevel="0" max="14" min="14" style="0" width="14"/>
    <col collapsed="false" customWidth="true" hidden="false" outlineLevel="0" max="15" min="15" style="0" width="12"/>
    <col collapsed="false" customWidth="true" hidden="false" outlineLevel="0" max="16" min="16" style="0" width="11"/>
    <col collapsed="false" customWidth="true" hidden="false" outlineLevel="0" max="17" min="17" style="0" width="14"/>
    <col collapsed="false" customWidth="true" hidden="false" outlineLevel="0" max="18" min="18" style="0" width="11"/>
    <col collapsed="false" customWidth="true" hidden="false" outlineLevel="0" max="19" min="19" style="0" width="30"/>
    <col collapsed="false" customWidth="true" hidden="true" outlineLevel="0" max="20" min="20" style="0" width="10"/>
    <col collapsed="false" customWidth="true" hidden="true" outlineLevel="0" max="21" min="21" style="0" width="8"/>
  </cols>
  <sheetData>
    <row r="1" customFormat="false" ht="17.35" hidden="false" customHeight="false" outlineLevel="0" collapsed="false">
      <c r="A1" s="1" t="s">
        <v>2208</v>
      </c>
    </row>
    <row r="2" customFormat="false" ht="25.5" hidden="false" customHeight="true" outlineLevel="0" collapsed="false">
      <c r="A2" s="2" t="s">
        <v>2209</v>
      </c>
      <c r="B2" s="2"/>
      <c r="C2" s="2"/>
      <c r="D2" s="2"/>
      <c r="E2" s="2"/>
      <c r="F2" s="2"/>
      <c r="G2" s="2"/>
      <c r="H2" s="2"/>
      <c r="I2" s="2"/>
      <c r="J2" s="2"/>
      <c r="K2" s="2"/>
      <c r="L2" s="2"/>
      <c r="M2" s="2"/>
      <c r="N2" s="2"/>
      <c r="O2" s="2"/>
      <c r="P2" s="2"/>
      <c r="Q2" s="2"/>
      <c r="R2" s="2"/>
      <c r="S2" s="2"/>
    </row>
    <row r="3" customFormat="false" ht="25.5" hidden="false" customHeight="true" outlineLevel="0" collapsed="false">
      <c r="A3" s="2" t="s">
        <v>2210</v>
      </c>
      <c r="B3" s="2"/>
      <c r="C3" s="2"/>
      <c r="D3" s="2"/>
      <c r="E3" s="2"/>
      <c r="F3" s="2"/>
      <c r="G3" s="2"/>
      <c r="H3" s="2"/>
      <c r="I3" s="2"/>
      <c r="J3" s="2"/>
      <c r="K3" s="2"/>
      <c r="L3" s="2"/>
      <c r="M3" s="2"/>
      <c r="N3" s="2"/>
      <c r="O3" s="2"/>
      <c r="P3" s="2"/>
      <c r="Q3" s="2"/>
      <c r="R3" s="2"/>
      <c r="S3" s="2"/>
    </row>
    <row r="6" customFormat="false" ht="43.5" hidden="false" customHeight="true" outlineLevel="0" collapsed="false">
      <c r="A6" s="12" t="s">
        <v>2211</v>
      </c>
      <c r="B6" s="12" t="s">
        <v>2212</v>
      </c>
      <c r="C6" s="12" t="s">
        <v>4</v>
      </c>
      <c r="D6" s="12" t="s">
        <v>2213</v>
      </c>
      <c r="E6" s="12" t="s">
        <v>2214</v>
      </c>
      <c r="F6" s="12" t="s">
        <v>2215</v>
      </c>
      <c r="G6" s="3" t="s">
        <v>2216</v>
      </c>
      <c r="H6" s="3" t="s">
        <v>2217</v>
      </c>
      <c r="I6" s="3" t="s">
        <v>2218</v>
      </c>
      <c r="J6" s="3" t="s">
        <v>14</v>
      </c>
      <c r="K6" s="3" t="s">
        <v>2219</v>
      </c>
      <c r="L6" s="3" t="s">
        <v>2220</v>
      </c>
      <c r="M6" s="3" t="s">
        <v>2221</v>
      </c>
      <c r="N6" s="12" t="s">
        <v>2222</v>
      </c>
      <c r="O6" s="12" t="s">
        <v>2223</v>
      </c>
      <c r="P6" s="12" t="s">
        <v>2224</v>
      </c>
      <c r="Q6" s="12" t="s">
        <v>2225</v>
      </c>
      <c r="R6" s="12" t="s">
        <v>2226</v>
      </c>
      <c r="S6" s="12" t="s">
        <v>2227</v>
      </c>
      <c r="T6" s="3" t="s">
        <v>17</v>
      </c>
      <c r="U6" s="3" t="s">
        <v>2228</v>
      </c>
    </row>
    <row r="7" customFormat="false" ht="23.85" hidden="false" customHeight="false" outlineLevel="0" collapsed="false">
      <c r="A7" s="13" t="s">
        <v>2229</v>
      </c>
      <c r="B7" s="14" t="s">
        <v>2230</v>
      </c>
      <c r="C7" s="15" t="s">
        <v>18</v>
      </c>
      <c r="D7" s="13" t="s">
        <v>2231</v>
      </c>
      <c r="E7" s="13" t="s">
        <v>2232</v>
      </c>
      <c r="F7" s="15" t="s">
        <v>2233</v>
      </c>
      <c r="G7" s="16" t="n">
        <f aca="false">IF(T7="","",SUMPRODUCT(--(LEFT(T7,LEN('Referência LC 214'!$N$6:$N$967))='Referência LC 214'!$N$6:$N$967)))</f>
        <v>6</v>
      </c>
      <c r="H7" s="17" t="str">
        <f aca="false">IF(T7="","",IF(U7="","000001",INDEX('Referência LC 214'!$I$6:$I$967,U7)))</f>
        <v>200003</v>
      </c>
      <c r="I7" s="18" t="str">
        <f aca="false">IF(T7="","",IF(U7="","Sem anexo: tributação integral",INDEX('Referência LC 214'!$H$6:$H$967,U7)))</f>
        <v>Cesta Básica Nacional de Alimentos — alíquota zero</v>
      </c>
      <c r="J7" s="19" t="n">
        <f aca="false">IF(T7="","",IF(U7="",0,INDEX('Referência LC 214'!$K$6:$K$967,U7)))</f>
        <v>1</v>
      </c>
      <c r="K7" s="18" t="str">
        <f aca="false">IF(OR(T7="",U7=""),"","Anexo "&amp;INDEX('Referência LC 214'!$E$6:$E$967,U7)&amp;", item "&amp;INDEX('Referência LC 214'!$F$6:$F$967,U7)&amp;": "&amp;INDEX('Referência LC 214'!$G$6:$G$967,U7))</f>
        <v>Anexo I, item 1: Arroz das subposições 1006.20 e 1006.30 e do código 1006.40.00 da NCM/SH</v>
      </c>
      <c r="L7" s="18" t="str">
        <f aca="false">IF(OR(T7="",U7=""),"",IF(INDEX('Referência LC 214'!$L$6:$L$967,U7)&amp;""&lt;&gt;"",INDEX('Referência LC 214'!$L$6:$L$967,U7)&amp;"",IF(SUMPRODUCT((LEFT(T7,LEN('Referência LC 214'!$N$6:$N$967))='Referência LC 214'!$N$6:$N$967)*('Referência LC 214'!$L$6:$L$967&lt;&gt;""))&gt;0,"Há outro tratamento só para alguns compradores (ex.: órgão público/SUS) — veja a referência","")))</f>
        <v/>
      </c>
      <c r="M7" s="20" t="str">
        <f aca="false">IF(T7="","",IF(AND(C7&lt;&gt;"Serviço",LEN(T7)-1&lt;&gt;8),"NCM deve ter 8 dígitos",IF(AND(C7="Serviço",LEN(T7)-1&lt;&gt;9),"NBS deve ter 9 dígitos",IF(L7&lt;&gt;"","Benefício depende do comprador: confira a coluna N",IF(G7&gt;1,"Mais de uma regra: confira o item do anexo na referência",IF(G7=0,"Sem redução na LC 214","Confira se o produto é o descrito no item"))))))</f>
        <v>Mais de uma regra: confira o item do anexo na referência</v>
      </c>
      <c r="N7" s="15" t="s">
        <v>2234</v>
      </c>
      <c r="O7" s="13" t="s">
        <v>51</v>
      </c>
      <c r="P7" s="15" t="s">
        <v>2235</v>
      </c>
      <c r="Q7" s="15" t="s">
        <v>2236</v>
      </c>
      <c r="R7" s="21"/>
      <c r="S7" s="14" t="s">
        <v>2237</v>
      </c>
      <c r="T7" s="22" t="str">
        <f aca="false">IF(D7="","",IF(C7="Serviço","S","P")&amp;SUBSTITUTE(SUBSTITUTE(SUBSTITUTE(D7,".",""),"-","")," ",""))</f>
        <v>P10063021</v>
      </c>
      <c r="U7" s="22" t="n">
        <f aca="false">IF(T7="","",IFERROR(MATCH(LEFT(T7,10),'Referência LC 214'!$N$6:$N$967,0),IFERROR(MATCH(LEFT(T7,9),'Referência LC 214'!$N$6:$N$967,0),IFERROR(MATCH(LEFT(T7,8),'Referência LC 214'!$N$6:$N$967,0),IFERROR(MATCH(LEFT(T7,7),'Referência LC 214'!$N$6:$N$967,0),IFERROR(MATCH(LEFT(T7,6),'Referência LC 214'!$N$6:$N$967,0),IFERROR(MATCH(LEFT(T7,5),'Referência LC 214'!$N$6:$N$967,0),IFERROR(MATCH(LEFT(T7,4),'Referência LC 214'!$N$6:$N$967,0),IFERROR(MATCH(LEFT(T7,3),'Referência LC 214'!$N$6:$N$967,0),"")))))))))</f>
        <v>152</v>
      </c>
    </row>
    <row r="8" customFormat="false" ht="35.05" hidden="false" customHeight="false" outlineLevel="0" collapsed="false">
      <c r="A8" s="13" t="s">
        <v>2238</v>
      </c>
      <c r="B8" s="14" t="s">
        <v>2239</v>
      </c>
      <c r="C8" s="15" t="s">
        <v>18</v>
      </c>
      <c r="D8" s="13" t="s">
        <v>2240</v>
      </c>
      <c r="E8" s="13"/>
      <c r="F8" s="15" t="s">
        <v>2241</v>
      </c>
      <c r="G8" s="16" t="n">
        <f aca="false">IF(T8="","",SUMPRODUCT(--(LEFT(T8,LEN('Referência LC 214'!$N$6:$N$967))='Referência LC 214'!$N$6:$N$967)))</f>
        <v>2</v>
      </c>
      <c r="H8" s="17" t="str">
        <f aca="false">IF(T8="","",IF(U8="","000001",INDEX('Referência LC 214'!$I$6:$I$967,U8)))</f>
        <v>200030</v>
      </c>
      <c r="I8" s="18" t="str">
        <f aca="false">IF(T8="","",IF(U8="","Sem anexo: tributação integral",INDEX('Referência LC 214'!$H$6:$H$967,U8)))</f>
        <v>Dispositivos médicos — redução de 60%</v>
      </c>
      <c r="J8" s="19" t="n">
        <f aca="false">IF(T8="","",IF(U8="",0,INDEX('Referência LC 214'!$K$6:$K$967,U8)))</f>
        <v>0.6</v>
      </c>
      <c r="K8" s="18" t="str">
        <f aca="false">IF(OR(T8="",U8=""),"","Anexo "&amp;INDEX('Referência LC 214'!$E$6:$E$967,U8)&amp;", item "&amp;INDEX('Referência LC 214'!$F$6:$F$967,U8)&amp;": "&amp;INDEX('Referência LC 214'!$G$6:$G$967,U8))</f>
        <v>Anexo IV, item 59: Seringas, mesmo com agulhas</v>
      </c>
      <c r="L8" s="18" t="str">
        <f aca="false">IF(OR(T8="",U8=""),"",IF(INDEX('Referência LC 214'!$L$6:$L$967,U8)&amp;""&lt;&gt;"",INDEX('Referência LC 214'!$L$6:$L$967,U8)&amp;"",IF(SUMPRODUCT((LEFT(T8,LEN('Referência LC 214'!$N$6:$N$967))='Referência LC 214'!$N$6:$N$967)*('Referência LC 214'!$L$6:$L$967&lt;&gt;""))&gt;0,"Há outro tratamento só para alguns compradores (ex.: órgão público/SUS) — veja a referência","")))</f>
        <v>Há outro tratamento só para alguns compradores (ex.: órgão público/SUS) — veja a referência</v>
      </c>
      <c r="M8" s="20" t="str">
        <f aca="false">IF(T8="","",IF(AND(C8&lt;&gt;"Serviço",LEN(T8)-1&lt;&gt;8),"NCM deve ter 8 dígitos",IF(AND(C8="Serviço",LEN(T8)-1&lt;&gt;9),"NBS deve ter 9 dígitos",IF(L8&lt;&gt;"","Benefício depende do comprador: confira a coluna N",IF(G8&gt;1,"Mais de uma regra: confira o item do anexo na referência",IF(G8=0,"Sem redução na LC 214","Confira se o produto é o descrito no item"))))))</f>
        <v>Benefício depende do comprador: confira a coluna N</v>
      </c>
      <c r="N8" s="15" t="s">
        <v>2242</v>
      </c>
      <c r="O8" s="13"/>
      <c r="P8" s="15" t="s">
        <v>2243</v>
      </c>
      <c r="Q8" s="15"/>
      <c r="R8" s="21"/>
      <c r="S8" s="14" t="s">
        <v>2244</v>
      </c>
      <c r="T8" s="22" t="str">
        <f aca="false">IF(D8="","",IF(C8="Serviço","S","P")&amp;SUBSTITUTE(SUBSTITUTE(SUBSTITUTE(D8,".",""),"-","")," ",""))</f>
        <v>P90183119</v>
      </c>
      <c r="U8" s="22" t="n">
        <f aca="false">IF(T8="","",IFERROR(MATCH(LEFT(T8,10),'Referência LC 214'!$N$6:$N$967,0),IFERROR(MATCH(LEFT(T8,9),'Referência LC 214'!$N$6:$N$967,0),IFERROR(MATCH(LEFT(T8,8),'Referência LC 214'!$N$6:$N$967,0),IFERROR(MATCH(LEFT(T8,7),'Referência LC 214'!$N$6:$N$967,0),IFERROR(MATCH(LEFT(T8,6),'Referência LC 214'!$N$6:$N$967,0),IFERROR(MATCH(LEFT(T8,5),'Referência LC 214'!$N$6:$N$967,0),IFERROR(MATCH(LEFT(T8,4),'Referência LC 214'!$N$6:$N$967,0),IFERROR(MATCH(LEFT(T8,3),'Referência LC 214'!$N$6:$N$967,0),"")))))))))</f>
        <v>679</v>
      </c>
    </row>
    <row r="9" customFormat="false" ht="15" hidden="false" customHeight="false" outlineLevel="0" collapsed="false">
      <c r="A9" s="13" t="s">
        <v>2245</v>
      </c>
      <c r="B9" s="14" t="s">
        <v>2246</v>
      </c>
      <c r="C9" s="15" t="s">
        <v>18</v>
      </c>
      <c r="D9" s="13" t="s">
        <v>2247</v>
      </c>
      <c r="E9" s="13"/>
      <c r="F9" s="15" t="s">
        <v>2241</v>
      </c>
      <c r="G9" s="16" t="n">
        <f aca="false">IF(T9="","",SUMPRODUCT(--(LEFT(T9,LEN('Referência LC 214'!$N$6:$N$967))='Referência LC 214'!$N$6:$N$967)))</f>
        <v>0</v>
      </c>
      <c r="H9" s="17" t="str">
        <f aca="false">IF(T9="","",IF(U9="","000001",INDEX('Referência LC 214'!$I$6:$I$967,U9)))</f>
        <v>000001</v>
      </c>
      <c r="I9" s="18" t="str">
        <f aca="false">IF(T9="","",IF(U9="","Sem anexo: tributação integral",INDEX('Referência LC 214'!$H$6:$H$967,U9)))</f>
        <v>Sem anexo: tributação integral</v>
      </c>
      <c r="J9" s="19" t="n">
        <f aca="false">IF(T9="","",IF(U9="",0,INDEX('Referência LC 214'!$K$6:$K$967,U9)))</f>
        <v>0</v>
      </c>
      <c r="K9" s="18" t="str">
        <f aca="false">IF(OR(T9="",U9=""),"","Anexo "&amp;INDEX('Referência LC 214'!$E$6:$E$967,U9)&amp;", item "&amp;INDEX('Referência LC 214'!$F$6:$F$967,U9)&amp;": "&amp;INDEX('Referência LC 214'!$G$6:$G$967,U9))</f>
        <v/>
      </c>
      <c r="L9" s="18" t="str">
        <f aca="false">IF(OR(T9="",U9=""),"",IF(INDEX('Referência LC 214'!$L$6:$L$967,U9)&amp;""&lt;&gt;"",INDEX('Referência LC 214'!$L$6:$L$967,U9)&amp;"",IF(SUMPRODUCT((LEFT(T9,LEN('Referência LC 214'!$N$6:$N$967))='Referência LC 214'!$N$6:$N$967)*('Referência LC 214'!$L$6:$L$967&lt;&gt;""))&gt;0,"Há outro tratamento só para alguns compradores (ex.: órgão público/SUS) — veja a referência","")))</f>
        <v/>
      </c>
      <c r="M9" s="20" t="str">
        <f aca="false">IF(T9="","",IF(AND(C9&lt;&gt;"Serviço",LEN(T9)-1&lt;&gt;8),"NCM deve ter 8 dígitos",IF(AND(C9="Serviço",LEN(T9)-1&lt;&gt;9),"NBS deve ter 9 dígitos",IF(L9&lt;&gt;"","Benefício depende do comprador: confira a coluna N",IF(G9&gt;1,"Mais de uma regra: confira o item do anexo na referência",IF(G9=0,"Sem redução na LC 214","Confira se o produto é o descrito no item"))))))</f>
        <v>Sem redução na LC 214</v>
      </c>
      <c r="N9" s="15" t="s">
        <v>2234</v>
      </c>
      <c r="O9" s="13" t="s">
        <v>2248</v>
      </c>
      <c r="P9" s="15" t="s">
        <v>2235</v>
      </c>
      <c r="Q9" s="15" t="s">
        <v>2236</v>
      </c>
      <c r="R9" s="21"/>
      <c r="S9" s="14" t="s">
        <v>2237</v>
      </c>
      <c r="T9" s="22" t="str">
        <f aca="false">IF(D9="","",IF(C9="Serviço","S","P")&amp;SUBSTITUTE(SUBSTITUTE(SUBSTITUTE(D9,".",""),"-","")," ",""))</f>
        <v>P84713012</v>
      </c>
      <c r="U9" s="22" t="str">
        <f aca="false">IF(T9="","",IFERROR(MATCH(LEFT(T9,10),'Referência LC 214'!$N$6:$N$967,0),IFERROR(MATCH(LEFT(T9,9),'Referência LC 214'!$N$6:$N$967,0),IFERROR(MATCH(LEFT(T9,8),'Referência LC 214'!$N$6:$N$967,0),IFERROR(MATCH(LEFT(T9,7),'Referência LC 214'!$N$6:$N$967,0),IFERROR(MATCH(LEFT(T9,6),'Referência LC 214'!$N$6:$N$967,0),IFERROR(MATCH(LEFT(T9,5),'Referência LC 214'!$N$6:$N$967,0),IFERROR(MATCH(LEFT(T9,4),'Referência LC 214'!$N$6:$N$967,0),IFERROR(MATCH(LEFT(T9,3),'Referência LC 214'!$N$6:$N$967,0),"")))))))))</f>
        <v/>
      </c>
    </row>
    <row r="10" customFormat="false" ht="23.85" hidden="false" customHeight="false" outlineLevel="0" collapsed="false">
      <c r="A10" s="13" t="s">
        <v>2249</v>
      </c>
      <c r="B10" s="14" t="s">
        <v>2250</v>
      </c>
      <c r="C10" s="15" t="s">
        <v>1643</v>
      </c>
      <c r="D10" s="13" t="s">
        <v>1779</v>
      </c>
      <c r="E10" s="13"/>
      <c r="F10" s="15" t="s">
        <v>2251</v>
      </c>
      <c r="G10" s="16" t="n">
        <f aca="false">IF(T10="","",SUMPRODUCT(--(LEFT(T10,LEN('Referência LC 214'!$N$6:$N$967))='Referência LC 214'!$N$6:$N$967)))</f>
        <v>1</v>
      </c>
      <c r="H10" s="17" t="str">
        <f aca="false">IF(T10="","",IF(U10="","000001",INDEX('Referência LC 214'!$I$6:$I$967,U10)))</f>
        <v>200028</v>
      </c>
      <c r="I10" s="18" t="str">
        <f aca="false">IF(T10="","",IF(U10="","Sem anexo: tributação integral",INDEX('Referência LC 214'!$H$6:$H$967,U10)))</f>
        <v>Serviços de educação — redução de 60%</v>
      </c>
      <c r="J10" s="19" t="n">
        <f aca="false">IF(T10="","",IF(U10="",0,INDEX('Referência LC 214'!$K$6:$K$967,U10)))</f>
        <v>0.6</v>
      </c>
      <c r="K10" s="18" t="str">
        <f aca="false">IF(OR(T10="",U10=""),"","Anexo "&amp;INDEX('Referência LC 214'!$E$6:$E$967,U10)&amp;", item "&amp;INDEX('Referência LC 214'!$F$6:$F$967,U10)&amp;": "&amp;INDEX('Referência LC 214'!$G$6:$G$967,U10))</f>
        <v>Anexo II, item 1: Ensino Infantil, inclusive creche e pré-escola</v>
      </c>
      <c r="L10" s="18" t="str">
        <f aca="false">IF(OR(T10="",U10=""),"",IF(INDEX('Referência LC 214'!$L$6:$L$967,U10)&amp;""&lt;&gt;"",INDEX('Referência LC 214'!$L$6:$L$967,U10)&amp;"",IF(SUMPRODUCT((LEFT(T10,LEN('Referência LC 214'!$N$6:$N$967))='Referência LC 214'!$N$6:$N$967)*('Referência LC 214'!$L$6:$L$967&lt;&gt;""))&gt;0,"Há outro tratamento só para alguns compradores (ex.: órgão público/SUS) — veja a referência","")))</f>
        <v/>
      </c>
      <c r="M10" s="20" t="str">
        <f aca="false">IF(T10="","",IF(AND(C10&lt;&gt;"Serviço",LEN(T10)-1&lt;&gt;8),"NCM deve ter 8 dígitos",IF(AND(C10="Serviço",LEN(T10)-1&lt;&gt;9),"NBS deve ter 9 dígitos",IF(L10&lt;&gt;"","Benefício depende do comprador: confira a coluna N",IF(G10&gt;1,"Mais de uma regra: confira o item do anexo na referência",IF(G10=0,"Sem redução na LC 214","Confira se o produto é o descrito no item"))))))</f>
        <v>Confira se o produto é o descrito no item</v>
      </c>
      <c r="N10" s="15" t="s">
        <v>2234</v>
      </c>
      <c r="O10" s="13"/>
      <c r="P10" s="15" t="s">
        <v>2252</v>
      </c>
      <c r="Q10" s="15"/>
      <c r="R10" s="21"/>
      <c r="S10" s="14" t="s">
        <v>2237</v>
      </c>
      <c r="T10" s="22" t="str">
        <f aca="false">IF(D10="","",IF(C10="Serviço","S","P")&amp;SUBSTITUTE(SUBSTITUTE(SUBSTITUTE(D10,".",""),"-","")," ",""))</f>
        <v>S122012000</v>
      </c>
      <c r="U10" s="22" t="n">
        <f aca="false">IF(T10="","",IFERROR(MATCH(LEFT(T10,10),'Referência LC 214'!$N$6:$N$967,0),IFERROR(MATCH(LEFT(T10,9),'Referência LC 214'!$N$6:$N$967,0),IFERROR(MATCH(LEFT(T10,8),'Referência LC 214'!$N$6:$N$967,0),IFERROR(MATCH(LEFT(T10,7),'Referência LC 214'!$N$6:$N$967,0),IFERROR(MATCH(LEFT(T10,6),'Referência LC 214'!$N$6:$N$967,0),IFERROR(MATCH(LEFT(T10,5),'Referência LC 214'!$N$6:$N$967,0),IFERROR(MATCH(LEFT(T10,4),'Referência LC 214'!$N$6:$N$967,0),IFERROR(MATCH(LEFT(T10,3),'Referência LC 214'!$N$6:$N$967,0),"")))))))))</f>
        <v>916</v>
      </c>
    </row>
    <row r="11" customFormat="false" ht="15" hidden="false" customHeight="false" outlineLevel="0" collapsed="false">
      <c r="A11" s="23"/>
      <c r="B11" s="24"/>
      <c r="C11" s="25"/>
      <c r="D11" s="23"/>
      <c r="E11" s="23"/>
      <c r="F11" s="25"/>
      <c r="G11" s="26" t="str">
        <f aca="false">IF(T11="","",SUMPRODUCT(--(LEFT(T11,LEN('Referência LC 214'!$N$6:$N$967))='Referência LC 214'!$N$6:$N$967)))</f>
        <v/>
      </c>
      <c r="H11" s="27" t="str">
        <f aca="false">IF(T11="","",IF(U11="","000001",INDEX('Referência LC 214'!$I$6:$I$967,U11)))</f>
        <v/>
      </c>
      <c r="I11" s="28" t="str">
        <f aca="false">IF(T11="","",IF(U11="","Sem anexo: tributação integral",INDEX('Referência LC 214'!$H$6:$H$967,U11)))</f>
        <v/>
      </c>
      <c r="J11" s="29" t="str">
        <f aca="false">IF(T11="","",IF(U11="",0,INDEX('Referência LC 214'!$K$6:$K$967,U11)))</f>
        <v/>
      </c>
      <c r="K11" s="28" t="str">
        <f aca="false">IF(OR(T11="",U11=""),"","Anexo "&amp;INDEX('Referência LC 214'!$E$6:$E$967,U11)&amp;", item "&amp;INDEX('Referência LC 214'!$F$6:$F$967,U11)&amp;": "&amp;INDEX('Referência LC 214'!$G$6:$G$967,U11))</f>
        <v/>
      </c>
      <c r="L11" s="28" t="str">
        <f aca="false">IF(OR(T11="",U11=""),"",IF(INDEX('Referência LC 214'!$L$6:$L$967,U11)&amp;""&lt;&gt;"",INDEX('Referência LC 214'!$L$6:$L$967,U11)&amp;"",IF(SUMPRODUCT((LEFT(T11,LEN('Referência LC 214'!$N$6:$N$967))='Referência LC 214'!$N$6:$N$967)*('Referência LC 214'!$L$6:$L$967&lt;&gt;""))&gt;0,"Há outro tratamento só para alguns compradores (ex.: órgão público/SUS) — veja a referência","")))</f>
        <v/>
      </c>
      <c r="M11" s="30" t="str">
        <f aca="false">IF(T11="","",IF(AND(C11&lt;&gt;"Serviço",LEN(T11)-1&lt;&gt;8),"NCM deve ter 8 dígitos",IF(AND(C11="Serviço",LEN(T11)-1&lt;&gt;9),"NBS deve ter 9 dígitos",IF(L11&lt;&gt;"","Benefício depende do comprador: confira a coluna N",IF(G11&gt;1,"Mais de uma regra: confira o item do anexo na referência",IF(G11=0,"Sem redução na LC 214","Confira se o produto é o descrito no item"))))))</f>
        <v/>
      </c>
      <c r="N11" s="25"/>
      <c r="O11" s="23"/>
      <c r="P11" s="25"/>
      <c r="Q11" s="25"/>
      <c r="R11" s="31"/>
      <c r="S11" s="24"/>
      <c r="T11" s="4" t="str">
        <f aca="false">IF(D11="","",IF(C11="Serviço","S","P")&amp;SUBSTITUTE(SUBSTITUTE(SUBSTITUTE(D11,".",""),"-","")," ",""))</f>
        <v/>
      </c>
      <c r="U11" s="4" t="str">
        <f aca="false">IF(T11="","",IFERROR(MATCH(LEFT(T11,10),'Referência LC 214'!$N$6:$N$967,0),IFERROR(MATCH(LEFT(T11,9),'Referência LC 214'!$N$6:$N$967,0),IFERROR(MATCH(LEFT(T11,8),'Referência LC 214'!$N$6:$N$967,0),IFERROR(MATCH(LEFT(T11,7),'Referência LC 214'!$N$6:$N$967,0),IFERROR(MATCH(LEFT(T11,6),'Referência LC 214'!$N$6:$N$967,0),IFERROR(MATCH(LEFT(T11,5),'Referência LC 214'!$N$6:$N$967,0),IFERROR(MATCH(LEFT(T11,4),'Referência LC 214'!$N$6:$N$967,0),IFERROR(MATCH(LEFT(T11,3),'Referência LC 214'!$N$6:$N$967,0),"")))))))))</f>
        <v/>
      </c>
    </row>
    <row r="12" customFormat="false" ht="15" hidden="false" customHeight="false" outlineLevel="0" collapsed="false">
      <c r="A12" s="23"/>
      <c r="B12" s="24"/>
      <c r="C12" s="25"/>
      <c r="D12" s="23"/>
      <c r="E12" s="23"/>
      <c r="F12" s="25"/>
      <c r="G12" s="26" t="str">
        <f aca="false">IF(T12="","",SUMPRODUCT(--(LEFT(T12,LEN('Referência LC 214'!$N$6:$N$967))='Referência LC 214'!$N$6:$N$967)))</f>
        <v/>
      </c>
      <c r="H12" s="27" t="str">
        <f aca="false">IF(T12="","",IF(U12="","000001",INDEX('Referência LC 214'!$I$6:$I$967,U12)))</f>
        <v/>
      </c>
      <c r="I12" s="28" t="str">
        <f aca="false">IF(T12="","",IF(U12="","Sem anexo: tributação integral",INDEX('Referência LC 214'!$H$6:$H$967,U12)))</f>
        <v/>
      </c>
      <c r="J12" s="29" t="str">
        <f aca="false">IF(T12="","",IF(U12="",0,INDEX('Referência LC 214'!$K$6:$K$967,U12)))</f>
        <v/>
      </c>
      <c r="K12" s="28" t="str">
        <f aca="false">IF(OR(T12="",U12=""),"","Anexo "&amp;INDEX('Referência LC 214'!$E$6:$E$967,U12)&amp;", item "&amp;INDEX('Referência LC 214'!$F$6:$F$967,U12)&amp;": "&amp;INDEX('Referência LC 214'!$G$6:$G$967,U12))</f>
        <v/>
      </c>
      <c r="L12" s="28" t="str">
        <f aca="false">IF(OR(T12="",U12=""),"",IF(INDEX('Referência LC 214'!$L$6:$L$967,U12)&amp;""&lt;&gt;"",INDEX('Referência LC 214'!$L$6:$L$967,U12)&amp;"",IF(SUMPRODUCT((LEFT(T12,LEN('Referência LC 214'!$N$6:$N$967))='Referência LC 214'!$N$6:$N$967)*('Referência LC 214'!$L$6:$L$967&lt;&gt;""))&gt;0,"Há outro tratamento só para alguns compradores (ex.: órgão público/SUS) — veja a referência","")))</f>
        <v/>
      </c>
      <c r="M12" s="30" t="str">
        <f aca="false">IF(T12="","",IF(AND(C12&lt;&gt;"Serviço",LEN(T12)-1&lt;&gt;8),"NCM deve ter 8 dígitos",IF(AND(C12="Serviço",LEN(T12)-1&lt;&gt;9),"NBS deve ter 9 dígitos",IF(L12&lt;&gt;"","Benefício depende do comprador: confira a coluna N",IF(G12&gt;1,"Mais de uma regra: confira o item do anexo na referência",IF(G12=0,"Sem redução na LC 214","Confira se o produto é o descrito no item"))))))</f>
        <v/>
      </c>
      <c r="N12" s="25"/>
      <c r="O12" s="23"/>
      <c r="P12" s="25"/>
      <c r="Q12" s="25"/>
      <c r="R12" s="31"/>
      <c r="S12" s="24"/>
      <c r="T12" s="4" t="str">
        <f aca="false">IF(D12="","",IF(C12="Serviço","S","P")&amp;SUBSTITUTE(SUBSTITUTE(SUBSTITUTE(D12,".",""),"-","")," ",""))</f>
        <v/>
      </c>
      <c r="U12" s="4" t="str">
        <f aca="false">IF(T12="","",IFERROR(MATCH(LEFT(T12,10),'Referência LC 214'!$N$6:$N$967,0),IFERROR(MATCH(LEFT(T12,9),'Referência LC 214'!$N$6:$N$967,0),IFERROR(MATCH(LEFT(T12,8),'Referência LC 214'!$N$6:$N$967,0),IFERROR(MATCH(LEFT(T12,7),'Referência LC 214'!$N$6:$N$967,0),IFERROR(MATCH(LEFT(T12,6),'Referência LC 214'!$N$6:$N$967,0),IFERROR(MATCH(LEFT(T12,5),'Referência LC 214'!$N$6:$N$967,0),IFERROR(MATCH(LEFT(T12,4),'Referência LC 214'!$N$6:$N$967,0),IFERROR(MATCH(LEFT(T12,3),'Referência LC 214'!$N$6:$N$967,0),"")))))))))</f>
        <v/>
      </c>
    </row>
    <row r="13" customFormat="false" ht="15" hidden="false" customHeight="false" outlineLevel="0" collapsed="false">
      <c r="A13" s="23"/>
      <c r="B13" s="24"/>
      <c r="C13" s="25"/>
      <c r="D13" s="23"/>
      <c r="E13" s="23"/>
      <c r="F13" s="25"/>
      <c r="G13" s="26" t="str">
        <f aca="false">IF(T13="","",SUMPRODUCT(--(LEFT(T13,LEN('Referência LC 214'!$N$6:$N$967))='Referência LC 214'!$N$6:$N$967)))</f>
        <v/>
      </c>
      <c r="H13" s="27" t="str">
        <f aca="false">IF(T13="","",IF(U13="","000001",INDEX('Referência LC 214'!$I$6:$I$967,U13)))</f>
        <v/>
      </c>
      <c r="I13" s="28" t="str">
        <f aca="false">IF(T13="","",IF(U13="","Sem anexo: tributação integral",INDEX('Referência LC 214'!$H$6:$H$967,U13)))</f>
        <v/>
      </c>
      <c r="J13" s="29" t="str">
        <f aca="false">IF(T13="","",IF(U13="",0,INDEX('Referência LC 214'!$K$6:$K$967,U13)))</f>
        <v/>
      </c>
      <c r="K13" s="28" t="str">
        <f aca="false">IF(OR(T13="",U13=""),"","Anexo "&amp;INDEX('Referência LC 214'!$E$6:$E$967,U13)&amp;", item "&amp;INDEX('Referência LC 214'!$F$6:$F$967,U13)&amp;": "&amp;INDEX('Referência LC 214'!$G$6:$G$967,U13))</f>
        <v/>
      </c>
      <c r="L13" s="28" t="str">
        <f aca="false">IF(OR(T13="",U13=""),"",IF(INDEX('Referência LC 214'!$L$6:$L$967,U13)&amp;""&lt;&gt;"",INDEX('Referência LC 214'!$L$6:$L$967,U13)&amp;"",IF(SUMPRODUCT((LEFT(T13,LEN('Referência LC 214'!$N$6:$N$967))='Referência LC 214'!$N$6:$N$967)*('Referência LC 214'!$L$6:$L$967&lt;&gt;""))&gt;0,"Há outro tratamento só para alguns compradores (ex.: órgão público/SUS) — veja a referência","")))</f>
        <v/>
      </c>
      <c r="M13" s="30" t="str">
        <f aca="false">IF(T13="","",IF(AND(C13&lt;&gt;"Serviço",LEN(T13)-1&lt;&gt;8),"NCM deve ter 8 dígitos",IF(AND(C13="Serviço",LEN(T13)-1&lt;&gt;9),"NBS deve ter 9 dígitos",IF(L13&lt;&gt;"","Benefício depende do comprador: confira a coluna N",IF(G13&gt;1,"Mais de uma regra: confira o item do anexo na referência",IF(G13=0,"Sem redução na LC 214","Confira se o produto é o descrito no item"))))))</f>
        <v/>
      </c>
      <c r="N13" s="25"/>
      <c r="O13" s="23"/>
      <c r="P13" s="25"/>
      <c r="Q13" s="25"/>
      <c r="R13" s="31"/>
      <c r="S13" s="24"/>
      <c r="T13" s="4" t="str">
        <f aca="false">IF(D13="","",IF(C13="Serviço","S","P")&amp;SUBSTITUTE(SUBSTITUTE(SUBSTITUTE(D13,".",""),"-","")," ",""))</f>
        <v/>
      </c>
      <c r="U13" s="4" t="str">
        <f aca="false">IF(T13="","",IFERROR(MATCH(LEFT(T13,10),'Referência LC 214'!$N$6:$N$967,0),IFERROR(MATCH(LEFT(T13,9),'Referência LC 214'!$N$6:$N$967,0),IFERROR(MATCH(LEFT(T13,8),'Referência LC 214'!$N$6:$N$967,0),IFERROR(MATCH(LEFT(T13,7),'Referência LC 214'!$N$6:$N$967,0),IFERROR(MATCH(LEFT(T13,6),'Referência LC 214'!$N$6:$N$967,0),IFERROR(MATCH(LEFT(T13,5),'Referência LC 214'!$N$6:$N$967,0),IFERROR(MATCH(LEFT(T13,4),'Referência LC 214'!$N$6:$N$967,0),IFERROR(MATCH(LEFT(T13,3),'Referência LC 214'!$N$6:$N$967,0),"")))))))))</f>
        <v/>
      </c>
    </row>
    <row r="14" customFormat="false" ht="15" hidden="false" customHeight="false" outlineLevel="0" collapsed="false">
      <c r="A14" s="23"/>
      <c r="B14" s="24"/>
      <c r="C14" s="25"/>
      <c r="D14" s="23"/>
      <c r="E14" s="23"/>
      <c r="F14" s="25"/>
      <c r="G14" s="26" t="str">
        <f aca="false">IF(T14="","",SUMPRODUCT(--(LEFT(T14,LEN('Referência LC 214'!$N$6:$N$967))='Referência LC 214'!$N$6:$N$967)))</f>
        <v/>
      </c>
      <c r="H14" s="27" t="str">
        <f aca="false">IF(T14="","",IF(U14="","000001",INDEX('Referência LC 214'!$I$6:$I$967,U14)))</f>
        <v/>
      </c>
      <c r="I14" s="28" t="str">
        <f aca="false">IF(T14="","",IF(U14="","Sem anexo: tributação integral",INDEX('Referência LC 214'!$H$6:$H$967,U14)))</f>
        <v/>
      </c>
      <c r="J14" s="29" t="str">
        <f aca="false">IF(T14="","",IF(U14="",0,INDEX('Referência LC 214'!$K$6:$K$967,U14)))</f>
        <v/>
      </c>
      <c r="K14" s="28" t="str">
        <f aca="false">IF(OR(T14="",U14=""),"","Anexo "&amp;INDEX('Referência LC 214'!$E$6:$E$967,U14)&amp;", item "&amp;INDEX('Referência LC 214'!$F$6:$F$967,U14)&amp;": "&amp;INDEX('Referência LC 214'!$G$6:$G$967,U14))</f>
        <v/>
      </c>
      <c r="L14" s="28" t="str">
        <f aca="false">IF(OR(T14="",U14=""),"",IF(INDEX('Referência LC 214'!$L$6:$L$967,U14)&amp;""&lt;&gt;"",INDEX('Referência LC 214'!$L$6:$L$967,U14)&amp;"",IF(SUMPRODUCT((LEFT(T14,LEN('Referência LC 214'!$N$6:$N$967))='Referência LC 214'!$N$6:$N$967)*('Referência LC 214'!$L$6:$L$967&lt;&gt;""))&gt;0,"Há outro tratamento só para alguns compradores (ex.: órgão público/SUS) — veja a referência","")))</f>
        <v/>
      </c>
      <c r="M14" s="30" t="str">
        <f aca="false">IF(T14="","",IF(AND(C14&lt;&gt;"Serviço",LEN(T14)-1&lt;&gt;8),"NCM deve ter 8 dígitos",IF(AND(C14="Serviço",LEN(T14)-1&lt;&gt;9),"NBS deve ter 9 dígitos",IF(L14&lt;&gt;"","Benefício depende do comprador: confira a coluna N",IF(G14&gt;1,"Mais de uma regra: confira o item do anexo na referência",IF(G14=0,"Sem redução na LC 214","Confira se o produto é o descrito no item"))))))</f>
        <v/>
      </c>
      <c r="N14" s="25"/>
      <c r="O14" s="23"/>
      <c r="P14" s="25"/>
      <c r="Q14" s="25"/>
      <c r="R14" s="31"/>
      <c r="S14" s="24"/>
      <c r="T14" s="4" t="str">
        <f aca="false">IF(D14="","",IF(C14="Serviço","S","P")&amp;SUBSTITUTE(SUBSTITUTE(SUBSTITUTE(D14,".",""),"-","")," ",""))</f>
        <v/>
      </c>
      <c r="U14" s="4" t="str">
        <f aca="false">IF(T14="","",IFERROR(MATCH(LEFT(T14,10),'Referência LC 214'!$N$6:$N$967,0),IFERROR(MATCH(LEFT(T14,9),'Referência LC 214'!$N$6:$N$967,0),IFERROR(MATCH(LEFT(T14,8),'Referência LC 214'!$N$6:$N$967,0),IFERROR(MATCH(LEFT(T14,7),'Referência LC 214'!$N$6:$N$967,0),IFERROR(MATCH(LEFT(T14,6),'Referência LC 214'!$N$6:$N$967,0),IFERROR(MATCH(LEFT(T14,5),'Referência LC 214'!$N$6:$N$967,0),IFERROR(MATCH(LEFT(T14,4),'Referência LC 214'!$N$6:$N$967,0),IFERROR(MATCH(LEFT(T14,3),'Referência LC 214'!$N$6:$N$967,0),"")))))))))</f>
        <v/>
      </c>
    </row>
    <row r="15" customFormat="false" ht="15" hidden="false" customHeight="false" outlineLevel="0" collapsed="false">
      <c r="A15" s="23"/>
      <c r="B15" s="24"/>
      <c r="C15" s="25"/>
      <c r="D15" s="23"/>
      <c r="E15" s="23"/>
      <c r="F15" s="25"/>
      <c r="G15" s="26" t="str">
        <f aca="false">IF(T15="","",SUMPRODUCT(--(LEFT(T15,LEN('Referência LC 214'!$N$6:$N$967))='Referência LC 214'!$N$6:$N$967)))</f>
        <v/>
      </c>
      <c r="H15" s="27" t="str">
        <f aca="false">IF(T15="","",IF(U15="","000001",INDEX('Referência LC 214'!$I$6:$I$967,U15)))</f>
        <v/>
      </c>
      <c r="I15" s="28" t="str">
        <f aca="false">IF(T15="","",IF(U15="","Sem anexo: tributação integral",INDEX('Referência LC 214'!$H$6:$H$967,U15)))</f>
        <v/>
      </c>
      <c r="J15" s="29" t="str">
        <f aca="false">IF(T15="","",IF(U15="",0,INDEX('Referência LC 214'!$K$6:$K$967,U15)))</f>
        <v/>
      </c>
      <c r="K15" s="28" t="str">
        <f aca="false">IF(OR(T15="",U15=""),"","Anexo "&amp;INDEX('Referência LC 214'!$E$6:$E$967,U15)&amp;", item "&amp;INDEX('Referência LC 214'!$F$6:$F$967,U15)&amp;": "&amp;INDEX('Referência LC 214'!$G$6:$G$967,U15))</f>
        <v/>
      </c>
      <c r="L15" s="28" t="str">
        <f aca="false">IF(OR(T15="",U15=""),"",IF(INDEX('Referência LC 214'!$L$6:$L$967,U15)&amp;""&lt;&gt;"",INDEX('Referência LC 214'!$L$6:$L$967,U15)&amp;"",IF(SUMPRODUCT((LEFT(T15,LEN('Referência LC 214'!$N$6:$N$967))='Referência LC 214'!$N$6:$N$967)*('Referência LC 214'!$L$6:$L$967&lt;&gt;""))&gt;0,"Há outro tratamento só para alguns compradores (ex.: órgão público/SUS) — veja a referência","")))</f>
        <v/>
      </c>
      <c r="M15" s="30" t="str">
        <f aca="false">IF(T15="","",IF(AND(C15&lt;&gt;"Serviço",LEN(T15)-1&lt;&gt;8),"NCM deve ter 8 dígitos",IF(AND(C15="Serviço",LEN(T15)-1&lt;&gt;9),"NBS deve ter 9 dígitos",IF(L15&lt;&gt;"","Benefício depende do comprador: confira a coluna N",IF(G15&gt;1,"Mais de uma regra: confira o item do anexo na referência",IF(G15=0,"Sem redução na LC 214","Confira se o produto é o descrito no item"))))))</f>
        <v/>
      </c>
      <c r="N15" s="25"/>
      <c r="O15" s="23"/>
      <c r="P15" s="25"/>
      <c r="Q15" s="25"/>
      <c r="R15" s="31"/>
      <c r="S15" s="24"/>
      <c r="T15" s="4" t="str">
        <f aca="false">IF(D15="","",IF(C15="Serviço","S","P")&amp;SUBSTITUTE(SUBSTITUTE(SUBSTITUTE(D15,".",""),"-","")," ",""))</f>
        <v/>
      </c>
      <c r="U15" s="4" t="str">
        <f aca="false">IF(T15="","",IFERROR(MATCH(LEFT(T15,10),'Referência LC 214'!$N$6:$N$967,0),IFERROR(MATCH(LEFT(T15,9),'Referência LC 214'!$N$6:$N$967,0),IFERROR(MATCH(LEFT(T15,8),'Referência LC 214'!$N$6:$N$967,0),IFERROR(MATCH(LEFT(T15,7),'Referência LC 214'!$N$6:$N$967,0),IFERROR(MATCH(LEFT(T15,6),'Referência LC 214'!$N$6:$N$967,0),IFERROR(MATCH(LEFT(T15,5),'Referência LC 214'!$N$6:$N$967,0),IFERROR(MATCH(LEFT(T15,4),'Referência LC 214'!$N$6:$N$967,0),IFERROR(MATCH(LEFT(T15,3),'Referência LC 214'!$N$6:$N$967,0),"")))))))))</f>
        <v/>
      </c>
    </row>
    <row r="16" customFormat="false" ht="15" hidden="false" customHeight="false" outlineLevel="0" collapsed="false">
      <c r="A16" s="23"/>
      <c r="B16" s="24"/>
      <c r="C16" s="25"/>
      <c r="D16" s="23"/>
      <c r="E16" s="23"/>
      <c r="F16" s="25"/>
      <c r="G16" s="26" t="str">
        <f aca="false">IF(T16="","",SUMPRODUCT(--(LEFT(T16,LEN('Referência LC 214'!$N$6:$N$967))='Referência LC 214'!$N$6:$N$967)))</f>
        <v/>
      </c>
      <c r="H16" s="27" t="str">
        <f aca="false">IF(T16="","",IF(U16="","000001",INDEX('Referência LC 214'!$I$6:$I$967,U16)))</f>
        <v/>
      </c>
      <c r="I16" s="28" t="str">
        <f aca="false">IF(T16="","",IF(U16="","Sem anexo: tributação integral",INDEX('Referência LC 214'!$H$6:$H$967,U16)))</f>
        <v/>
      </c>
      <c r="J16" s="29" t="str">
        <f aca="false">IF(T16="","",IF(U16="",0,INDEX('Referência LC 214'!$K$6:$K$967,U16)))</f>
        <v/>
      </c>
      <c r="K16" s="28" t="str">
        <f aca="false">IF(OR(T16="",U16=""),"","Anexo "&amp;INDEX('Referência LC 214'!$E$6:$E$967,U16)&amp;", item "&amp;INDEX('Referência LC 214'!$F$6:$F$967,U16)&amp;": "&amp;INDEX('Referência LC 214'!$G$6:$G$967,U16))</f>
        <v/>
      </c>
      <c r="L16" s="28" t="str">
        <f aca="false">IF(OR(T16="",U16=""),"",IF(INDEX('Referência LC 214'!$L$6:$L$967,U16)&amp;""&lt;&gt;"",INDEX('Referência LC 214'!$L$6:$L$967,U16)&amp;"",IF(SUMPRODUCT((LEFT(T16,LEN('Referência LC 214'!$N$6:$N$967))='Referência LC 214'!$N$6:$N$967)*('Referência LC 214'!$L$6:$L$967&lt;&gt;""))&gt;0,"Há outro tratamento só para alguns compradores (ex.: órgão público/SUS) — veja a referência","")))</f>
        <v/>
      </c>
      <c r="M16" s="30" t="str">
        <f aca="false">IF(T16="","",IF(AND(C16&lt;&gt;"Serviço",LEN(T16)-1&lt;&gt;8),"NCM deve ter 8 dígitos",IF(AND(C16="Serviço",LEN(T16)-1&lt;&gt;9),"NBS deve ter 9 dígitos",IF(L16&lt;&gt;"","Benefício depende do comprador: confira a coluna N",IF(G16&gt;1,"Mais de uma regra: confira o item do anexo na referência",IF(G16=0,"Sem redução na LC 214","Confira se o produto é o descrito no item"))))))</f>
        <v/>
      </c>
      <c r="N16" s="25"/>
      <c r="O16" s="23"/>
      <c r="P16" s="25"/>
      <c r="Q16" s="25"/>
      <c r="R16" s="31"/>
      <c r="S16" s="24"/>
      <c r="T16" s="4" t="str">
        <f aca="false">IF(D16="","",IF(C16="Serviço","S","P")&amp;SUBSTITUTE(SUBSTITUTE(SUBSTITUTE(D16,".",""),"-","")," ",""))</f>
        <v/>
      </c>
      <c r="U16" s="4" t="str">
        <f aca="false">IF(T16="","",IFERROR(MATCH(LEFT(T16,10),'Referência LC 214'!$N$6:$N$967,0),IFERROR(MATCH(LEFT(T16,9),'Referência LC 214'!$N$6:$N$967,0),IFERROR(MATCH(LEFT(T16,8),'Referência LC 214'!$N$6:$N$967,0),IFERROR(MATCH(LEFT(T16,7),'Referência LC 214'!$N$6:$N$967,0),IFERROR(MATCH(LEFT(T16,6),'Referência LC 214'!$N$6:$N$967,0),IFERROR(MATCH(LEFT(T16,5),'Referência LC 214'!$N$6:$N$967,0),IFERROR(MATCH(LEFT(T16,4),'Referência LC 214'!$N$6:$N$967,0),IFERROR(MATCH(LEFT(T16,3),'Referência LC 214'!$N$6:$N$967,0),"")))))))))</f>
        <v/>
      </c>
    </row>
    <row r="17" customFormat="false" ht="15" hidden="false" customHeight="false" outlineLevel="0" collapsed="false">
      <c r="A17" s="23"/>
      <c r="B17" s="24"/>
      <c r="C17" s="25"/>
      <c r="D17" s="23"/>
      <c r="E17" s="23"/>
      <c r="F17" s="25"/>
      <c r="G17" s="26" t="str">
        <f aca="false">IF(T17="","",SUMPRODUCT(--(LEFT(T17,LEN('Referência LC 214'!$N$6:$N$967))='Referência LC 214'!$N$6:$N$967)))</f>
        <v/>
      </c>
      <c r="H17" s="27" t="str">
        <f aca="false">IF(T17="","",IF(U17="","000001",INDEX('Referência LC 214'!$I$6:$I$967,U17)))</f>
        <v/>
      </c>
      <c r="I17" s="28" t="str">
        <f aca="false">IF(T17="","",IF(U17="","Sem anexo: tributação integral",INDEX('Referência LC 214'!$H$6:$H$967,U17)))</f>
        <v/>
      </c>
      <c r="J17" s="29" t="str">
        <f aca="false">IF(T17="","",IF(U17="",0,INDEX('Referência LC 214'!$K$6:$K$967,U17)))</f>
        <v/>
      </c>
      <c r="K17" s="28" t="str">
        <f aca="false">IF(OR(T17="",U17=""),"","Anexo "&amp;INDEX('Referência LC 214'!$E$6:$E$967,U17)&amp;", item "&amp;INDEX('Referência LC 214'!$F$6:$F$967,U17)&amp;": "&amp;INDEX('Referência LC 214'!$G$6:$G$967,U17))</f>
        <v/>
      </c>
      <c r="L17" s="28" t="str">
        <f aca="false">IF(OR(T17="",U17=""),"",IF(INDEX('Referência LC 214'!$L$6:$L$967,U17)&amp;""&lt;&gt;"",INDEX('Referência LC 214'!$L$6:$L$967,U17)&amp;"",IF(SUMPRODUCT((LEFT(T17,LEN('Referência LC 214'!$N$6:$N$967))='Referência LC 214'!$N$6:$N$967)*('Referência LC 214'!$L$6:$L$967&lt;&gt;""))&gt;0,"Há outro tratamento só para alguns compradores (ex.: órgão público/SUS) — veja a referência","")))</f>
        <v/>
      </c>
      <c r="M17" s="30" t="str">
        <f aca="false">IF(T17="","",IF(AND(C17&lt;&gt;"Serviço",LEN(T17)-1&lt;&gt;8),"NCM deve ter 8 dígitos",IF(AND(C17="Serviço",LEN(T17)-1&lt;&gt;9),"NBS deve ter 9 dígitos",IF(L17&lt;&gt;"","Benefício depende do comprador: confira a coluna N",IF(G17&gt;1,"Mais de uma regra: confira o item do anexo na referência",IF(G17=0,"Sem redução na LC 214","Confira se o produto é o descrito no item"))))))</f>
        <v/>
      </c>
      <c r="N17" s="25"/>
      <c r="O17" s="23"/>
      <c r="P17" s="25"/>
      <c r="Q17" s="25"/>
      <c r="R17" s="31"/>
      <c r="S17" s="24"/>
      <c r="T17" s="4" t="str">
        <f aca="false">IF(D17="","",IF(C17="Serviço","S","P")&amp;SUBSTITUTE(SUBSTITUTE(SUBSTITUTE(D17,".",""),"-","")," ",""))</f>
        <v/>
      </c>
      <c r="U17" s="4" t="str">
        <f aca="false">IF(T17="","",IFERROR(MATCH(LEFT(T17,10),'Referência LC 214'!$N$6:$N$967,0),IFERROR(MATCH(LEFT(T17,9),'Referência LC 214'!$N$6:$N$967,0),IFERROR(MATCH(LEFT(T17,8),'Referência LC 214'!$N$6:$N$967,0),IFERROR(MATCH(LEFT(T17,7),'Referência LC 214'!$N$6:$N$967,0),IFERROR(MATCH(LEFT(T17,6),'Referência LC 214'!$N$6:$N$967,0),IFERROR(MATCH(LEFT(T17,5),'Referência LC 214'!$N$6:$N$967,0),IFERROR(MATCH(LEFT(T17,4),'Referência LC 214'!$N$6:$N$967,0),IFERROR(MATCH(LEFT(T17,3),'Referência LC 214'!$N$6:$N$967,0),"")))))))))</f>
        <v/>
      </c>
    </row>
    <row r="18" customFormat="false" ht="15" hidden="false" customHeight="false" outlineLevel="0" collapsed="false">
      <c r="A18" s="23"/>
      <c r="B18" s="24"/>
      <c r="C18" s="25"/>
      <c r="D18" s="23"/>
      <c r="E18" s="23"/>
      <c r="F18" s="25"/>
      <c r="G18" s="26" t="str">
        <f aca="false">IF(T18="","",SUMPRODUCT(--(LEFT(T18,LEN('Referência LC 214'!$N$6:$N$967))='Referência LC 214'!$N$6:$N$967)))</f>
        <v/>
      </c>
      <c r="H18" s="27" t="str">
        <f aca="false">IF(T18="","",IF(U18="","000001",INDEX('Referência LC 214'!$I$6:$I$967,U18)))</f>
        <v/>
      </c>
      <c r="I18" s="28" t="str">
        <f aca="false">IF(T18="","",IF(U18="","Sem anexo: tributação integral",INDEX('Referência LC 214'!$H$6:$H$967,U18)))</f>
        <v/>
      </c>
      <c r="J18" s="29" t="str">
        <f aca="false">IF(T18="","",IF(U18="",0,INDEX('Referência LC 214'!$K$6:$K$967,U18)))</f>
        <v/>
      </c>
      <c r="K18" s="28" t="str">
        <f aca="false">IF(OR(T18="",U18=""),"","Anexo "&amp;INDEX('Referência LC 214'!$E$6:$E$967,U18)&amp;", item "&amp;INDEX('Referência LC 214'!$F$6:$F$967,U18)&amp;": "&amp;INDEX('Referência LC 214'!$G$6:$G$967,U18))</f>
        <v/>
      </c>
      <c r="L18" s="28" t="str">
        <f aca="false">IF(OR(T18="",U18=""),"",IF(INDEX('Referência LC 214'!$L$6:$L$967,U18)&amp;""&lt;&gt;"",INDEX('Referência LC 214'!$L$6:$L$967,U18)&amp;"",IF(SUMPRODUCT((LEFT(T18,LEN('Referência LC 214'!$N$6:$N$967))='Referência LC 214'!$N$6:$N$967)*('Referência LC 214'!$L$6:$L$967&lt;&gt;""))&gt;0,"Há outro tratamento só para alguns compradores (ex.: órgão público/SUS) — veja a referência","")))</f>
        <v/>
      </c>
      <c r="M18" s="30" t="str">
        <f aca="false">IF(T18="","",IF(AND(C18&lt;&gt;"Serviço",LEN(T18)-1&lt;&gt;8),"NCM deve ter 8 dígitos",IF(AND(C18="Serviço",LEN(T18)-1&lt;&gt;9),"NBS deve ter 9 dígitos",IF(L18&lt;&gt;"","Benefício depende do comprador: confira a coluna N",IF(G18&gt;1,"Mais de uma regra: confira o item do anexo na referência",IF(G18=0,"Sem redução na LC 214","Confira se o produto é o descrito no item"))))))</f>
        <v/>
      </c>
      <c r="N18" s="25"/>
      <c r="O18" s="23"/>
      <c r="P18" s="25"/>
      <c r="Q18" s="25"/>
      <c r="R18" s="31"/>
      <c r="S18" s="24"/>
      <c r="T18" s="4" t="str">
        <f aca="false">IF(D18="","",IF(C18="Serviço","S","P")&amp;SUBSTITUTE(SUBSTITUTE(SUBSTITUTE(D18,".",""),"-","")," ",""))</f>
        <v/>
      </c>
      <c r="U18" s="4" t="str">
        <f aca="false">IF(T18="","",IFERROR(MATCH(LEFT(T18,10),'Referência LC 214'!$N$6:$N$967,0),IFERROR(MATCH(LEFT(T18,9),'Referência LC 214'!$N$6:$N$967,0),IFERROR(MATCH(LEFT(T18,8),'Referência LC 214'!$N$6:$N$967,0),IFERROR(MATCH(LEFT(T18,7),'Referência LC 214'!$N$6:$N$967,0),IFERROR(MATCH(LEFT(T18,6),'Referência LC 214'!$N$6:$N$967,0),IFERROR(MATCH(LEFT(T18,5),'Referência LC 214'!$N$6:$N$967,0),IFERROR(MATCH(LEFT(T18,4),'Referência LC 214'!$N$6:$N$967,0),IFERROR(MATCH(LEFT(T18,3),'Referência LC 214'!$N$6:$N$967,0),"")))))))))</f>
        <v/>
      </c>
    </row>
    <row r="19" customFormat="false" ht="15" hidden="false" customHeight="false" outlineLevel="0" collapsed="false">
      <c r="A19" s="23"/>
      <c r="B19" s="24"/>
      <c r="C19" s="25"/>
      <c r="D19" s="23"/>
      <c r="E19" s="23"/>
      <c r="F19" s="25"/>
      <c r="G19" s="26" t="str">
        <f aca="false">IF(T19="","",SUMPRODUCT(--(LEFT(T19,LEN('Referência LC 214'!$N$6:$N$967))='Referência LC 214'!$N$6:$N$967)))</f>
        <v/>
      </c>
      <c r="H19" s="27" t="str">
        <f aca="false">IF(T19="","",IF(U19="","000001",INDEX('Referência LC 214'!$I$6:$I$967,U19)))</f>
        <v/>
      </c>
      <c r="I19" s="28" t="str">
        <f aca="false">IF(T19="","",IF(U19="","Sem anexo: tributação integral",INDEX('Referência LC 214'!$H$6:$H$967,U19)))</f>
        <v/>
      </c>
      <c r="J19" s="29" t="str">
        <f aca="false">IF(T19="","",IF(U19="",0,INDEX('Referência LC 214'!$K$6:$K$967,U19)))</f>
        <v/>
      </c>
      <c r="K19" s="28" t="str">
        <f aca="false">IF(OR(T19="",U19=""),"","Anexo "&amp;INDEX('Referência LC 214'!$E$6:$E$967,U19)&amp;", item "&amp;INDEX('Referência LC 214'!$F$6:$F$967,U19)&amp;": "&amp;INDEX('Referência LC 214'!$G$6:$G$967,U19))</f>
        <v/>
      </c>
      <c r="L19" s="28" t="str">
        <f aca="false">IF(OR(T19="",U19=""),"",IF(INDEX('Referência LC 214'!$L$6:$L$967,U19)&amp;""&lt;&gt;"",INDEX('Referência LC 214'!$L$6:$L$967,U19)&amp;"",IF(SUMPRODUCT((LEFT(T19,LEN('Referência LC 214'!$N$6:$N$967))='Referência LC 214'!$N$6:$N$967)*('Referência LC 214'!$L$6:$L$967&lt;&gt;""))&gt;0,"Há outro tratamento só para alguns compradores (ex.: órgão público/SUS) — veja a referência","")))</f>
        <v/>
      </c>
      <c r="M19" s="30" t="str">
        <f aca="false">IF(T19="","",IF(AND(C19&lt;&gt;"Serviço",LEN(T19)-1&lt;&gt;8),"NCM deve ter 8 dígitos",IF(AND(C19="Serviço",LEN(T19)-1&lt;&gt;9),"NBS deve ter 9 dígitos",IF(L19&lt;&gt;"","Benefício depende do comprador: confira a coluna N",IF(G19&gt;1,"Mais de uma regra: confira o item do anexo na referência",IF(G19=0,"Sem redução na LC 214","Confira se o produto é o descrito no item"))))))</f>
        <v/>
      </c>
      <c r="N19" s="25"/>
      <c r="O19" s="23"/>
      <c r="P19" s="25"/>
      <c r="Q19" s="25"/>
      <c r="R19" s="31"/>
      <c r="S19" s="24"/>
      <c r="T19" s="4" t="str">
        <f aca="false">IF(D19="","",IF(C19="Serviço","S","P")&amp;SUBSTITUTE(SUBSTITUTE(SUBSTITUTE(D19,".",""),"-","")," ",""))</f>
        <v/>
      </c>
      <c r="U19" s="4" t="str">
        <f aca="false">IF(T19="","",IFERROR(MATCH(LEFT(T19,10),'Referência LC 214'!$N$6:$N$967,0),IFERROR(MATCH(LEFT(T19,9),'Referência LC 214'!$N$6:$N$967,0),IFERROR(MATCH(LEFT(T19,8),'Referência LC 214'!$N$6:$N$967,0),IFERROR(MATCH(LEFT(T19,7),'Referência LC 214'!$N$6:$N$967,0),IFERROR(MATCH(LEFT(T19,6),'Referência LC 214'!$N$6:$N$967,0),IFERROR(MATCH(LEFT(T19,5),'Referência LC 214'!$N$6:$N$967,0),IFERROR(MATCH(LEFT(T19,4),'Referência LC 214'!$N$6:$N$967,0),IFERROR(MATCH(LEFT(T19,3),'Referência LC 214'!$N$6:$N$967,0),"")))))))))</f>
        <v/>
      </c>
    </row>
    <row r="20" customFormat="false" ht="15" hidden="false" customHeight="false" outlineLevel="0" collapsed="false">
      <c r="A20" s="23"/>
      <c r="B20" s="24"/>
      <c r="C20" s="25"/>
      <c r="D20" s="23"/>
      <c r="E20" s="23"/>
      <c r="F20" s="25"/>
      <c r="G20" s="26" t="str">
        <f aca="false">IF(T20="","",SUMPRODUCT(--(LEFT(T20,LEN('Referência LC 214'!$N$6:$N$967))='Referência LC 214'!$N$6:$N$967)))</f>
        <v/>
      </c>
      <c r="H20" s="27" t="str">
        <f aca="false">IF(T20="","",IF(U20="","000001",INDEX('Referência LC 214'!$I$6:$I$967,U20)))</f>
        <v/>
      </c>
      <c r="I20" s="28" t="str">
        <f aca="false">IF(T20="","",IF(U20="","Sem anexo: tributação integral",INDEX('Referência LC 214'!$H$6:$H$967,U20)))</f>
        <v/>
      </c>
      <c r="J20" s="29" t="str">
        <f aca="false">IF(T20="","",IF(U20="",0,INDEX('Referência LC 214'!$K$6:$K$967,U20)))</f>
        <v/>
      </c>
      <c r="K20" s="28" t="str">
        <f aca="false">IF(OR(T20="",U20=""),"","Anexo "&amp;INDEX('Referência LC 214'!$E$6:$E$967,U20)&amp;", item "&amp;INDEX('Referência LC 214'!$F$6:$F$967,U20)&amp;": "&amp;INDEX('Referência LC 214'!$G$6:$G$967,U20))</f>
        <v/>
      </c>
      <c r="L20" s="28" t="str">
        <f aca="false">IF(OR(T20="",U20=""),"",IF(INDEX('Referência LC 214'!$L$6:$L$967,U20)&amp;""&lt;&gt;"",INDEX('Referência LC 214'!$L$6:$L$967,U20)&amp;"",IF(SUMPRODUCT((LEFT(T20,LEN('Referência LC 214'!$N$6:$N$967))='Referência LC 214'!$N$6:$N$967)*('Referência LC 214'!$L$6:$L$967&lt;&gt;""))&gt;0,"Há outro tratamento só para alguns compradores (ex.: órgão público/SUS) — veja a referência","")))</f>
        <v/>
      </c>
      <c r="M20" s="30" t="str">
        <f aca="false">IF(T20="","",IF(AND(C20&lt;&gt;"Serviço",LEN(T20)-1&lt;&gt;8),"NCM deve ter 8 dígitos",IF(AND(C20="Serviço",LEN(T20)-1&lt;&gt;9),"NBS deve ter 9 dígitos",IF(L20&lt;&gt;"","Benefício depende do comprador: confira a coluna N",IF(G20&gt;1,"Mais de uma regra: confira o item do anexo na referência",IF(G20=0,"Sem redução na LC 214","Confira se o produto é o descrito no item"))))))</f>
        <v/>
      </c>
      <c r="N20" s="25"/>
      <c r="O20" s="23"/>
      <c r="P20" s="25"/>
      <c r="Q20" s="25"/>
      <c r="R20" s="31"/>
      <c r="S20" s="24"/>
      <c r="T20" s="4" t="str">
        <f aca="false">IF(D20="","",IF(C20="Serviço","S","P")&amp;SUBSTITUTE(SUBSTITUTE(SUBSTITUTE(D20,".",""),"-","")," ",""))</f>
        <v/>
      </c>
      <c r="U20" s="4" t="str">
        <f aca="false">IF(T20="","",IFERROR(MATCH(LEFT(T20,10),'Referência LC 214'!$N$6:$N$967,0),IFERROR(MATCH(LEFT(T20,9),'Referência LC 214'!$N$6:$N$967,0),IFERROR(MATCH(LEFT(T20,8),'Referência LC 214'!$N$6:$N$967,0),IFERROR(MATCH(LEFT(T20,7),'Referência LC 214'!$N$6:$N$967,0),IFERROR(MATCH(LEFT(T20,6),'Referência LC 214'!$N$6:$N$967,0),IFERROR(MATCH(LEFT(T20,5),'Referência LC 214'!$N$6:$N$967,0),IFERROR(MATCH(LEFT(T20,4),'Referência LC 214'!$N$6:$N$967,0),IFERROR(MATCH(LEFT(T20,3),'Referência LC 214'!$N$6:$N$967,0),"")))))))))</f>
        <v/>
      </c>
    </row>
    <row r="21" customFormat="false" ht="15" hidden="false" customHeight="false" outlineLevel="0" collapsed="false">
      <c r="A21" s="23"/>
      <c r="B21" s="24"/>
      <c r="C21" s="25"/>
      <c r="D21" s="23"/>
      <c r="E21" s="23"/>
      <c r="F21" s="25"/>
      <c r="G21" s="26" t="str">
        <f aca="false">IF(T21="","",SUMPRODUCT(--(LEFT(T21,LEN('Referência LC 214'!$N$6:$N$967))='Referência LC 214'!$N$6:$N$967)))</f>
        <v/>
      </c>
      <c r="H21" s="27" t="str">
        <f aca="false">IF(T21="","",IF(U21="","000001",INDEX('Referência LC 214'!$I$6:$I$967,U21)))</f>
        <v/>
      </c>
      <c r="I21" s="28" t="str">
        <f aca="false">IF(T21="","",IF(U21="","Sem anexo: tributação integral",INDEX('Referência LC 214'!$H$6:$H$967,U21)))</f>
        <v/>
      </c>
      <c r="J21" s="29" t="str">
        <f aca="false">IF(T21="","",IF(U21="",0,INDEX('Referência LC 214'!$K$6:$K$967,U21)))</f>
        <v/>
      </c>
      <c r="K21" s="28" t="str">
        <f aca="false">IF(OR(T21="",U21=""),"","Anexo "&amp;INDEX('Referência LC 214'!$E$6:$E$967,U21)&amp;", item "&amp;INDEX('Referência LC 214'!$F$6:$F$967,U21)&amp;": "&amp;INDEX('Referência LC 214'!$G$6:$G$967,U21))</f>
        <v/>
      </c>
      <c r="L21" s="28" t="str">
        <f aca="false">IF(OR(T21="",U21=""),"",IF(INDEX('Referência LC 214'!$L$6:$L$967,U21)&amp;""&lt;&gt;"",INDEX('Referência LC 214'!$L$6:$L$967,U21)&amp;"",IF(SUMPRODUCT((LEFT(T21,LEN('Referência LC 214'!$N$6:$N$967))='Referência LC 214'!$N$6:$N$967)*('Referência LC 214'!$L$6:$L$967&lt;&gt;""))&gt;0,"Há outro tratamento só para alguns compradores (ex.: órgão público/SUS) — veja a referência","")))</f>
        <v/>
      </c>
      <c r="M21" s="30" t="str">
        <f aca="false">IF(T21="","",IF(AND(C21&lt;&gt;"Serviço",LEN(T21)-1&lt;&gt;8),"NCM deve ter 8 dígitos",IF(AND(C21="Serviço",LEN(T21)-1&lt;&gt;9),"NBS deve ter 9 dígitos",IF(L21&lt;&gt;"","Benefício depende do comprador: confira a coluna N",IF(G21&gt;1,"Mais de uma regra: confira o item do anexo na referência",IF(G21=0,"Sem redução na LC 214","Confira se o produto é o descrito no item"))))))</f>
        <v/>
      </c>
      <c r="N21" s="25"/>
      <c r="O21" s="23"/>
      <c r="P21" s="25"/>
      <c r="Q21" s="25"/>
      <c r="R21" s="31"/>
      <c r="S21" s="24"/>
      <c r="T21" s="4" t="str">
        <f aca="false">IF(D21="","",IF(C21="Serviço","S","P")&amp;SUBSTITUTE(SUBSTITUTE(SUBSTITUTE(D21,".",""),"-","")," ",""))</f>
        <v/>
      </c>
      <c r="U21" s="4" t="str">
        <f aca="false">IF(T21="","",IFERROR(MATCH(LEFT(T21,10),'Referência LC 214'!$N$6:$N$967,0),IFERROR(MATCH(LEFT(T21,9),'Referência LC 214'!$N$6:$N$967,0),IFERROR(MATCH(LEFT(T21,8),'Referência LC 214'!$N$6:$N$967,0),IFERROR(MATCH(LEFT(T21,7),'Referência LC 214'!$N$6:$N$967,0),IFERROR(MATCH(LEFT(T21,6),'Referência LC 214'!$N$6:$N$967,0),IFERROR(MATCH(LEFT(T21,5),'Referência LC 214'!$N$6:$N$967,0),IFERROR(MATCH(LEFT(T21,4),'Referência LC 214'!$N$6:$N$967,0),IFERROR(MATCH(LEFT(T21,3),'Referência LC 214'!$N$6:$N$967,0),"")))))))))</f>
        <v/>
      </c>
    </row>
    <row r="22" customFormat="false" ht="15" hidden="false" customHeight="false" outlineLevel="0" collapsed="false">
      <c r="A22" s="23"/>
      <c r="B22" s="24"/>
      <c r="C22" s="25"/>
      <c r="D22" s="23"/>
      <c r="E22" s="23"/>
      <c r="F22" s="25"/>
      <c r="G22" s="26" t="str">
        <f aca="false">IF(T22="","",SUMPRODUCT(--(LEFT(T22,LEN('Referência LC 214'!$N$6:$N$967))='Referência LC 214'!$N$6:$N$967)))</f>
        <v/>
      </c>
      <c r="H22" s="27" t="str">
        <f aca="false">IF(T22="","",IF(U22="","000001",INDEX('Referência LC 214'!$I$6:$I$967,U22)))</f>
        <v/>
      </c>
      <c r="I22" s="28" t="str">
        <f aca="false">IF(T22="","",IF(U22="","Sem anexo: tributação integral",INDEX('Referência LC 214'!$H$6:$H$967,U22)))</f>
        <v/>
      </c>
      <c r="J22" s="29" t="str">
        <f aca="false">IF(T22="","",IF(U22="",0,INDEX('Referência LC 214'!$K$6:$K$967,U22)))</f>
        <v/>
      </c>
      <c r="K22" s="28" t="str">
        <f aca="false">IF(OR(T22="",U22=""),"","Anexo "&amp;INDEX('Referência LC 214'!$E$6:$E$967,U22)&amp;", item "&amp;INDEX('Referência LC 214'!$F$6:$F$967,U22)&amp;": "&amp;INDEX('Referência LC 214'!$G$6:$G$967,U22))</f>
        <v/>
      </c>
      <c r="L22" s="28" t="str">
        <f aca="false">IF(OR(T22="",U22=""),"",IF(INDEX('Referência LC 214'!$L$6:$L$967,U22)&amp;""&lt;&gt;"",INDEX('Referência LC 214'!$L$6:$L$967,U22)&amp;"",IF(SUMPRODUCT((LEFT(T22,LEN('Referência LC 214'!$N$6:$N$967))='Referência LC 214'!$N$6:$N$967)*('Referência LC 214'!$L$6:$L$967&lt;&gt;""))&gt;0,"Há outro tratamento só para alguns compradores (ex.: órgão público/SUS) — veja a referência","")))</f>
        <v/>
      </c>
      <c r="M22" s="30" t="str">
        <f aca="false">IF(T22="","",IF(AND(C22&lt;&gt;"Serviço",LEN(T22)-1&lt;&gt;8),"NCM deve ter 8 dígitos",IF(AND(C22="Serviço",LEN(T22)-1&lt;&gt;9),"NBS deve ter 9 dígitos",IF(L22&lt;&gt;"","Benefício depende do comprador: confira a coluna N",IF(G22&gt;1,"Mais de uma regra: confira o item do anexo na referência",IF(G22=0,"Sem redução na LC 214","Confira se o produto é o descrito no item"))))))</f>
        <v/>
      </c>
      <c r="N22" s="25"/>
      <c r="O22" s="23"/>
      <c r="P22" s="25"/>
      <c r="Q22" s="25"/>
      <c r="R22" s="31"/>
      <c r="S22" s="24"/>
      <c r="T22" s="4" t="str">
        <f aca="false">IF(D22="","",IF(C22="Serviço","S","P")&amp;SUBSTITUTE(SUBSTITUTE(SUBSTITUTE(D22,".",""),"-","")," ",""))</f>
        <v/>
      </c>
      <c r="U22" s="4" t="str">
        <f aca="false">IF(T22="","",IFERROR(MATCH(LEFT(T22,10),'Referência LC 214'!$N$6:$N$967,0),IFERROR(MATCH(LEFT(T22,9),'Referência LC 214'!$N$6:$N$967,0),IFERROR(MATCH(LEFT(T22,8),'Referência LC 214'!$N$6:$N$967,0),IFERROR(MATCH(LEFT(T22,7),'Referência LC 214'!$N$6:$N$967,0),IFERROR(MATCH(LEFT(T22,6),'Referência LC 214'!$N$6:$N$967,0),IFERROR(MATCH(LEFT(T22,5),'Referência LC 214'!$N$6:$N$967,0),IFERROR(MATCH(LEFT(T22,4),'Referência LC 214'!$N$6:$N$967,0),IFERROR(MATCH(LEFT(T22,3),'Referência LC 214'!$N$6:$N$967,0),"")))))))))</f>
        <v/>
      </c>
    </row>
    <row r="23" customFormat="false" ht="15" hidden="false" customHeight="false" outlineLevel="0" collapsed="false">
      <c r="A23" s="23"/>
      <c r="B23" s="24"/>
      <c r="C23" s="25"/>
      <c r="D23" s="23"/>
      <c r="E23" s="23"/>
      <c r="F23" s="25"/>
      <c r="G23" s="26" t="str">
        <f aca="false">IF(T23="","",SUMPRODUCT(--(LEFT(T23,LEN('Referência LC 214'!$N$6:$N$967))='Referência LC 214'!$N$6:$N$967)))</f>
        <v/>
      </c>
      <c r="H23" s="27" t="str">
        <f aca="false">IF(T23="","",IF(U23="","000001",INDEX('Referência LC 214'!$I$6:$I$967,U23)))</f>
        <v/>
      </c>
      <c r="I23" s="28" t="str">
        <f aca="false">IF(T23="","",IF(U23="","Sem anexo: tributação integral",INDEX('Referência LC 214'!$H$6:$H$967,U23)))</f>
        <v/>
      </c>
      <c r="J23" s="29" t="str">
        <f aca="false">IF(T23="","",IF(U23="",0,INDEX('Referência LC 214'!$K$6:$K$967,U23)))</f>
        <v/>
      </c>
      <c r="K23" s="28" t="str">
        <f aca="false">IF(OR(T23="",U23=""),"","Anexo "&amp;INDEX('Referência LC 214'!$E$6:$E$967,U23)&amp;", item "&amp;INDEX('Referência LC 214'!$F$6:$F$967,U23)&amp;": "&amp;INDEX('Referência LC 214'!$G$6:$G$967,U23))</f>
        <v/>
      </c>
      <c r="L23" s="28" t="str">
        <f aca="false">IF(OR(T23="",U23=""),"",IF(INDEX('Referência LC 214'!$L$6:$L$967,U23)&amp;""&lt;&gt;"",INDEX('Referência LC 214'!$L$6:$L$967,U23)&amp;"",IF(SUMPRODUCT((LEFT(T23,LEN('Referência LC 214'!$N$6:$N$967))='Referência LC 214'!$N$6:$N$967)*('Referência LC 214'!$L$6:$L$967&lt;&gt;""))&gt;0,"Há outro tratamento só para alguns compradores (ex.: órgão público/SUS) — veja a referência","")))</f>
        <v/>
      </c>
      <c r="M23" s="30" t="str">
        <f aca="false">IF(T23="","",IF(AND(C23&lt;&gt;"Serviço",LEN(T23)-1&lt;&gt;8),"NCM deve ter 8 dígitos",IF(AND(C23="Serviço",LEN(T23)-1&lt;&gt;9),"NBS deve ter 9 dígitos",IF(L23&lt;&gt;"","Benefício depende do comprador: confira a coluna N",IF(G23&gt;1,"Mais de uma regra: confira o item do anexo na referência",IF(G23=0,"Sem redução na LC 214","Confira se o produto é o descrito no item"))))))</f>
        <v/>
      </c>
      <c r="N23" s="25"/>
      <c r="O23" s="23"/>
      <c r="P23" s="25"/>
      <c r="Q23" s="25"/>
      <c r="R23" s="31"/>
      <c r="S23" s="24"/>
      <c r="T23" s="4" t="str">
        <f aca="false">IF(D23="","",IF(C23="Serviço","S","P")&amp;SUBSTITUTE(SUBSTITUTE(SUBSTITUTE(D23,".",""),"-","")," ",""))</f>
        <v/>
      </c>
      <c r="U23" s="4" t="str">
        <f aca="false">IF(T23="","",IFERROR(MATCH(LEFT(T23,10),'Referência LC 214'!$N$6:$N$967,0),IFERROR(MATCH(LEFT(T23,9),'Referência LC 214'!$N$6:$N$967,0),IFERROR(MATCH(LEFT(T23,8),'Referência LC 214'!$N$6:$N$967,0),IFERROR(MATCH(LEFT(T23,7),'Referência LC 214'!$N$6:$N$967,0),IFERROR(MATCH(LEFT(T23,6),'Referência LC 214'!$N$6:$N$967,0),IFERROR(MATCH(LEFT(T23,5),'Referência LC 214'!$N$6:$N$967,0),IFERROR(MATCH(LEFT(T23,4),'Referência LC 214'!$N$6:$N$967,0),IFERROR(MATCH(LEFT(T23,3),'Referência LC 214'!$N$6:$N$967,0),"")))))))))</f>
        <v/>
      </c>
    </row>
    <row r="24" customFormat="false" ht="15" hidden="false" customHeight="false" outlineLevel="0" collapsed="false">
      <c r="A24" s="23"/>
      <c r="B24" s="24"/>
      <c r="C24" s="25"/>
      <c r="D24" s="23"/>
      <c r="E24" s="23"/>
      <c r="F24" s="25"/>
      <c r="G24" s="26" t="str">
        <f aca="false">IF(T24="","",SUMPRODUCT(--(LEFT(T24,LEN('Referência LC 214'!$N$6:$N$967))='Referência LC 214'!$N$6:$N$967)))</f>
        <v/>
      </c>
      <c r="H24" s="27" t="str">
        <f aca="false">IF(T24="","",IF(U24="","000001",INDEX('Referência LC 214'!$I$6:$I$967,U24)))</f>
        <v/>
      </c>
      <c r="I24" s="28" t="str">
        <f aca="false">IF(T24="","",IF(U24="","Sem anexo: tributação integral",INDEX('Referência LC 214'!$H$6:$H$967,U24)))</f>
        <v/>
      </c>
      <c r="J24" s="29" t="str">
        <f aca="false">IF(T24="","",IF(U24="",0,INDEX('Referência LC 214'!$K$6:$K$967,U24)))</f>
        <v/>
      </c>
      <c r="K24" s="28" t="str">
        <f aca="false">IF(OR(T24="",U24=""),"","Anexo "&amp;INDEX('Referência LC 214'!$E$6:$E$967,U24)&amp;", item "&amp;INDEX('Referência LC 214'!$F$6:$F$967,U24)&amp;": "&amp;INDEX('Referência LC 214'!$G$6:$G$967,U24))</f>
        <v/>
      </c>
      <c r="L24" s="28" t="str">
        <f aca="false">IF(OR(T24="",U24=""),"",IF(INDEX('Referência LC 214'!$L$6:$L$967,U24)&amp;""&lt;&gt;"",INDEX('Referência LC 214'!$L$6:$L$967,U24)&amp;"",IF(SUMPRODUCT((LEFT(T24,LEN('Referência LC 214'!$N$6:$N$967))='Referência LC 214'!$N$6:$N$967)*('Referência LC 214'!$L$6:$L$967&lt;&gt;""))&gt;0,"Há outro tratamento só para alguns compradores (ex.: órgão público/SUS) — veja a referência","")))</f>
        <v/>
      </c>
      <c r="M24" s="30" t="str">
        <f aca="false">IF(T24="","",IF(AND(C24&lt;&gt;"Serviço",LEN(T24)-1&lt;&gt;8),"NCM deve ter 8 dígitos",IF(AND(C24="Serviço",LEN(T24)-1&lt;&gt;9),"NBS deve ter 9 dígitos",IF(L24&lt;&gt;"","Benefício depende do comprador: confira a coluna N",IF(G24&gt;1,"Mais de uma regra: confira o item do anexo na referência",IF(G24=0,"Sem redução na LC 214","Confira se o produto é o descrito no item"))))))</f>
        <v/>
      </c>
      <c r="N24" s="25"/>
      <c r="O24" s="23"/>
      <c r="P24" s="25"/>
      <c r="Q24" s="25"/>
      <c r="R24" s="31"/>
      <c r="S24" s="24"/>
      <c r="T24" s="4" t="str">
        <f aca="false">IF(D24="","",IF(C24="Serviço","S","P")&amp;SUBSTITUTE(SUBSTITUTE(SUBSTITUTE(D24,".",""),"-","")," ",""))</f>
        <v/>
      </c>
      <c r="U24" s="4" t="str">
        <f aca="false">IF(T24="","",IFERROR(MATCH(LEFT(T24,10),'Referência LC 214'!$N$6:$N$967,0),IFERROR(MATCH(LEFT(T24,9),'Referência LC 214'!$N$6:$N$967,0),IFERROR(MATCH(LEFT(T24,8),'Referência LC 214'!$N$6:$N$967,0),IFERROR(MATCH(LEFT(T24,7),'Referência LC 214'!$N$6:$N$967,0),IFERROR(MATCH(LEFT(T24,6),'Referência LC 214'!$N$6:$N$967,0),IFERROR(MATCH(LEFT(T24,5),'Referência LC 214'!$N$6:$N$967,0),IFERROR(MATCH(LEFT(T24,4),'Referência LC 214'!$N$6:$N$967,0),IFERROR(MATCH(LEFT(T24,3),'Referência LC 214'!$N$6:$N$967,0),"")))))))))</f>
        <v/>
      </c>
    </row>
    <row r="25" customFormat="false" ht="15" hidden="false" customHeight="false" outlineLevel="0" collapsed="false">
      <c r="A25" s="23"/>
      <c r="B25" s="24"/>
      <c r="C25" s="25"/>
      <c r="D25" s="23"/>
      <c r="E25" s="23"/>
      <c r="F25" s="25"/>
      <c r="G25" s="26" t="str">
        <f aca="false">IF(T25="","",SUMPRODUCT(--(LEFT(T25,LEN('Referência LC 214'!$N$6:$N$967))='Referência LC 214'!$N$6:$N$967)))</f>
        <v/>
      </c>
      <c r="H25" s="27" t="str">
        <f aca="false">IF(T25="","",IF(U25="","000001",INDEX('Referência LC 214'!$I$6:$I$967,U25)))</f>
        <v/>
      </c>
      <c r="I25" s="28" t="str">
        <f aca="false">IF(T25="","",IF(U25="","Sem anexo: tributação integral",INDEX('Referência LC 214'!$H$6:$H$967,U25)))</f>
        <v/>
      </c>
      <c r="J25" s="29" t="str">
        <f aca="false">IF(T25="","",IF(U25="",0,INDEX('Referência LC 214'!$K$6:$K$967,U25)))</f>
        <v/>
      </c>
      <c r="K25" s="28" t="str">
        <f aca="false">IF(OR(T25="",U25=""),"","Anexo "&amp;INDEX('Referência LC 214'!$E$6:$E$967,U25)&amp;", item "&amp;INDEX('Referência LC 214'!$F$6:$F$967,U25)&amp;": "&amp;INDEX('Referência LC 214'!$G$6:$G$967,U25))</f>
        <v/>
      </c>
      <c r="L25" s="28" t="str">
        <f aca="false">IF(OR(T25="",U25=""),"",IF(INDEX('Referência LC 214'!$L$6:$L$967,U25)&amp;""&lt;&gt;"",INDEX('Referência LC 214'!$L$6:$L$967,U25)&amp;"",IF(SUMPRODUCT((LEFT(T25,LEN('Referência LC 214'!$N$6:$N$967))='Referência LC 214'!$N$6:$N$967)*('Referência LC 214'!$L$6:$L$967&lt;&gt;""))&gt;0,"Há outro tratamento só para alguns compradores (ex.: órgão público/SUS) — veja a referência","")))</f>
        <v/>
      </c>
      <c r="M25" s="30" t="str">
        <f aca="false">IF(T25="","",IF(AND(C25&lt;&gt;"Serviço",LEN(T25)-1&lt;&gt;8),"NCM deve ter 8 dígitos",IF(AND(C25="Serviço",LEN(T25)-1&lt;&gt;9),"NBS deve ter 9 dígitos",IF(L25&lt;&gt;"","Benefício depende do comprador: confira a coluna N",IF(G25&gt;1,"Mais de uma regra: confira o item do anexo na referência",IF(G25=0,"Sem redução na LC 214","Confira se o produto é o descrito no item"))))))</f>
        <v/>
      </c>
      <c r="N25" s="25"/>
      <c r="O25" s="23"/>
      <c r="P25" s="25"/>
      <c r="Q25" s="25"/>
      <c r="R25" s="31"/>
      <c r="S25" s="24"/>
      <c r="T25" s="4" t="str">
        <f aca="false">IF(D25="","",IF(C25="Serviço","S","P")&amp;SUBSTITUTE(SUBSTITUTE(SUBSTITUTE(D25,".",""),"-","")," ",""))</f>
        <v/>
      </c>
      <c r="U25" s="4" t="str">
        <f aca="false">IF(T25="","",IFERROR(MATCH(LEFT(T25,10),'Referência LC 214'!$N$6:$N$967,0),IFERROR(MATCH(LEFT(T25,9),'Referência LC 214'!$N$6:$N$967,0),IFERROR(MATCH(LEFT(T25,8),'Referência LC 214'!$N$6:$N$967,0),IFERROR(MATCH(LEFT(T25,7),'Referência LC 214'!$N$6:$N$967,0),IFERROR(MATCH(LEFT(T25,6),'Referência LC 214'!$N$6:$N$967,0),IFERROR(MATCH(LEFT(T25,5),'Referência LC 214'!$N$6:$N$967,0),IFERROR(MATCH(LEFT(T25,4),'Referência LC 214'!$N$6:$N$967,0),IFERROR(MATCH(LEFT(T25,3),'Referência LC 214'!$N$6:$N$967,0),"")))))))))</f>
        <v/>
      </c>
    </row>
    <row r="26" customFormat="false" ht="15" hidden="false" customHeight="false" outlineLevel="0" collapsed="false">
      <c r="A26" s="23"/>
      <c r="B26" s="24"/>
      <c r="C26" s="25"/>
      <c r="D26" s="23"/>
      <c r="E26" s="23"/>
      <c r="F26" s="25"/>
      <c r="G26" s="26" t="str">
        <f aca="false">IF(T26="","",SUMPRODUCT(--(LEFT(T26,LEN('Referência LC 214'!$N$6:$N$967))='Referência LC 214'!$N$6:$N$967)))</f>
        <v/>
      </c>
      <c r="H26" s="27" t="str">
        <f aca="false">IF(T26="","",IF(U26="","000001",INDEX('Referência LC 214'!$I$6:$I$967,U26)))</f>
        <v/>
      </c>
      <c r="I26" s="28" t="str">
        <f aca="false">IF(T26="","",IF(U26="","Sem anexo: tributação integral",INDEX('Referência LC 214'!$H$6:$H$967,U26)))</f>
        <v/>
      </c>
      <c r="J26" s="29" t="str">
        <f aca="false">IF(T26="","",IF(U26="",0,INDEX('Referência LC 214'!$K$6:$K$967,U26)))</f>
        <v/>
      </c>
      <c r="K26" s="28" t="str">
        <f aca="false">IF(OR(T26="",U26=""),"","Anexo "&amp;INDEX('Referência LC 214'!$E$6:$E$967,U26)&amp;", item "&amp;INDEX('Referência LC 214'!$F$6:$F$967,U26)&amp;": "&amp;INDEX('Referência LC 214'!$G$6:$G$967,U26))</f>
        <v/>
      </c>
      <c r="L26" s="28" t="str">
        <f aca="false">IF(OR(T26="",U26=""),"",IF(INDEX('Referência LC 214'!$L$6:$L$967,U26)&amp;""&lt;&gt;"",INDEX('Referência LC 214'!$L$6:$L$967,U26)&amp;"",IF(SUMPRODUCT((LEFT(T26,LEN('Referência LC 214'!$N$6:$N$967))='Referência LC 214'!$N$6:$N$967)*('Referência LC 214'!$L$6:$L$967&lt;&gt;""))&gt;0,"Há outro tratamento só para alguns compradores (ex.: órgão público/SUS) — veja a referência","")))</f>
        <v/>
      </c>
      <c r="M26" s="30" t="str">
        <f aca="false">IF(T26="","",IF(AND(C26&lt;&gt;"Serviço",LEN(T26)-1&lt;&gt;8),"NCM deve ter 8 dígitos",IF(AND(C26="Serviço",LEN(T26)-1&lt;&gt;9),"NBS deve ter 9 dígitos",IF(L26&lt;&gt;"","Benefício depende do comprador: confira a coluna N",IF(G26&gt;1,"Mais de uma regra: confira o item do anexo na referência",IF(G26=0,"Sem redução na LC 214","Confira se o produto é o descrito no item"))))))</f>
        <v/>
      </c>
      <c r="N26" s="25"/>
      <c r="O26" s="23"/>
      <c r="P26" s="25"/>
      <c r="Q26" s="25"/>
      <c r="R26" s="31"/>
      <c r="S26" s="24"/>
      <c r="T26" s="4" t="str">
        <f aca="false">IF(D26="","",IF(C26="Serviço","S","P")&amp;SUBSTITUTE(SUBSTITUTE(SUBSTITUTE(D26,".",""),"-","")," ",""))</f>
        <v/>
      </c>
      <c r="U26" s="4" t="str">
        <f aca="false">IF(T26="","",IFERROR(MATCH(LEFT(T26,10),'Referência LC 214'!$N$6:$N$967,0),IFERROR(MATCH(LEFT(T26,9),'Referência LC 214'!$N$6:$N$967,0),IFERROR(MATCH(LEFT(T26,8),'Referência LC 214'!$N$6:$N$967,0),IFERROR(MATCH(LEFT(T26,7),'Referência LC 214'!$N$6:$N$967,0),IFERROR(MATCH(LEFT(T26,6),'Referência LC 214'!$N$6:$N$967,0),IFERROR(MATCH(LEFT(T26,5),'Referência LC 214'!$N$6:$N$967,0),IFERROR(MATCH(LEFT(T26,4),'Referência LC 214'!$N$6:$N$967,0),IFERROR(MATCH(LEFT(T26,3),'Referência LC 214'!$N$6:$N$967,0),"")))))))))</f>
        <v/>
      </c>
    </row>
    <row r="27" customFormat="false" ht="15" hidden="false" customHeight="false" outlineLevel="0" collapsed="false">
      <c r="A27" s="23"/>
      <c r="B27" s="24"/>
      <c r="C27" s="25"/>
      <c r="D27" s="23"/>
      <c r="E27" s="23"/>
      <c r="F27" s="25"/>
      <c r="G27" s="26" t="str">
        <f aca="false">IF(T27="","",SUMPRODUCT(--(LEFT(T27,LEN('Referência LC 214'!$N$6:$N$967))='Referência LC 214'!$N$6:$N$967)))</f>
        <v/>
      </c>
      <c r="H27" s="27" t="str">
        <f aca="false">IF(T27="","",IF(U27="","000001",INDEX('Referência LC 214'!$I$6:$I$967,U27)))</f>
        <v/>
      </c>
      <c r="I27" s="28" t="str">
        <f aca="false">IF(T27="","",IF(U27="","Sem anexo: tributação integral",INDEX('Referência LC 214'!$H$6:$H$967,U27)))</f>
        <v/>
      </c>
      <c r="J27" s="29" t="str">
        <f aca="false">IF(T27="","",IF(U27="",0,INDEX('Referência LC 214'!$K$6:$K$967,U27)))</f>
        <v/>
      </c>
      <c r="K27" s="28" t="str">
        <f aca="false">IF(OR(T27="",U27=""),"","Anexo "&amp;INDEX('Referência LC 214'!$E$6:$E$967,U27)&amp;", item "&amp;INDEX('Referência LC 214'!$F$6:$F$967,U27)&amp;": "&amp;INDEX('Referência LC 214'!$G$6:$G$967,U27))</f>
        <v/>
      </c>
      <c r="L27" s="28" t="str">
        <f aca="false">IF(OR(T27="",U27=""),"",IF(INDEX('Referência LC 214'!$L$6:$L$967,U27)&amp;""&lt;&gt;"",INDEX('Referência LC 214'!$L$6:$L$967,U27)&amp;"",IF(SUMPRODUCT((LEFT(T27,LEN('Referência LC 214'!$N$6:$N$967))='Referência LC 214'!$N$6:$N$967)*('Referência LC 214'!$L$6:$L$967&lt;&gt;""))&gt;0,"Há outro tratamento só para alguns compradores (ex.: órgão público/SUS) — veja a referência","")))</f>
        <v/>
      </c>
      <c r="M27" s="30" t="str">
        <f aca="false">IF(T27="","",IF(AND(C27&lt;&gt;"Serviço",LEN(T27)-1&lt;&gt;8),"NCM deve ter 8 dígitos",IF(AND(C27="Serviço",LEN(T27)-1&lt;&gt;9),"NBS deve ter 9 dígitos",IF(L27&lt;&gt;"","Benefício depende do comprador: confira a coluna N",IF(G27&gt;1,"Mais de uma regra: confira o item do anexo na referência",IF(G27=0,"Sem redução na LC 214","Confira se o produto é o descrito no item"))))))</f>
        <v/>
      </c>
      <c r="N27" s="25"/>
      <c r="O27" s="23"/>
      <c r="P27" s="25"/>
      <c r="Q27" s="25"/>
      <c r="R27" s="31"/>
      <c r="S27" s="24"/>
      <c r="T27" s="4" t="str">
        <f aca="false">IF(D27="","",IF(C27="Serviço","S","P")&amp;SUBSTITUTE(SUBSTITUTE(SUBSTITUTE(D27,".",""),"-","")," ",""))</f>
        <v/>
      </c>
      <c r="U27" s="4" t="str">
        <f aca="false">IF(T27="","",IFERROR(MATCH(LEFT(T27,10),'Referência LC 214'!$N$6:$N$967,0),IFERROR(MATCH(LEFT(T27,9),'Referência LC 214'!$N$6:$N$967,0),IFERROR(MATCH(LEFT(T27,8),'Referência LC 214'!$N$6:$N$967,0),IFERROR(MATCH(LEFT(T27,7),'Referência LC 214'!$N$6:$N$967,0),IFERROR(MATCH(LEFT(T27,6),'Referência LC 214'!$N$6:$N$967,0),IFERROR(MATCH(LEFT(T27,5),'Referência LC 214'!$N$6:$N$967,0),IFERROR(MATCH(LEFT(T27,4),'Referência LC 214'!$N$6:$N$967,0),IFERROR(MATCH(LEFT(T27,3),'Referência LC 214'!$N$6:$N$967,0),"")))))))))</f>
        <v/>
      </c>
    </row>
    <row r="28" customFormat="false" ht="15" hidden="false" customHeight="false" outlineLevel="0" collapsed="false">
      <c r="A28" s="23"/>
      <c r="B28" s="24"/>
      <c r="C28" s="25"/>
      <c r="D28" s="23"/>
      <c r="E28" s="23"/>
      <c r="F28" s="25"/>
      <c r="G28" s="26" t="str">
        <f aca="false">IF(T28="","",SUMPRODUCT(--(LEFT(T28,LEN('Referência LC 214'!$N$6:$N$967))='Referência LC 214'!$N$6:$N$967)))</f>
        <v/>
      </c>
      <c r="H28" s="27" t="str">
        <f aca="false">IF(T28="","",IF(U28="","000001",INDEX('Referência LC 214'!$I$6:$I$967,U28)))</f>
        <v/>
      </c>
      <c r="I28" s="28" t="str">
        <f aca="false">IF(T28="","",IF(U28="","Sem anexo: tributação integral",INDEX('Referência LC 214'!$H$6:$H$967,U28)))</f>
        <v/>
      </c>
      <c r="J28" s="29" t="str">
        <f aca="false">IF(T28="","",IF(U28="",0,INDEX('Referência LC 214'!$K$6:$K$967,U28)))</f>
        <v/>
      </c>
      <c r="K28" s="28" t="str">
        <f aca="false">IF(OR(T28="",U28=""),"","Anexo "&amp;INDEX('Referência LC 214'!$E$6:$E$967,U28)&amp;", item "&amp;INDEX('Referência LC 214'!$F$6:$F$967,U28)&amp;": "&amp;INDEX('Referência LC 214'!$G$6:$G$967,U28))</f>
        <v/>
      </c>
      <c r="L28" s="28" t="str">
        <f aca="false">IF(OR(T28="",U28=""),"",IF(INDEX('Referência LC 214'!$L$6:$L$967,U28)&amp;""&lt;&gt;"",INDEX('Referência LC 214'!$L$6:$L$967,U28)&amp;"",IF(SUMPRODUCT((LEFT(T28,LEN('Referência LC 214'!$N$6:$N$967))='Referência LC 214'!$N$6:$N$967)*('Referência LC 214'!$L$6:$L$967&lt;&gt;""))&gt;0,"Há outro tratamento só para alguns compradores (ex.: órgão público/SUS) — veja a referência","")))</f>
        <v/>
      </c>
      <c r="M28" s="30" t="str">
        <f aca="false">IF(T28="","",IF(AND(C28&lt;&gt;"Serviço",LEN(T28)-1&lt;&gt;8),"NCM deve ter 8 dígitos",IF(AND(C28="Serviço",LEN(T28)-1&lt;&gt;9),"NBS deve ter 9 dígitos",IF(L28&lt;&gt;"","Benefício depende do comprador: confira a coluna N",IF(G28&gt;1,"Mais de uma regra: confira o item do anexo na referência",IF(G28=0,"Sem redução na LC 214","Confira se o produto é o descrito no item"))))))</f>
        <v/>
      </c>
      <c r="N28" s="25"/>
      <c r="O28" s="23"/>
      <c r="P28" s="25"/>
      <c r="Q28" s="25"/>
      <c r="R28" s="31"/>
      <c r="S28" s="24"/>
      <c r="T28" s="4" t="str">
        <f aca="false">IF(D28="","",IF(C28="Serviço","S","P")&amp;SUBSTITUTE(SUBSTITUTE(SUBSTITUTE(D28,".",""),"-","")," ",""))</f>
        <v/>
      </c>
      <c r="U28" s="4" t="str">
        <f aca="false">IF(T28="","",IFERROR(MATCH(LEFT(T28,10),'Referência LC 214'!$N$6:$N$967,0),IFERROR(MATCH(LEFT(T28,9),'Referência LC 214'!$N$6:$N$967,0),IFERROR(MATCH(LEFT(T28,8),'Referência LC 214'!$N$6:$N$967,0),IFERROR(MATCH(LEFT(T28,7),'Referência LC 214'!$N$6:$N$967,0),IFERROR(MATCH(LEFT(T28,6),'Referência LC 214'!$N$6:$N$967,0),IFERROR(MATCH(LEFT(T28,5),'Referência LC 214'!$N$6:$N$967,0),IFERROR(MATCH(LEFT(T28,4),'Referência LC 214'!$N$6:$N$967,0),IFERROR(MATCH(LEFT(T28,3),'Referência LC 214'!$N$6:$N$967,0),"")))))))))</f>
        <v/>
      </c>
    </row>
    <row r="29" customFormat="false" ht="15" hidden="false" customHeight="false" outlineLevel="0" collapsed="false">
      <c r="A29" s="23"/>
      <c r="B29" s="24"/>
      <c r="C29" s="25"/>
      <c r="D29" s="23"/>
      <c r="E29" s="23"/>
      <c r="F29" s="25"/>
      <c r="G29" s="26" t="str">
        <f aca="false">IF(T29="","",SUMPRODUCT(--(LEFT(T29,LEN('Referência LC 214'!$N$6:$N$967))='Referência LC 214'!$N$6:$N$967)))</f>
        <v/>
      </c>
      <c r="H29" s="27" t="str">
        <f aca="false">IF(T29="","",IF(U29="","000001",INDEX('Referência LC 214'!$I$6:$I$967,U29)))</f>
        <v/>
      </c>
      <c r="I29" s="28" t="str">
        <f aca="false">IF(T29="","",IF(U29="","Sem anexo: tributação integral",INDEX('Referência LC 214'!$H$6:$H$967,U29)))</f>
        <v/>
      </c>
      <c r="J29" s="29" t="str">
        <f aca="false">IF(T29="","",IF(U29="",0,INDEX('Referência LC 214'!$K$6:$K$967,U29)))</f>
        <v/>
      </c>
      <c r="K29" s="28" t="str">
        <f aca="false">IF(OR(T29="",U29=""),"","Anexo "&amp;INDEX('Referência LC 214'!$E$6:$E$967,U29)&amp;", item "&amp;INDEX('Referência LC 214'!$F$6:$F$967,U29)&amp;": "&amp;INDEX('Referência LC 214'!$G$6:$G$967,U29))</f>
        <v/>
      </c>
      <c r="L29" s="28" t="str">
        <f aca="false">IF(OR(T29="",U29=""),"",IF(INDEX('Referência LC 214'!$L$6:$L$967,U29)&amp;""&lt;&gt;"",INDEX('Referência LC 214'!$L$6:$L$967,U29)&amp;"",IF(SUMPRODUCT((LEFT(T29,LEN('Referência LC 214'!$N$6:$N$967))='Referência LC 214'!$N$6:$N$967)*('Referência LC 214'!$L$6:$L$967&lt;&gt;""))&gt;0,"Há outro tratamento só para alguns compradores (ex.: órgão público/SUS) — veja a referência","")))</f>
        <v/>
      </c>
      <c r="M29" s="30" t="str">
        <f aca="false">IF(T29="","",IF(AND(C29&lt;&gt;"Serviço",LEN(T29)-1&lt;&gt;8),"NCM deve ter 8 dígitos",IF(AND(C29="Serviço",LEN(T29)-1&lt;&gt;9),"NBS deve ter 9 dígitos",IF(L29&lt;&gt;"","Benefício depende do comprador: confira a coluna N",IF(G29&gt;1,"Mais de uma regra: confira o item do anexo na referência",IF(G29=0,"Sem redução na LC 214","Confira se o produto é o descrito no item"))))))</f>
        <v/>
      </c>
      <c r="N29" s="25"/>
      <c r="O29" s="23"/>
      <c r="P29" s="25"/>
      <c r="Q29" s="25"/>
      <c r="R29" s="31"/>
      <c r="S29" s="24"/>
      <c r="T29" s="4" t="str">
        <f aca="false">IF(D29="","",IF(C29="Serviço","S","P")&amp;SUBSTITUTE(SUBSTITUTE(SUBSTITUTE(D29,".",""),"-","")," ",""))</f>
        <v/>
      </c>
      <c r="U29" s="4" t="str">
        <f aca="false">IF(T29="","",IFERROR(MATCH(LEFT(T29,10),'Referência LC 214'!$N$6:$N$967,0),IFERROR(MATCH(LEFT(T29,9),'Referência LC 214'!$N$6:$N$967,0),IFERROR(MATCH(LEFT(T29,8),'Referência LC 214'!$N$6:$N$967,0),IFERROR(MATCH(LEFT(T29,7),'Referência LC 214'!$N$6:$N$967,0),IFERROR(MATCH(LEFT(T29,6),'Referência LC 214'!$N$6:$N$967,0),IFERROR(MATCH(LEFT(T29,5),'Referência LC 214'!$N$6:$N$967,0),IFERROR(MATCH(LEFT(T29,4),'Referência LC 214'!$N$6:$N$967,0),IFERROR(MATCH(LEFT(T29,3),'Referência LC 214'!$N$6:$N$967,0),"")))))))))</f>
        <v/>
      </c>
    </row>
    <row r="30" customFormat="false" ht="15" hidden="false" customHeight="false" outlineLevel="0" collapsed="false">
      <c r="A30" s="23"/>
      <c r="B30" s="24"/>
      <c r="C30" s="25"/>
      <c r="D30" s="23"/>
      <c r="E30" s="23"/>
      <c r="F30" s="25"/>
      <c r="G30" s="26" t="str">
        <f aca="false">IF(T30="","",SUMPRODUCT(--(LEFT(T30,LEN('Referência LC 214'!$N$6:$N$967))='Referência LC 214'!$N$6:$N$967)))</f>
        <v/>
      </c>
      <c r="H30" s="27" t="str">
        <f aca="false">IF(T30="","",IF(U30="","000001",INDEX('Referência LC 214'!$I$6:$I$967,U30)))</f>
        <v/>
      </c>
      <c r="I30" s="28" t="str">
        <f aca="false">IF(T30="","",IF(U30="","Sem anexo: tributação integral",INDEX('Referência LC 214'!$H$6:$H$967,U30)))</f>
        <v/>
      </c>
      <c r="J30" s="29" t="str">
        <f aca="false">IF(T30="","",IF(U30="",0,INDEX('Referência LC 214'!$K$6:$K$967,U30)))</f>
        <v/>
      </c>
      <c r="K30" s="28" t="str">
        <f aca="false">IF(OR(T30="",U30=""),"","Anexo "&amp;INDEX('Referência LC 214'!$E$6:$E$967,U30)&amp;", item "&amp;INDEX('Referência LC 214'!$F$6:$F$967,U30)&amp;": "&amp;INDEX('Referência LC 214'!$G$6:$G$967,U30))</f>
        <v/>
      </c>
      <c r="L30" s="28" t="str">
        <f aca="false">IF(OR(T30="",U30=""),"",IF(INDEX('Referência LC 214'!$L$6:$L$967,U30)&amp;""&lt;&gt;"",INDEX('Referência LC 214'!$L$6:$L$967,U30)&amp;"",IF(SUMPRODUCT((LEFT(T30,LEN('Referência LC 214'!$N$6:$N$967))='Referência LC 214'!$N$6:$N$967)*('Referência LC 214'!$L$6:$L$967&lt;&gt;""))&gt;0,"Há outro tratamento só para alguns compradores (ex.: órgão público/SUS) — veja a referência","")))</f>
        <v/>
      </c>
      <c r="M30" s="30" t="str">
        <f aca="false">IF(T30="","",IF(AND(C30&lt;&gt;"Serviço",LEN(T30)-1&lt;&gt;8),"NCM deve ter 8 dígitos",IF(AND(C30="Serviço",LEN(T30)-1&lt;&gt;9),"NBS deve ter 9 dígitos",IF(L30&lt;&gt;"","Benefício depende do comprador: confira a coluna N",IF(G30&gt;1,"Mais de uma regra: confira o item do anexo na referência",IF(G30=0,"Sem redução na LC 214","Confira se o produto é o descrito no item"))))))</f>
        <v/>
      </c>
      <c r="N30" s="25"/>
      <c r="O30" s="23"/>
      <c r="P30" s="25"/>
      <c r="Q30" s="25"/>
      <c r="R30" s="31"/>
      <c r="S30" s="24"/>
      <c r="T30" s="4" t="str">
        <f aca="false">IF(D30="","",IF(C30="Serviço","S","P")&amp;SUBSTITUTE(SUBSTITUTE(SUBSTITUTE(D30,".",""),"-","")," ",""))</f>
        <v/>
      </c>
      <c r="U30" s="4" t="str">
        <f aca="false">IF(T30="","",IFERROR(MATCH(LEFT(T30,10),'Referência LC 214'!$N$6:$N$967,0),IFERROR(MATCH(LEFT(T30,9),'Referência LC 214'!$N$6:$N$967,0),IFERROR(MATCH(LEFT(T30,8),'Referência LC 214'!$N$6:$N$967,0),IFERROR(MATCH(LEFT(T30,7),'Referência LC 214'!$N$6:$N$967,0),IFERROR(MATCH(LEFT(T30,6),'Referência LC 214'!$N$6:$N$967,0),IFERROR(MATCH(LEFT(T30,5),'Referência LC 214'!$N$6:$N$967,0),IFERROR(MATCH(LEFT(T30,4),'Referência LC 214'!$N$6:$N$967,0),IFERROR(MATCH(LEFT(T30,3),'Referência LC 214'!$N$6:$N$967,0),"")))))))))</f>
        <v/>
      </c>
    </row>
    <row r="31" customFormat="false" ht="15" hidden="false" customHeight="false" outlineLevel="0" collapsed="false">
      <c r="A31" s="23"/>
      <c r="B31" s="24"/>
      <c r="C31" s="25"/>
      <c r="D31" s="23"/>
      <c r="E31" s="23"/>
      <c r="F31" s="25"/>
      <c r="G31" s="26" t="str">
        <f aca="false">IF(T31="","",SUMPRODUCT(--(LEFT(T31,LEN('Referência LC 214'!$N$6:$N$967))='Referência LC 214'!$N$6:$N$967)))</f>
        <v/>
      </c>
      <c r="H31" s="27" t="str">
        <f aca="false">IF(T31="","",IF(U31="","000001",INDEX('Referência LC 214'!$I$6:$I$967,U31)))</f>
        <v/>
      </c>
      <c r="I31" s="28" t="str">
        <f aca="false">IF(T31="","",IF(U31="","Sem anexo: tributação integral",INDEX('Referência LC 214'!$H$6:$H$967,U31)))</f>
        <v/>
      </c>
      <c r="J31" s="29" t="str">
        <f aca="false">IF(T31="","",IF(U31="",0,INDEX('Referência LC 214'!$K$6:$K$967,U31)))</f>
        <v/>
      </c>
      <c r="K31" s="28" t="str">
        <f aca="false">IF(OR(T31="",U31=""),"","Anexo "&amp;INDEX('Referência LC 214'!$E$6:$E$967,U31)&amp;", item "&amp;INDEX('Referência LC 214'!$F$6:$F$967,U31)&amp;": "&amp;INDEX('Referência LC 214'!$G$6:$G$967,U31))</f>
        <v/>
      </c>
      <c r="L31" s="28" t="str">
        <f aca="false">IF(OR(T31="",U31=""),"",IF(INDEX('Referência LC 214'!$L$6:$L$967,U31)&amp;""&lt;&gt;"",INDEX('Referência LC 214'!$L$6:$L$967,U31)&amp;"",IF(SUMPRODUCT((LEFT(T31,LEN('Referência LC 214'!$N$6:$N$967))='Referência LC 214'!$N$6:$N$967)*('Referência LC 214'!$L$6:$L$967&lt;&gt;""))&gt;0,"Há outro tratamento só para alguns compradores (ex.: órgão público/SUS) — veja a referência","")))</f>
        <v/>
      </c>
      <c r="M31" s="30" t="str">
        <f aca="false">IF(T31="","",IF(AND(C31&lt;&gt;"Serviço",LEN(T31)-1&lt;&gt;8),"NCM deve ter 8 dígitos",IF(AND(C31="Serviço",LEN(T31)-1&lt;&gt;9),"NBS deve ter 9 dígitos",IF(L31&lt;&gt;"","Benefício depende do comprador: confira a coluna N",IF(G31&gt;1,"Mais de uma regra: confira o item do anexo na referência",IF(G31=0,"Sem redução na LC 214","Confira se o produto é o descrito no item"))))))</f>
        <v/>
      </c>
      <c r="N31" s="25"/>
      <c r="O31" s="23"/>
      <c r="P31" s="25"/>
      <c r="Q31" s="25"/>
      <c r="R31" s="31"/>
      <c r="S31" s="24"/>
      <c r="T31" s="4" t="str">
        <f aca="false">IF(D31="","",IF(C31="Serviço","S","P")&amp;SUBSTITUTE(SUBSTITUTE(SUBSTITUTE(D31,".",""),"-","")," ",""))</f>
        <v/>
      </c>
      <c r="U31" s="4" t="str">
        <f aca="false">IF(T31="","",IFERROR(MATCH(LEFT(T31,10),'Referência LC 214'!$N$6:$N$967,0),IFERROR(MATCH(LEFT(T31,9),'Referência LC 214'!$N$6:$N$967,0),IFERROR(MATCH(LEFT(T31,8),'Referência LC 214'!$N$6:$N$967,0),IFERROR(MATCH(LEFT(T31,7),'Referência LC 214'!$N$6:$N$967,0),IFERROR(MATCH(LEFT(T31,6),'Referência LC 214'!$N$6:$N$967,0),IFERROR(MATCH(LEFT(T31,5),'Referência LC 214'!$N$6:$N$967,0),IFERROR(MATCH(LEFT(T31,4),'Referência LC 214'!$N$6:$N$967,0),IFERROR(MATCH(LEFT(T31,3),'Referência LC 214'!$N$6:$N$967,0),"")))))))))</f>
        <v/>
      </c>
    </row>
    <row r="32" customFormat="false" ht="15" hidden="false" customHeight="false" outlineLevel="0" collapsed="false">
      <c r="A32" s="23"/>
      <c r="B32" s="24"/>
      <c r="C32" s="25"/>
      <c r="D32" s="23"/>
      <c r="E32" s="23"/>
      <c r="F32" s="25"/>
      <c r="G32" s="26" t="str">
        <f aca="false">IF(T32="","",SUMPRODUCT(--(LEFT(T32,LEN('Referência LC 214'!$N$6:$N$967))='Referência LC 214'!$N$6:$N$967)))</f>
        <v/>
      </c>
      <c r="H32" s="27" t="str">
        <f aca="false">IF(T32="","",IF(U32="","000001",INDEX('Referência LC 214'!$I$6:$I$967,U32)))</f>
        <v/>
      </c>
      <c r="I32" s="28" t="str">
        <f aca="false">IF(T32="","",IF(U32="","Sem anexo: tributação integral",INDEX('Referência LC 214'!$H$6:$H$967,U32)))</f>
        <v/>
      </c>
      <c r="J32" s="29" t="str">
        <f aca="false">IF(T32="","",IF(U32="",0,INDEX('Referência LC 214'!$K$6:$K$967,U32)))</f>
        <v/>
      </c>
      <c r="K32" s="28" t="str">
        <f aca="false">IF(OR(T32="",U32=""),"","Anexo "&amp;INDEX('Referência LC 214'!$E$6:$E$967,U32)&amp;", item "&amp;INDEX('Referência LC 214'!$F$6:$F$967,U32)&amp;": "&amp;INDEX('Referência LC 214'!$G$6:$G$967,U32))</f>
        <v/>
      </c>
      <c r="L32" s="28" t="str">
        <f aca="false">IF(OR(T32="",U32=""),"",IF(INDEX('Referência LC 214'!$L$6:$L$967,U32)&amp;""&lt;&gt;"",INDEX('Referência LC 214'!$L$6:$L$967,U32)&amp;"",IF(SUMPRODUCT((LEFT(T32,LEN('Referência LC 214'!$N$6:$N$967))='Referência LC 214'!$N$6:$N$967)*('Referência LC 214'!$L$6:$L$967&lt;&gt;""))&gt;0,"Há outro tratamento só para alguns compradores (ex.: órgão público/SUS) — veja a referência","")))</f>
        <v/>
      </c>
      <c r="M32" s="30" t="str">
        <f aca="false">IF(T32="","",IF(AND(C32&lt;&gt;"Serviço",LEN(T32)-1&lt;&gt;8),"NCM deve ter 8 dígitos",IF(AND(C32="Serviço",LEN(T32)-1&lt;&gt;9),"NBS deve ter 9 dígitos",IF(L32&lt;&gt;"","Benefício depende do comprador: confira a coluna N",IF(G32&gt;1,"Mais de uma regra: confira o item do anexo na referência",IF(G32=0,"Sem redução na LC 214","Confira se o produto é o descrito no item"))))))</f>
        <v/>
      </c>
      <c r="N32" s="25"/>
      <c r="O32" s="23"/>
      <c r="P32" s="25"/>
      <c r="Q32" s="25"/>
      <c r="R32" s="31"/>
      <c r="S32" s="24"/>
      <c r="T32" s="4" t="str">
        <f aca="false">IF(D32="","",IF(C32="Serviço","S","P")&amp;SUBSTITUTE(SUBSTITUTE(SUBSTITUTE(D32,".",""),"-","")," ",""))</f>
        <v/>
      </c>
      <c r="U32" s="4" t="str">
        <f aca="false">IF(T32="","",IFERROR(MATCH(LEFT(T32,10),'Referência LC 214'!$N$6:$N$967,0),IFERROR(MATCH(LEFT(T32,9),'Referência LC 214'!$N$6:$N$967,0),IFERROR(MATCH(LEFT(T32,8),'Referência LC 214'!$N$6:$N$967,0),IFERROR(MATCH(LEFT(T32,7),'Referência LC 214'!$N$6:$N$967,0),IFERROR(MATCH(LEFT(T32,6),'Referência LC 214'!$N$6:$N$967,0),IFERROR(MATCH(LEFT(T32,5),'Referência LC 214'!$N$6:$N$967,0),IFERROR(MATCH(LEFT(T32,4),'Referência LC 214'!$N$6:$N$967,0),IFERROR(MATCH(LEFT(T32,3),'Referência LC 214'!$N$6:$N$967,0),"")))))))))</f>
        <v/>
      </c>
    </row>
    <row r="33" customFormat="false" ht="15" hidden="false" customHeight="false" outlineLevel="0" collapsed="false">
      <c r="A33" s="23"/>
      <c r="B33" s="24"/>
      <c r="C33" s="25"/>
      <c r="D33" s="23"/>
      <c r="E33" s="23"/>
      <c r="F33" s="25"/>
      <c r="G33" s="26" t="str">
        <f aca="false">IF(T33="","",SUMPRODUCT(--(LEFT(T33,LEN('Referência LC 214'!$N$6:$N$967))='Referência LC 214'!$N$6:$N$967)))</f>
        <v/>
      </c>
      <c r="H33" s="27" t="str">
        <f aca="false">IF(T33="","",IF(U33="","000001",INDEX('Referência LC 214'!$I$6:$I$967,U33)))</f>
        <v/>
      </c>
      <c r="I33" s="28" t="str">
        <f aca="false">IF(T33="","",IF(U33="","Sem anexo: tributação integral",INDEX('Referência LC 214'!$H$6:$H$967,U33)))</f>
        <v/>
      </c>
      <c r="J33" s="29" t="str">
        <f aca="false">IF(T33="","",IF(U33="",0,INDEX('Referência LC 214'!$K$6:$K$967,U33)))</f>
        <v/>
      </c>
      <c r="K33" s="28" t="str">
        <f aca="false">IF(OR(T33="",U33=""),"","Anexo "&amp;INDEX('Referência LC 214'!$E$6:$E$967,U33)&amp;", item "&amp;INDEX('Referência LC 214'!$F$6:$F$967,U33)&amp;": "&amp;INDEX('Referência LC 214'!$G$6:$G$967,U33))</f>
        <v/>
      </c>
      <c r="L33" s="28" t="str">
        <f aca="false">IF(OR(T33="",U33=""),"",IF(INDEX('Referência LC 214'!$L$6:$L$967,U33)&amp;""&lt;&gt;"",INDEX('Referência LC 214'!$L$6:$L$967,U33)&amp;"",IF(SUMPRODUCT((LEFT(T33,LEN('Referência LC 214'!$N$6:$N$967))='Referência LC 214'!$N$6:$N$967)*('Referência LC 214'!$L$6:$L$967&lt;&gt;""))&gt;0,"Há outro tratamento só para alguns compradores (ex.: órgão público/SUS) — veja a referência","")))</f>
        <v/>
      </c>
      <c r="M33" s="30" t="str">
        <f aca="false">IF(T33="","",IF(AND(C33&lt;&gt;"Serviço",LEN(T33)-1&lt;&gt;8),"NCM deve ter 8 dígitos",IF(AND(C33="Serviço",LEN(T33)-1&lt;&gt;9),"NBS deve ter 9 dígitos",IF(L33&lt;&gt;"","Benefício depende do comprador: confira a coluna N",IF(G33&gt;1,"Mais de uma regra: confira o item do anexo na referência",IF(G33=0,"Sem redução na LC 214","Confira se o produto é o descrito no item"))))))</f>
        <v/>
      </c>
      <c r="N33" s="25"/>
      <c r="O33" s="23"/>
      <c r="P33" s="25"/>
      <c r="Q33" s="25"/>
      <c r="R33" s="31"/>
      <c r="S33" s="24"/>
      <c r="T33" s="4" t="str">
        <f aca="false">IF(D33="","",IF(C33="Serviço","S","P")&amp;SUBSTITUTE(SUBSTITUTE(SUBSTITUTE(D33,".",""),"-","")," ",""))</f>
        <v/>
      </c>
      <c r="U33" s="4" t="str">
        <f aca="false">IF(T33="","",IFERROR(MATCH(LEFT(T33,10),'Referência LC 214'!$N$6:$N$967,0),IFERROR(MATCH(LEFT(T33,9),'Referência LC 214'!$N$6:$N$967,0),IFERROR(MATCH(LEFT(T33,8),'Referência LC 214'!$N$6:$N$967,0),IFERROR(MATCH(LEFT(T33,7),'Referência LC 214'!$N$6:$N$967,0),IFERROR(MATCH(LEFT(T33,6),'Referência LC 214'!$N$6:$N$967,0),IFERROR(MATCH(LEFT(T33,5),'Referência LC 214'!$N$6:$N$967,0),IFERROR(MATCH(LEFT(T33,4),'Referência LC 214'!$N$6:$N$967,0),IFERROR(MATCH(LEFT(T33,3),'Referência LC 214'!$N$6:$N$967,0),"")))))))))</f>
        <v/>
      </c>
    </row>
    <row r="34" customFormat="false" ht="15" hidden="false" customHeight="false" outlineLevel="0" collapsed="false">
      <c r="A34" s="23"/>
      <c r="B34" s="24"/>
      <c r="C34" s="25"/>
      <c r="D34" s="23"/>
      <c r="E34" s="23"/>
      <c r="F34" s="25"/>
      <c r="G34" s="26" t="str">
        <f aca="false">IF(T34="","",SUMPRODUCT(--(LEFT(T34,LEN('Referência LC 214'!$N$6:$N$967))='Referência LC 214'!$N$6:$N$967)))</f>
        <v/>
      </c>
      <c r="H34" s="27" t="str">
        <f aca="false">IF(T34="","",IF(U34="","000001",INDEX('Referência LC 214'!$I$6:$I$967,U34)))</f>
        <v/>
      </c>
      <c r="I34" s="28" t="str">
        <f aca="false">IF(T34="","",IF(U34="","Sem anexo: tributação integral",INDEX('Referência LC 214'!$H$6:$H$967,U34)))</f>
        <v/>
      </c>
      <c r="J34" s="29" t="str">
        <f aca="false">IF(T34="","",IF(U34="",0,INDEX('Referência LC 214'!$K$6:$K$967,U34)))</f>
        <v/>
      </c>
      <c r="K34" s="28" t="str">
        <f aca="false">IF(OR(T34="",U34=""),"","Anexo "&amp;INDEX('Referência LC 214'!$E$6:$E$967,U34)&amp;", item "&amp;INDEX('Referência LC 214'!$F$6:$F$967,U34)&amp;": "&amp;INDEX('Referência LC 214'!$G$6:$G$967,U34))</f>
        <v/>
      </c>
      <c r="L34" s="28" t="str">
        <f aca="false">IF(OR(T34="",U34=""),"",IF(INDEX('Referência LC 214'!$L$6:$L$967,U34)&amp;""&lt;&gt;"",INDEX('Referência LC 214'!$L$6:$L$967,U34)&amp;"",IF(SUMPRODUCT((LEFT(T34,LEN('Referência LC 214'!$N$6:$N$967))='Referência LC 214'!$N$6:$N$967)*('Referência LC 214'!$L$6:$L$967&lt;&gt;""))&gt;0,"Há outro tratamento só para alguns compradores (ex.: órgão público/SUS) — veja a referência","")))</f>
        <v/>
      </c>
      <c r="M34" s="30" t="str">
        <f aca="false">IF(T34="","",IF(AND(C34&lt;&gt;"Serviço",LEN(T34)-1&lt;&gt;8),"NCM deve ter 8 dígitos",IF(AND(C34="Serviço",LEN(T34)-1&lt;&gt;9),"NBS deve ter 9 dígitos",IF(L34&lt;&gt;"","Benefício depende do comprador: confira a coluna N",IF(G34&gt;1,"Mais de uma regra: confira o item do anexo na referência",IF(G34=0,"Sem redução na LC 214","Confira se o produto é o descrito no item"))))))</f>
        <v/>
      </c>
      <c r="N34" s="25"/>
      <c r="O34" s="23"/>
      <c r="P34" s="25"/>
      <c r="Q34" s="25"/>
      <c r="R34" s="31"/>
      <c r="S34" s="24"/>
      <c r="T34" s="4" t="str">
        <f aca="false">IF(D34="","",IF(C34="Serviço","S","P")&amp;SUBSTITUTE(SUBSTITUTE(SUBSTITUTE(D34,".",""),"-","")," ",""))</f>
        <v/>
      </c>
      <c r="U34" s="4" t="str">
        <f aca="false">IF(T34="","",IFERROR(MATCH(LEFT(T34,10),'Referência LC 214'!$N$6:$N$967,0),IFERROR(MATCH(LEFT(T34,9),'Referência LC 214'!$N$6:$N$967,0),IFERROR(MATCH(LEFT(T34,8),'Referência LC 214'!$N$6:$N$967,0),IFERROR(MATCH(LEFT(T34,7),'Referência LC 214'!$N$6:$N$967,0),IFERROR(MATCH(LEFT(T34,6),'Referência LC 214'!$N$6:$N$967,0),IFERROR(MATCH(LEFT(T34,5),'Referência LC 214'!$N$6:$N$967,0),IFERROR(MATCH(LEFT(T34,4),'Referência LC 214'!$N$6:$N$967,0),IFERROR(MATCH(LEFT(T34,3),'Referência LC 214'!$N$6:$N$967,0),"")))))))))</f>
        <v/>
      </c>
    </row>
    <row r="35" customFormat="false" ht="15" hidden="false" customHeight="false" outlineLevel="0" collapsed="false">
      <c r="A35" s="23"/>
      <c r="B35" s="24"/>
      <c r="C35" s="25"/>
      <c r="D35" s="23"/>
      <c r="E35" s="23"/>
      <c r="F35" s="25"/>
      <c r="G35" s="26" t="str">
        <f aca="false">IF(T35="","",SUMPRODUCT(--(LEFT(T35,LEN('Referência LC 214'!$N$6:$N$967))='Referência LC 214'!$N$6:$N$967)))</f>
        <v/>
      </c>
      <c r="H35" s="27" t="str">
        <f aca="false">IF(T35="","",IF(U35="","000001",INDEX('Referência LC 214'!$I$6:$I$967,U35)))</f>
        <v/>
      </c>
      <c r="I35" s="28" t="str">
        <f aca="false">IF(T35="","",IF(U35="","Sem anexo: tributação integral",INDEX('Referência LC 214'!$H$6:$H$967,U35)))</f>
        <v/>
      </c>
      <c r="J35" s="29" t="str">
        <f aca="false">IF(T35="","",IF(U35="",0,INDEX('Referência LC 214'!$K$6:$K$967,U35)))</f>
        <v/>
      </c>
      <c r="K35" s="28" t="str">
        <f aca="false">IF(OR(T35="",U35=""),"","Anexo "&amp;INDEX('Referência LC 214'!$E$6:$E$967,U35)&amp;", item "&amp;INDEX('Referência LC 214'!$F$6:$F$967,U35)&amp;": "&amp;INDEX('Referência LC 214'!$G$6:$G$967,U35))</f>
        <v/>
      </c>
      <c r="L35" s="28" t="str">
        <f aca="false">IF(OR(T35="",U35=""),"",IF(INDEX('Referência LC 214'!$L$6:$L$967,U35)&amp;""&lt;&gt;"",INDEX('Referência LC 214'!$L$6:$L$967,U35)&amp;"",IF(SUMPRODUCT((LEFT(T35,LEN('Referência LC 214'!$N$6:$N$967))='Referência LC 214'!$N$6:$N$967)*('Referência LC 214'!$L$6:$L$967&lt;&gt;""))&gt;0,"Há outro tratamento só para alguns compradores (ex.: órgão público/SUS) — veja a referência","")))</f>
        <v/>
      </c>
      <c r="M35" s="30" t="str">
        <f aca="false">IF(T35="","",IF(AND(C35&lt;&gt;"Serviço",LEN(T35)-1&lt;&gt;8),"NCM deve ter 8 dígitos",IF(AND(C35="Serviço",LEN(T35)-1&lt;&gt;9),"NBS deve ter 9 dígitos",IF(L35&lt;&gt;"","Benefício depende do comprador: confira a coluna N",IF(G35&gt;1,"Mais de uma regra: confira o item do anexo na referência",IF(G35=0,"Sem redução na LC 214","Confira se o produto é o descrito no item"))))))</f>
        <v/>
      </c>
      <c r="N35" s="25"/>
      <c r="O35" s="23"/>
      <c r="P35" s="25"/>
      <c r="Q35" s="25"/>
      <c r="R35" s="31"/>
      <c r="S35" s="24"/>
      <c r="T35" s="4" t="str">
        <f aca="false">IF(D35="","",IF(C35="Serviço","S","P")&amp;SUBSTITUTE(SUBSTITUTE(SUBSTITUTE(D35,".",""),"-","")," ",""))</f>
        <v/>
      </c>
      <c r="U35" s="4" t="str">
        <f aca="false">IF(T35="","",IFERROR(MATCH(LEFT(T35,10),'Referência LC 214'!$N$6:$N$967,0),IFERROR(MATCH(LEFT(T35,9),'Referência LC 214'!$N$6:$N$967,0),IFERROR(MATCH(LEFT(T35,8),'Referência LC 214'!$N$6:$N$967,0),IFERROR(MATCH(LEFT(T35,7),'Referência LC 214'!$N$6:$N$967,0),IFERROR(MATCH(LEFT(T35,6),'Referência LC 214'!$N$6:$N$967,0),IFERROR(MATCH(LEFT(T35,5),'Referência LC 214'!$N$6:$N$967,0),IFERROR(MATCH(LEFT(T35,4),'Referência LC 214'!$N$6:$N$967,0),IFERROR(MATCH(LEFT(T35,3),'Referência LC 214'!$N$6:$N$967,0),"")))))))))</f>
        <v/>
      </c>
    </row>
    <row r="36" customFormat="false" ht="15" hidden="false" customHeight="false" outlineLevel="0" collapsed="false">
      <c r="A36" s="23"/>
      <c r="B36" s="24"/>
      <c r="C36" s="25"/>
      <c r="D36" s="23"/>
      <c r="E36" s="23"/>
      <c r="F36" s="25"/>
      <c r="G36" s="26" t="str">
        <f aca="false">IF(T36="","",SUMPRODUCT(--(LEFT(T36,LEN('Referência LC 214'!$N$6:$N$967))='Referência LC 214'!$N$6:$N$967)))</f>
        <v/>
      </c>
      <c r="H36" s="27" t="str">
        <f aca="false">IF(T36="","",IF(U36="","000001",INDEX('Referência LC 214'!$I$6:$I$967,U36)))</f>
        <v/>
      </c>
      <c r="I36" s="28" t="str">
        <f aca="false">IF(T36="","",IF(U36="","Sem anexo: tributação integral",INDEX('Referência LC 214'!$H$6:$H$967,U36)))</f>
        <v/>
      </c>
      <c r="J36" s="29" t="str">
        <f aca="false">IF(T36="","",IF(U36="",0,INDEX('Referência LC 214'!$K$6:$K$967,U36)))</f>
        <v/>
      </c>
      <c r="K36" s="28" t="str">
        <f aca="false">IF(OR(T36="",U36=""),"","Anexo "&amp;INDEX('Referência LC 214'!$E$6:$E$967,U36)&amp;", item "&amp;INDEX('Referência LC 214'!$F$6:$F$967,U36)&amp;": "&amp;INDEX('Referência LC 214'!$G$6:$G$967,U36))</f>
        <v/>
      </c>
      <c r="L36" s="28" t="str">
        <f aca="false">IF(OR(T36="",U36=""),"",IF(INDEX('Referência LC 214'!$L$6:$L$967,U36)&amp;""&lt;&gt;"",INDEX('Referência LC 214'!$L$6:$L$967,U36)&amp;"",IF(SUMPRODUCT((LEFT(T36,LEN('Referência LC 214'!$N$6:$N$967))='Referência LC 214'!$N$6:$N$967)*('Referência LC 214'!$L$6:$L$967&lt;&gt;""))&gt;0,"Há outro tratamento só para alguns compradores (ex.: órgão público/SUS) — veja a referência","")))</f>
        <v/>
      </c>
      <c r="M36" s="30" t="str">
        <f aca="false">IF(T36="","",IF(AND(C36&lt;&gt;"Serviço",LEN(T36)-1&lt;&gt;8),"NCM deve ter 8 dígitos",IF(AND(C36="Serviço",LEN(T36)-1&lt;&gt;9),"NBS deve ter 9 dígitos",IF(L36&lt;&gt;"","Benefício depende do comprador: confira a coluna N",IF(G36&gt;1,"Mais de uma regra: confira o item do anexo na referência",IF(G36=0,"Sem redução na LC 214","Confira se o produto é o descrito no item"))))))</f>
        <v/>
      </c>
      <c r="N36" s="25"/>
      <c r="O36" s="23"/>
      <c r="P36" s="25"/>
      <c r="Q36" s="25"/>
      <c r="R36" s="31"/>
      <c r="S36" s="24"/>
      <c r="T36" s="4" t="str">
        <f aca="false">IF(D36="","",IF(C36="Serviço","S","P")&amp;SUBSTITUTE(SUBSTITUTE(SUBSTITUTE(D36,".",""),"-","")," ",""))</f>
        <v/>
      </c>
      <c r="U36" s="4" t="str">
        <f aca="false">IF(T36="","",IFERROR(MATCH(LEFT(T36,10),'Referência LC 214'!$N$6:$N$967,0),IFERROR(MATCH(LEFT(T36,9),'Referência LC 214'!$N$6:$N$967,0),IFERROR(MATCH(LEFT(T36,8),'Referência LC 214'!$N$6:$N$967,0),IFERROR(MATCH(LEFT(T36,7),'Referência LC 214'!$N$6:$N$967,0),IFERROR(MATCH(LEFT(T36,6),'Referência LC 214'!$N$6:$N$967,0),IFERROR(MATCH(LEFT(T36,5),'Referência LC 214'!$N$6:$N$967,0),IFERROR(MATCH(LEFT(T36,4),'Referência LC 214'!$N$6:$N$967,0),IFERROR(MATCH(LEFT(T36,3),'Referência LC 214'!$N$6:$N$967,0),"")))))))))</f>
        <v/>
      </c>
    </row>
    <row r="37" customFormat="false" ht="15" hidden="false" customHeight="false" outlineLevel="0" collapsed="false">
      <c r="A37" s="23"/>
      <c r="B37" s="24"/>
      <c r="C37" s="25"/>
      <c r="D37" s="23"/>
      <c r="E37" s="23"/>
      <c r="F37" s="25"/>
      <c r="G37" s="26" t="str">
        <f aca="false">IF(T37="","",SUMPRODUCT(--(LEFT(T37,LEN('Referência LC 214'!$N$6:$N$967))='Referência LC 214'!$N$6:$N$967)))</f>
        <v/>
      </c>
      <c r="H37" s="27" t="str">
        <f aca="false">IF(T37="","",IF(U37="","000001",INDEX('Referência LC 214'!$I$6:$I$967,U37)))</f>
        <v/>
      </c>
      <c r="I37" s="28" t="str">
        <f aca="false">IF(T37="","",IF(U37="","Sem anexo: tributação integral",INDEX('Referência LC 214'!$H$6:$H$967,U37)))</f>
        <v/>
      </c>
      <c r="J37" s="29" t="str">
        <f aca="false">IF(T37="","",IF(U37="",0,INDEX('Referência LC 214'!$K$6:$K$967,U37)))</f>
        <v/>
      </c>
      <c r="K37" s="28" t="str">
        <f aca="false">IF(OR(T37="",U37=""),"","Anexo "&amp;INDEX('Referência LC 214'!$E$6:$E$967,U37)&amp;", item "&amp;INDEX('Referência LC 214'!$F$6:$F$967,U37)&amp;": "&amp;INDEX('Referência LC 214'!$G$6:$G$967,U37))</f>
        <v/>
      </c>
      <c r="L37" s="28" t="str">
        <f aca="false">IF(OR(T37="",U37=""),"",IF(INDEX('Referência LC 214'!$L$6:$L$967,U37)&amp;""&lt;&gt;"",INDEX('Referência LC 214'!$L$6:$L$967,U37)&amp;"",IF(SUMPRODUCT((LEFT(T37,LEN('Referência LC 214'!$N$6:$N$967))='Referência LC 214'!$N$6:$N$967)*('Referência LC 214'!$L$6:$L$967&lt;&gt;""))&gt;0,"Há outro tratamento só para alguns compradores (ex.: órgão público/SUS) — veja a referência","")))</f>
        <v/>
      </c>
      <c r="M37" s="30" t="str">
        <f aca="false">IF(T37="","",IF(AND(C37&lt;&gt;"Serviço",LEN(T37)-1&lt;&gt;8),"NCM deve ter 8 dígitos",IF(AND(C37="Serviço",LEN(T37)-1&lt;&gt;9),"NBS deve ter 9 dígitos",IF(L37&lt;&gt;"","Benefício depende do comprador: confira a coluna N",IF(G37&gt;1,"Mais de uma regra: confira o item do anexo na referência",IF(G37=0,"Sem redução na LC 214","Confira se o produto é o descrito no item"))))))</f>
        <v/>
      </c>
      <c r="N37" s="25"/>
      <c r="O37" s="23"/>
      <c r="P37" s="25"/>
      <c r="Q37" s="25"/>
      <c r="R37" s="31"/>
      <c r="S37" s="24"/>
      <c r="T37" s="4" t="str">
        <f aca="false">IF(D37="","",IF(C37="Serviço","S","P")&amp;SUBSTITUTE(SUBSTITUTE(SUBSTITUTE(D37,".",""),"-","")," ",""))</f>
        <v/>
      </c>
      <c r="U37" s="4" t="str">
        <f aca="false">IF(T37="","",IFERROR(MATCH(LEFT(T37,10),'Referência LC 214'!$N$6:$N$967,0),IFERROR(MATCH(LEFT(T37,9),'Referência LC 214'!$N$6:$N$967,0),IFERROR(MATCH(LEFT(T37,8),'Referência LC 214'!$N$6:$N$967,0),IFERROR(MATCH(LEFT(T37,7),'Referência LC 214'!$N$6:$N$967,0),IFERROR(MATCH(LEFT(T37,6),'Referência LC 214'!$N$6:$N$967,0),IFERROR(MATCH(LEFT(T37,5),'Referência LC 214'!$N$6:$N$967,0),IFERROR(MATCH(LEFT(T37,4),'Referência LC 214'!$N$6:$N$967,0),IFERROR(MATCH(LEFT(T37,3),'Referência LC 214'!$N$6:$N$967,0),"")))))))))</f>
        <v/>
      </c>
    </row>
    <row r="38" customFormat="false" ht="15" hidden="false" customHeight="false" outlineLevel="0" collapsed="false">
      <c r="A38" s="23"/>
      <c r="B38" s="24"/>
      <c r="C38" s="25"/>
      <c r="D38" s="23"/>
      <c r="E38" s="23"/>
      <c r="F38" s="25"/>
      <c r="G38" s="26" t="str">
        <f aca="false">IF(T38="","",SUMPRODUCT(--(LEFT(T38,LEN('Referência LC 214'!$N$6:$N$967))='Referência LC 214'!$N$6:$N$967)))</f>
        <v/>
      </c>
      <c r="H38" s="27" t="str">
        <f aca="false">IF(T38="","",IF(U38="","000001",INDEX('Referência LC 214'!$I$6:$I$967,U38)))</f>
        <v/>
      </c>
      <c r="I38" s="28" t="str">
        <f aca="false">IF(T38="","",IF(U38="","Sem anexo: tributação integral",INDEX('Referência LC 214'!$H$6:$H$967,U38)))</f>
        <v/>
      </c>
      <c r="J38" s="29" t="str">
        <f aca="false">IF(T38="","",IF(U38="",0,INDEX('Referência LC 214'!$K$6:$K$967,U38)))</f>
        <v/>
      </c>
      <c r="K38" s="28" t="str">
        <f aca="false">IF(OR(T38="",U38=""),"","Anexo "&amp;INDEX('Referência LC 214'!$E$6:$E$967,U38)&amp;", item "&amp;INDEX('Referência LC 214'!$F$6:$F$967,U38)&amp;": "&amp;INDEX('Referência LC 214'!$G$6:$G$967,U38))</f>
        <v/>
      </c>
      <c r="L38" s="28" t="str">
        <f aca="false">IF(OR(T38="",U38=""),"",IF(INDEX('Referência LC 214'!$L$6:$L$967,U38)&amp;""&lt;&gt;"",INDEX('Referência LC 214'!$L$6:$L$967,U38)&amp;"",IF(SUMPRODUCT((LEFT(T38,LEN('Referência LC 214'!$N$6:$N$967))='Referência LC 214'!$N$6:$N$967)*('Referência LC 214'!$L$6:$L$967&lt;&gt;""))&gt;0,"Há outro tratamento só para alguns compradores (ex.: órgão público/SUS) — veja a referência","")))</f>
        <v/>
      </c>
      <c r="M38" s="30" t="str">
        <f aca="false">IF(T38="","",IF(AND(C38&lt;&gt;"Serviço",LEN(T38)-1&lt;&gt;8),"NCM deve ter 8 dígitos",IF(AND(C38="Serviço",LEN(T38)-1&lt;&gt;9),"NBS deve ter 9 dígitos",IF(L38&lt;&gt;"","Benefício depende do comprador: confira a coluna N",IF(G38&gt;1,"Mais de uma regra: confira o item do anexo na referência",IF(G38=0,"Sem redução na LC 214","Confira se o produto é o descrito no item"))))))</f>
        <v/>
      </c>
      <c r="N38" s="25"/>
      <c r="O38" s="23"/>
      <c r="P38" s="25"/>
      <c r="Q38" s="25"/>
      <c r="R38" s="31"/>
      <c r="S38" s="24"/>
      <c r="T38" s="4" t="str">
        <f aca="false">IF(D38="","",IF(C38="Serviço","S","P")&amp;SUBSTITUTE(SUBSTITUTE(SUBSTITUTE(D38,".",""),"-","")," ",""))</f>
        <v/>
      </c>
      <c r="U38" s="4" t="str">
        <f aca="false">IF(T38="","",IFERROR(MATCH(LEFT(T38,10),'Referência LC 214'!$N$6:$N$967,0),IFERROR(MATCH(LEFT(T38,9),'Referência LC 214'!$N$6:$N$967,0),IFERROR(MATCH(LEFT(T38,8),'Referência LC 214'!$N$6:$N$967,0),IFERROR(MATCH(LEFT(T38,7),'Referência LC 214'!$N$6:$N$967,0),IFERROR(MATCH(LEFT(T38,6),'Referência LC 214'!$N$6:$N$967,0),IFERROR(MATCH(LEFT(T38,5),'Referência LC 214'!$N$6:$N$967,0),IFERROR(MATCH(LEFT(T38,4),'Referência LC 214'!$N$6:$N$967,0),IFERROR(MATCH(LEFT(T38,3),'Referência LC 214'!$N$6:$N$967,0),"")))))))))</f>
        <v/>
      </c>
    </row>
    <row r="39" customFormat="false" ht="15" hidden="false" customHeight="false" outlineLevel="0" collapsed="false">
      <c r="A39" s="23"/>
      <c r="B39" s="24"/>
      <c r="C39" s="25"/>
      <c r="D39" s="23"/>
      <c r="E39" s="23"/>
      <c r="F39" s="25"/>
      <c r="G39" s="26" t="str">
        <f aca="false">IF(T39="","",SUMPRODUCT(--(LEFT(T39,LEN('Referência LC 214'!$N$6:$N$967))='Referência LC 214'!$N$6:$N$967)))</f>
        <v/>
      </c>
      <c r="H39" s="27" t="str">
        <f aca="false">IF(T39="","",IF(U39="","000001",INDEX('Referência LC 214'!$I$6:$I$967,U39)))</f>
        <v/>
      </c>
      <c r="I39" s="28" t="str">
        <f aca="false">IF(T39="","",IF(U39="","Sem anexo: tributação integral",INDEX('Referência LC 214'!$H$6:$H$967,U39)))</f>
        <v/>
      </c>
      <c r="J39" s="29" t="str">
        <f aca="false">IF(T39="","",IF(U39="",0,INDEX('Referência LC 214'!$K$6:$K$967,U39)))</f>
        <v/>
      </c>
      <c r="K39" s="28" t="str">
        <f aca="false">IF(OR(T39="",U39=""),"","Anexo "&amp;INDEX('Referência LC 214'!$E$6:$E$967,U39)&amp;", item "&amp;INDEX('Referência LC 214'!$F$6:$F$967,U39)&amp;": "&amp;INDEX('Referência LC 214'!$G$6:$G$967,U39))</f>
        <v/>
      </c>
      <c r="L39" s="28" t="str">
        <f aca="false">IF(OR(T39="",U39=""),"",IF(INDEX('Referência LC 214'!$L$6:$L$967,U39)&amp;""&lt;&gt;"",INDEX('Referência LC 214'!$L$6:$L$967,U39)&amp;"",IF(SUMPRODUCT((LEFT(T39,LEN('Referência LC 214'!$N$6:$N$967))='Referência LC 214'!$N$6:$N$967)*('Referência LC 214'!$L$6:$L$967&lt;&gt;""))&gt;0,"Há outro tratamento só para alguns compradores (ex.: órgão público/SUS) — veja a referência","")))</f>
        <v/>
      </c>
      <c r="M39" s="30" t="str">
        <f aca="false">IF(T39="","",IF(AND(C39&lt;&gt;"Serviço",LEN(T39)-1&lt;&gt;8),"NCM deve ter 8 dígitos",IF(AND(C39="Serviço",LEN(T39)-1&lt;&gt;9),"NBS deve ter 9 dígitos",IF(L39&lt;&gt;"","Benefício depende do comprador: confira a coluna N",IF(G39&gt;1,"Mais de uma regra: confira o item do anexo na referência",IF(G39=0,"Sem redução na LC 214","Confira se o produto é o descrito no item"))))))</f>
        <v/>
      </c>
      <c r="N39" s="25"/>
      <c r="O39" s="23"/>
      <c r="P39" s="25"/>
      <c r="Q39" s="25"/>
      <c r="R39" s="31"/>
      <c r="S39" s="24"/>
      <c r="T39" s="4" t="str">
        <f aca="false">IF(D39="","",IF(C39="Serviço","S","P")&amp;SUBSTITUTE(SUBSTITUTE(SUBSTITUTE(D39,".",""),"-","")," ",""))</f>
        <v/>
      </c>
      <c r="U39" s="4" t="str">
        <f aca="false">IF(T39="","",IFERROR(MATCH(LEFT(T39,10),'Referência LC 214'!$N$6:$N$967,0),IFERROR(MATCH(LEFT(T39,9),'Referência LC 214'!$N$6:$N$967,0),IFERROR(MATCH(LEFT(T39,8),'Referência LC 214'!$N$6:$N$967,0),IFERROR(MATCH(LEFT(T39,7),'Referência LC 214'!$N$6:$N$967,0),IFERROR(MATCH(LEFT(T39,6),'Referência LC 214'!$N$6:$N$967,0),IFERROR(MATCH(LEFT(T39,5),'Referência LC 214'!$N$6:$N$967,0),IFERROR(MATCH(LEFT(T39,4),'Referência LC 214'!$N$6:$N$967,0),IFERROR(MATCH(LEFT(T39,3),'Referência LC 214'!$N$6:$N$967,0),"")))))))))</f>
        <v/>
      </c>
    </row>
    <row r="40" customFormat="false" ht="15" hidden="false" customHeight="false" outlineLevel="0" collapsed="false">
      <c r="A40" s="23"/>
      <c r="B40" s="24"/>
      <c r="C40" s="25"/>
      <c r="D40" s="23"/>
      <c r="E40" s="23"/>
      <c r="F40" s="25"/>
      <c r="G40" s="26" t="str">
        <f aca="false">IF(T40="","",SUMPRODUCT(--(LEFT(T40,LEN('Referência LC 214'!$N$6:$N$967))='Referência LC 214'!$N$6:$N$967)))</f>
        <v/>
      </c>
      <c r="H40" s="27" t="str">
        <f aca="false">IF(T40="","",IF(U40="","000001",INDEX('Referência LC 214'!$I$6:$I$967,U40)))</f>
        <v/>
      </c>
      <c r="I40" s="28" t="str">
        <f aca="false">IF(T40="","",IF(U40="","Sem anexo: tributação integral",INDEX('Referência LC 214'!$H$6:$H$967,U40)))</f>
        <v/>
      </c>
      <c r="J40" s="29" t="str">
        <f aca="false">IF(T40="","",IF(U40="",0,INDEX('Referência LC 214'!$K$6:$K$967,U40)))</f>
        <v/>
      </c>
      <c r="K40" s="28" t="str">
        <f aca="false">IF(OR(T40="",U40=""),"","Anexo "&amp;INDEX('Referência LC 214'!$E$6:$E$967,U40)&amp;", item "&amp;INDEX('Referência LC 214'!$F$6:$F$967,U40)&amp;": "&amp;INDEX('Referência LC 214'!$G$6:$G$967,U40))</f>
        <v/>
      </c>
      <c r="L40" s="28" t="str">
        <f aca="false">IF(OR(T40="",U40=""),"",IF(INDEX('Referência LC 214'!$L$6:$L$967,U40)&amp;""&lt;&gt;"",INDEX('Referência LC 214'!$L$6:$L$967,U40)&amp;"",IF(SUMPRODUCT((LEFT(T40,LEN('Referência LC 214'!$N$6:$N$967))='Referência LC 214'!$N$6:$N$967)*('Referência LC 214'!$L$6:$L$967&lt;&gt;""))&gt;0,"Há outro tratamento só para alguns compradores (ex.: órgão público/SUS) — veja a referência","")))</f>
        <v/>
      </c>
      <c r="M40" s="30" t="str">
        <f aca="false">IF(T40="","",IF(AND(C40&lt;&gt;"Serviço",LEN(T40)-1&lt;&gt;8),"NCM deve ter 8 dígitos",IF(AND(C40="Serviço",LEN(T40)-1&lt;&gt;9),"NBS deve ter 9 dígitos",IF(L40&lt;&gt;"","Benefício depende do comprador: confira a coluna N",IF(G40&gt;1,"Mais de uma regra: confira o item do anexo na referência",IF(G40=0,"Sem redução na LC 214","Confira se o produto é o descrito no item"))))))</f>
        <v/>
      </c>
      <c r="N40" s="25"/>
      <c r="O40" s="23"/>
      <c r="P40" s="25"/>
      <c r="Q40" s="25"/>
      <c r="R40" s="31"/>
      <c r="S40" s="24"/>
      <c r="T40" s="4" t="str">
        <f aca="false">IF(D40="","",IF(C40="Serviço","S","P")&amp;SUBSTITUTE(SUBSTITUTE(SUBSTITUTE(D40,".",""),"-","")," ",""))</f>
        <v/>
      </c>
      <c r="U40" s="4" t="str">
        <f aca="false">IF(T40="","",IFERROR(MATCH(LEFT(T40,10),'Referência LC 214'!$N$6:$N$967,0),IFERROR(MATCH(LEFT(T40,9),'Referência LC 214'!$N$6:$N$967,0),IFERROR(MATCH(LEFT(T40,8),'Referência LC 214'!$N$6:$N$967,0),IFERROR(MATCH(LEFT(T40,7),'Referência LC 214'!$N$6:$N$967,0),IFERROR(MATCH(LEFT(T40,6),'Referência LC 214'!$N$6:$N$967,0),IFERROR(MATCH(LEFT(T40,5),'Referência LC 214'!$N$6:$N$967,0),IFERROR(MATCH(LEFT(T40,4),'Referência LC 214'!$N$6:$N$967,0),IFERROR(MATCH(LEFT(T40,3),'Referência LC 214'!$N$6:$N$967,0),"")))))))))</f>
        <v/>
      </c>
    </row>
    <row r="41" customFormat="false" ht="15" hidden="false" customHeight="false" outlineLevel="0" collapsed="false">
      <c r="A41" s="23"/>
      <c r="B41" s="24"/>
      <c r="C41" s="25"/>
      <c r="D41" s="23"/>
      <c r="E41" s="23"/>
      <c r="F41" s="25"/>
      <c r="G41" s="26" t="str">
        <f aca="false">IF(T41="","",SUMPRODUCT(--(LEFT(T41,LEN('Referência LC 214'!$N$6:$N$967))='Referência LC 214'!$N$6:$N$967)))</f>
        <v/>
      </c>
      <c r="H41" s="27" t="str">
        <f aca="false">IF(T41="","",IF(U41="","000001",INDEX('Referência LC 214'!$I$6:$I$967,U41)))</f>
        <v/>
      </c>
      <c r="I41" s="28" t="str">
        <f aca="false">IF(T41="","",IF(U41="","Sem anexo: tributação integral",INDEX('Referência LC 214'!$H$6:$H$967,U41)))</f>
        <v/>
      </c>
      <c r="J41" s="29" t="str">
        <f aca="false">IF(T41="","",IF(U41="",0,INDEX('Referência LC 214'!$K$6:$K$967,U41)))</f>
        <v/>
      </c>
      <c r="K41" s="28" t="str">
        <f aca="false">IF(OR(T41="",U41=""),"","Anexo "&amp;INDEX('Referência LC 214'!$E$6:$E$967,U41)&amp;", item "&amp;INDEX('Referência LC 214'!$F$6:$F$967,U41)&amp;": "&amp;INDEX('Referência LC 214'!$G$6:$G$967,U41))</f>
        <v/>
      </c>
      <c r="L41" s="28" t="str">
        <f aca="false">IF(OR(T41="",U41=""),"",IF(INDEX('Referência LC 214'!$L$6:$L$967,U41)&amp;""&lt;&gt;"",INDEX('Referência LC 214'!$L$6:$L$967,U41)&amp;"",IF(SUMPRODUCT((LEFT(T41,LEN('Referência LC 214'!$N$6:$N$967))='Referência LC 214'!$N$6:$N$967)*('Referência LC 214'!$L$6:$L$967&lt;&gt;""))&gt;0,"Há outro tratamento só para alguns compradores (ex.: órgão público/SUS) — veja a referência","")))</f>
        <v/>
      </c>
      <c r="M41" s="30" t="str">
        <f aca="false">IF(T41="","",IF(AND(C41&lt;&gt;"Serviço",LEN(T41)-1&lt;&gt;8),"NCM deve ter 8 dígitos",IF(AND(C41="Serviço",LEN(T41)-1&lt;&gt;9),"NBS deve ter 9 dígitos",IF(L41&lt;&gt;"","Benefício depende do comprador: confira a coluna N",IF(G41&gt;1,"Mais de uma regra: confira o item do anexo na referência",IF(G41=0,"Sem redução na LC 214","Confira se o produto é o descrito no item"))))))</f>
        <v/>
      </c>
      <c r="N41" s="25"/>
      <c r="O41" s="23"/>
      <c r="P41" s="25"/>
      <c r="Q41" s="25"/>
      <c r="R41" s="31"/>
      <c r="S41" s="24"/>
      <c r="T41" s="4" t="str">
        <f aca="false">IF(D41="","",IF(C41="Serviço","S","P")&amp;SUBSTITUTE(SUBSTITUTE(SUBSTITUTE(D41,".",""),"-","")," ",""))</f>
        <v/>
      </c>
      <c r="U41" s="4" t="str">
        <f aca="false">IF(T41="","",IFERROR(MATCH(LEFT(T41,10),'Referência LC 214'!$N$6:$N$967,0),IFERROR(MATCH(LEFT(T41,9),'Referência LC 214'!$N$6:$N$967,0),IFERROR(MATCH(LEFT(T41,8),'Referência LC 214'!$N$6:$N$967,0),IFERROR(MATCH(LEFT(T41,7),'Referência LC 214'!$N$6:$N$967,0),IFERROR(MATCH(LEFT(T41,6),'Referência LC 214'!$N$6:$N$967,0),IFERROR(MATCH(LEFT(T41,5),'Referência LC 214'!$N$6:$N$967,0),IFERROR(MATCH(LEFT(T41,4),'Referência LC 214'!$N$6:$N$967,0),IFERROR(MATCH(LEFT(T41,3),'Referência LC 214'!$N$6:$N$967,0),"")))))))))</f>
        <v/>
      </c>
    </row>
    <row r="42" customFormat="false" ht="15" hidden="false" customHeight="false" outlineLevel="0" collapsed="false">
      <c r="A42" s="23"/>
      <c r="B42" s="24"/>
      <c r="C42" s="25"/>
      <c r="D42" s="23"/>
      <c r="E42" s="23"/>
      <c r="F42" s="25"/>
      <c r="G42" s="26" t="str">
        <f aca="false">IF(T42="","",SUMPRODUCT(--(LEFT(T42,LEN('Referência LC 214'!$N$6:$N$967))='Referência LC 214'!$N$6:$N$967)))</f>
        <v/>
      </c>
      <c r="H42" s="27" t="str">
        <f aca="false">IF(T42="","",IF(U42="","000001",INDEX('Referência LC 214'!$I$6:$I$967,U42)))</f>
        <v/>
      </c>
      <c r="I42" s="28" t="str">
        <f aca="false">IF(T42="","",IF(U42="","Sem anexo: tributação integral",INDEX('Referência LC 214'!$H$6:$H$967,U42)))</f>
        <v/>
      </c>
      <c r="J42" s="29" t="str">
        <f aca="false">IF(T42="","",IF(U42="",0,INDEX('Referência LC 214'!$K$6:$K$967,U42)))</f>
        <v/>
      </c>
      <c r="K42" s="28" t="str">
        <f aca="false">IF(OR(T42="",U42=""),"","Anexo "&amp;INDEX('Referência LC 214'!$E$6:$E$967,U42)&amp;", item "&amp;INDEX('Referência LC 214'!$F$6:$F$967,U42)&amp;": "&amp;INDEX('Referência LC 214'!$G$6:$G$967,U42))</f>
        <v/>
      </c>
      <c r="L42" s="28" t="str">
        <f aca="false">IF(OR(T42="",U42=""),"",IF(INDEX('Referência LC 214'!$L$6:$L$967,U42)&amp;""&lt;&gt;"",INDEX('Referência LC 214'!$L$6:$L$967,U42)&amp;"",IF(SUMPRODUCT((LEFT(T42,LEN('Referência LC 214'!$N$6:$N$967))='Referência LC 214'!$N$6:$N$967)*('Referência LC 214'!$L$6:$L$967&lt;&gt;""))&gt;0,"Há outro tratamento só para alguns compradores (ex.: órgão público/SUS) — veja a referência","")))</f>
        <v/>
      </c>
      <c r="M42" s="30" t="str">
        <f aca="false">IF(T42="","",IF(AND(C42&lt;&gt;"Serviço",LEN(T42)-1&lt;&gt;8),"NCM deve ter 8 dígitos",IF(AND(C42="Serviço",LEN(T42)-1&lt;&gt;9),"NBS deve ter 9 dígitos",IF(L42&lt;&gt;"","Benefício depende do comprador: confira a coluna N",IF(G42&gt;1,"Mais de uma regra: confira o item do anexo na referência",IF(G42=0,"Sem redução na LC 214","Confira se o produto é o descrito no item"))))))</f>
        <v/>
      </c>
      <c r="N42" s="25"/>
      <c r="O42" s="23"/>
      <c r="P42" s="25"/>
      <c r="Q42" s="25"/>
      <c r="R42" s="31"/>
      <c r="S42" s="24"/>
      <c r="T42" s="4" t="str">
        <f aca="false">IF(D42="","",IF(C42="Serviço","S","P")&amp;SUBSTITUTE(SUBSTITUTE(SUBSTITUTE(D42,".",""),"-","")," ",""))</f>
        <v/>
      </c>
      <c r="U42" s="4" t="str">
        <f aca="false">IF(T42="","",IFERROR(MATCH(LEFT(T42,10),'Referência LC 214'!$N$6:$N$967,0),IFERROR(MATCH(LEFT(T42,9),'Referência LC 214'!$N$6:$N$967,0),IFERROR(MATCH(LEFT(T42,8),'Referência LC 214'!$N$6:$N$967,0),IFERROR(MATCH(LEFT(T42,7),'Referência LC 214'!$N$6:$N$967,0),IFERROR(MATCH(LEFT(T42,6),'Referência LC 214'!$N$6:$N$967,0),IFERROR(MATCH(LEFT(T42,5),'Referência LC 214'!$N$6:$N$967,0),IFERROR(MATCH(LEFT(T42,4),'Referência LC 214'!$N$6:$N$967,0),IFERROR(MATCH(LEFT(T42,3),'Referência LC 214'!$N$6:$N$967,0),"")))))))))</f>
        <v/>
      </c>
    </row>
    <row r="43" customFormat="false" ht="15" hidden="false" customHeight="false" outlineLevel="0" collapsed="false">
      <c r="A43" s="23"/>
      <c r="B43" s="24"/>
      <c r="C43" s="25"/>
      <c r="D43" s="23"/>
      <c r="E43" s="23"/>
      <c r="F43" s="25"/>
      <c r="G43" s="26" t="str">
        <f aca="false">IF(T43="","",SUMPRODUCT(--(LEFT(T43,LEN('Referência LC 214'!$N$6:$N$967))='Referência LC 214'!$N$6:$N$967)))</f>
        <v/>
      </c>
      <c r="H43" s="27" t="str">
        <f aca="false">IF(T43="","",IF(U43="","000001",INDEX('Referência LC 214'!$I$6:$I$967,U43)))</f>
        <v/>
      </c>
      <c r="I43" s="28" t="str">
        <f aca="false">IF(T43="","",IF(U43="","Sem anexo: tributação integral",INDEX('Referência LC 214'!$H$6:$H$967,U43)))</f>
        <v/>
      </c>
      <c r="J43" s="29" t="str">
        <f aca="false">IF(T43="","",IF(U43="",0,INDEX('Referência LC 214'!$K$6:$K$967,U43)))</f>
        <v/>
      </c>
      <c r="K43" s="28" t="str">
        <f aca="false">IF(OR(T43="",U43=""),"","Anexo "&amp;INDEX('Referência LC 214'!$E$6:$E$967,U43)&amp;", item "&amp;INDEX('Referência LC 214'!$F$6:$F$967,U43)&amp;": "&amp;INDEX('Referência LC 214'!$G$6:$G$967,U43))</f>
        <v/>
      </c>
      <c r="L43" s="28" t="str">
        <f aca="false">IF(OR(T43="",U43=""),"",IF(INDEX('Referência LC 214'!$L$6:$L$967,U43)&amp;""&lt;&gt;"",INDEX('Referência LC 214'!$L$6:$L$967,U43)&amp;"",IF(SUMPRODUCT((LEFT(T43,LEN('Referência LC 214'!$N$6:$N$967))='Referência LC 214'!$N$6:$N$967)*('Referência LC 214'!$L$6:$L$967&lt;&gt;""))&gt;0,"Há outro tratamento só para alguns compradores (ex.: órgão público/SUS) — veja a referência","")))</f>
        <v/>
      </c>
      <c r="M43" s="30" t="str">
        <f aca="false">IF(T43="","",IF(AND(C43&lt;&gt;"Serviço",LEN(T43)-1&lt;&gt;8),"NCM deve ter 8 dígitos",IF(AND(C43="Serviço",LEN(T43)-1&lt;&gt;9),"NBS deve ter 9 dígitos",IF(L43&lt;&gt;"","Benefício depende do comprador: confira a coluna N",IF(G43&gt;1,"Mais de uma regra: confira o item do anexo na referência",IF(G43=0,"Sem redução na LC 214","Confira se o produto é o descrito no item"))))))</f>
        <v/>
      </c>
      <c r="N43" s="25"/>
      <c r="O43" s="23"/>
      <c r="P43" s="25"/>
      <c r="Q43" s="25"/>
      <c r="R43" s="31"/>
      <c r="S43" s="24"/>
      <c r="T43" s="4" t="str">
        <f aca="false">IF(D43="","",IF(C43="Serviço","S","P")&amp;SUBSTITUTE(SUBSTITUTE(SUBSTITUTE(D43,".",""),"-","")," ",""))</f>
        <v/>
      </c>
      <c r="U43" s="4" t="str">
        <f aca="false">IF(T43="","",IFERROR(MATCH(LEFT(T43,10),'Referência LC 214'!$N$6:$N$967,0),IFERROR(MATCH(LEFT(T43,9),'Referência LC 214'!$N$6:$N$967,0),IFERROR(MATCH(LEFT(T43,8),'Referência LC 214'!$N$6:$N$967,0),IFERROR(MATCH(LEFT(T43,7),'Referência LC 214'!$N$6:$N$967,0),IFERROR(MATCH(LEFT(T43,6),'Referência LC 214'!$N$6:$N$967,0),IFERROR(MATCH(LEFT(T43,5),'Referência LC 214'!$N$6:$N$967,0),IFERROR(MATCH(LEFT(T43,4),'Referência LC 214'!$N$6:$N$967,0),IFERROR(MATCH(LEFT(T43,3),'Referência LC 214'!$N$6:$N$967,0),"")))))))))</f>
        <v/>
      </c>
    </row>
    <row r="44" customFormat="false" ht="15" hidden="false" customHeight="false" outlineLevel="0" collapsed="false">
      <c r="A44" s="23"/>
      <c r="B44" s="24"/>
      <c r="C44" s="25"/>
      <c r="D44" s="23"/>
      <c r="E44" s="23"/>
      <c r="F44" s="25"/>
      <c r="G44" s="26" t="str">
        <f aca="false">IF(T44="","",SUMPRODUCT(--(LEFT(T44,LEN('Referência LC 214'!$N$6:$N$967))='Referência LC 214'!$N$6:$N$967)))</f>
        <v/>
      </c>
      <c r="H44" s="27" t="str">
        <f aca="false">IF(T44="","",IF(U44="","000001",INDEX('Referência LC 214'!$I$6:$I$967,U44)))</f>
        <v/>
      </c>
      <c r="I44" s="28" t="str">
        <f aca="false">IF(T44="","",IF(U44="","Sem anexo: tributação integral",INDEX('Referência LC 214'!$H$6:$H$967,U44)))</f>
        <v/>
      </c>
      <c r="J44" s="29" t="str">
        <f aca="false">IF(T44="","",IF(U44="",0,INDEX('Referência LC 214'!$K$6:$K$967,U44)))</f>
        <v/>
      </c>
      <c r="K44" s="28" t="str">
        <f aca="false">IF(OR(T44="",U44=""),"","Anexo "&amp;INDEX('Referência LC 214'!$E$6:$E$967,U44)&amp;", item "&amp;INDEX('Referência LC 214'!$F$6:$F$967,U44)&amp;": "&amp;INDEX('Referência LC 214'!$G$6:$G$967,U44))</f>
        <v/>
      </c>
      <c r="L44" s="28" t="str">
        <f aca="false">IF(OR(T44="",U44=""),"",IF(INDEX('Referência LC 214'!$L$6:$L$967,U44)&amp;""&lt;&gt;"",INDEX('Referência LC 214'!$L$6:$L$967,U44)&amp;"",IF(SUMPRODUCT((LEFT(T44,LEN('Referência LC 214'!$N$6:$N$967))='Referência LC 214'!$N$6:$N$967)*('Referência LC 214'!$L$6:$L$967&lt;&gt;""))&gt;0,"Há outro tratamento só para alguns compradores (ex.: órgão público/SUS) — veja a referência","")))</f>
        <v/>
      </c>
      <c r="M44" s="30" t="str">
        <f aca="false">IF(T44="","",IF(AND(C44&lt;&gt;"Serviço",LEN(T44)-1&lt;&gt;8),"NCM deve ter 8 dígitos",IF(AND(C44="Serviço",LEN(T44)-1&lt;&gt;9),"NBS deve ter 9 dígitos",IF(L44&lt;&gt;"","Benefício depende do comprador: confira a coluna N",IF(G44&gt;1,"Mais de uma regra: confira o item do anexo na referência",IF(G44=0,"Sem redução na LC 214","Confira se o produto é o descrito no item"))))))</f>
        <v/>
      </c>
      <c r="N44" s="25"/>
      <c r="O44" s="23"/>
      <c r="P44" s="25"/>
      <c r="Q44" s="25"/>
      <c r="R44" s="31"/>
      <c r="S44" s="24"/>
      <c r="T44" s="4" t="str">
        <f aca="false">IF(D44="","",IF(C44="Serviço","S","P")&amp;SUBSTITUTE(SUBSTITUTE(SUBSTITUTE(D44,".",""),"-","")," ",""))</f>
        <v/>
      </c>
      <c r="U44" s="4" t="str">
        <f aca="false">IF(T44="","",IFERROR(MATCH(LEFT(T44,10),'Referência LC 214'!$N$6:$N$967,0),IFERROR(MATCH(LEFT(T44,9),'Referência LC 214'!$N$6:$N$967,0),IFERROR(MATCH(LEFT(T44,8),'Referência LC 214'!$N$6:$N$967,0),IFERROR(MATCH(LEFT(T44,7),'Referência LC 214'!$N$6:$N$967,0),IFERROR(MATCH(LEFT(T44,6),'Referência LC 214'!$N$6:$N$967,0),IFERROR(MATCH(LEFT(T44,5),'Referência LC 214'!$N$6:$N$967,0),IFERROR(MATCH(LEFT(T44,4),'Referência LC 214'!$N$6:$N$967,0),IFERROR(MATCH(LEFT(T44,3),'Referência LC 214'!$N$6:$N$967,0),"")))))))))</f>
        <v/>
      </c>
    </row>
    <row r="45" customFormat="false" ht="15" hidden="false" customHeight="false" outlineLevel="0" collapsed="false">
      <c r="A45" s="23"/>
      <c r="B45" s="24"/>
      <c r="C45" s="25"/>
      <c r="D45" s="23"/>
      <c r="E45" s="23"/>
      <c r="F45" s="25"/>
      <c r="G45" s="26" t="str">
        <f aca="false">IF(T45="","",SUMPRODUCT(--(LEFT(T45,LEN('Referência LC 214'!$N$6:$N$967))='Referência LC 214'!$N$6:$N$967)))</f>
        <v/>
      </c>
      <c r="H45" s="27" t="str">
        <f aca="false">IF(T45="","",IF(U45="","000001",INDEX('Referência LC 214'!$I$6:$I$967,U45)))</f>
        <v/>
      </c>
      <c r="I45" s="28" t="str">
        <f aca="false">IF(T45="","",IF(U45="","Sem anexo: tributação integral",INDEX('Referência LC 214'!$H$6:$H$967,U45)))</f>
        <v/>
      </c>
      <c r="J45" s="29" t="str">
        <f aca="false">IF(T45="","",IF(U45="",0,INDEX('Referência LC 214'!$K$6:$K$967,U45)))</f>
        <v/>
      </c>
      <c r="K45" s="28" t="str">
        <f aca="false">IF(OR(T45="",U45=""),"","Anexo "&amp;INDEX('Referência LC 214'!$E$6:$E$967,U45)&amp;", item "&amp;INDEX('Referência LC 214'!$F$6:$F$967,U45)&amp;": "&amp;INDEX('Referência LC 214'!$G$6:$G$967,U45))</f>
        <v/>
      </c>
      <c r="L45" s="28" t="str">
        <f aca="false">IF(OR(T45="",U45=""),"",IF(INDEX('Referência LC 214'!$L$6:$L$967,U45)&amp;""&lt;&gt;"",INDEX('Referência LC 214'!$L$6:$L$967,U45)&amp;"",IF(SUMPRODUCT((LEFT(T45,LEN('Referência LC 214'!$N$6:$N$967))='Referência LC 214'!$N$6:$N$967)*('Referência LC 214'!$L$6:$L$967&lt;&gt;""))&gt;0,"Há outro tratamento só para alguns compradores (ex.: órgão público/SUS) — veja a referência","")))</f>
        <v/>
      </c>
      <c r="M45" s="30" t="str">
        <f aca="false">IF(T45="","",IF(AND(C45&lt;&gt;"Serviço",LEN(T45)-1&lt;&gt;8),"NCM deve ter 8 dígitos",IF(AND(C45="Serviço",LEN(T45)-1&lt;&gt;9),"NBS deve ter 9 dígitos",IF(L45&lt;&gt;"","Benefício depende do comprador: confira a coluna N",IF(G45&gt;1,"Mais de uma regra: confira o item do anexo na referência",IF(G45=0,"Sem redução na LC 214","Confira se o produto é o descrito no item"))))))</f>
        <v/>
      </c>
      <c r="N45" s="25"/>
      <c r="O45" s="23"/>
      <c r="P45" s="25"/>
      <c r="Q45" s="25"/>
      <c r="R45" s="31"/>
      <c r="S45" s="24"/>
      <c r="T45" s="4" t="str">
        <f aca="false">IF(D45="","",IF(C45="Serviço","S","P")&amp;SUBSTITUTE(SUBSTITUTE(SUBSTITUTE(D45,".",""),"-","")," ",""))</f>
        <v/>
      </c>
      <c r="U45" s="4" t="str">
        <f aca="false">IF(T45="","",IFERROR(MATCH(LEFT(T45,10),'Referência LC 214'!$N$6:$N$967,0),IFERROR(MATCH(LEFT(T45,9),'Referência LC 214'!$N$6:$N$967,0),IFERROR(MATCH(LEFT(T45,8),'Referência LC 214'!$N$6:$N$967,0),IFERROR(MATCH(LEFT(T45,7),'Referência LC 214'!$N$6:$N$967,0),IFERROR(MATCH(LEFT(T45,6),'Referência LC 214'!$N$6:$N$967,0),IFERROR(MATCH(LEFT(T45,5),'Referência LC 214'!$N$6:$N$967,0),IFERROR(MATCH(LEFT(T45,4),'Referência LC 214'!$N$6:$N$967,0),IFERROR(MATCH(LEFT(T45,3),'Referência LC 214'!$N$6:$N$967,0),"")))))))))</f>
        <v/>
      </c>
    </row>
    <row r="46" customFormat="false" ht="15" hidden="false" customHeight="false" outlineLevel="0" collapsed="false">
      <c r="A46" s="23"/>
      <c r="B46" s="24"/>
      <c r="C46" s="25"/>
      <c r="D46" s="23"/>
      <c r="E46" s="23"/>
      <c r="F46" s="25"/>
      <c r="G46" s="26" t="str">
        <f aca="false">IF(T46="","",SUMPRODUCT(--(LEFT(T46,LEN('Referência LC 214'!$N$6:$N$967))='Referência LC 214'!$N$6:$N$967)))</f>
        <v/>
      </c>
      <c r="H46" s="27" t="str">
        <f aca="false">IF(T46="","",IF(U46="","000001",INDEX('Referência LC 214'!$I$6:$I$967,U46)))</f>
        <v/>
      </c>
      <c r="I46" s="28" t="str">
        <f aca="false">IF(T46="","",IF(U46="","Sem anexo: tributação integral",INDEX('Referência LC 214'!$H$6:$H$967,U46)))</f>
        <v/>
      </c>
      <c r="J46" s="29" t="str">
        <f aca="false">IF(T46="","",IF(U46="",0,INDEX('Referência LC 214'!$K$6:$K$967,U46)))</f>
        <v/>
      </c>
      <c r="K46" s="28" t="str">
        <f aca="false">IF(OR(T46="",U46=""),"","Anexo "&amp;INDEX('Referência LC 214'!$E$6:$E$967,U46)&amp;", item "&amp;INDEX('Referência LC 214'!$F$6:$F$967,U46)&amp;": "&amp;INDEX('Referência LC 214'!$G$6:$G$967,U46))</f>
        <v/>
      </c>
      <c r="L46" s="28" t="str">
        <f aca="false">IF(OR(T46="",U46=""),"",IF(INDEX('Referência LC 214'!$L$6:$L$967,U46)&amp;""&lt;&gt;"",INDEX('Referência LC 214'!$L$6:$L$967,U46)&amp;"",IF(SUMPRODUCT((LEFT(T46,LEN('Referência LC 214'!$N$6:$N$967))='Referência LC 214'!$N$6:$N$967)*('Referência LC 214'!$L$6:$L$967&lt;&gt;""))&gt;0,"Há outro tratamento só para alguns compradores (ex.: órgão público/SUS) — veja a referência","")))</f>
        <v/>
      </c>
      <c r="M46" s="30" t="str">
        <f aca="false">IF(T46="","",IF(AND(C46&lt;&gt;"Serviço",LEN(T46)-1&lt;&gt;8),"NCM deve ter 8 dígitos",IF(AND(C46="Serviço",LEN(T46)-1&lt;&gt;9),"NBS deve ter 9 dígitos",IF(L46&lt;&gt;"","Benefício depende do comprador: confira a coluna N",IF(G46&gt;1,"Mais de uma regra: confira o item do anexo na referência",IF(G46=0,"Sem redução na LC 214","Confira se o produto é o descrito no item"))))))</f>
        <v/>
      </c>
      <c r="N46" s="25"/>
      <c r="O46" s="23"/>
      <c r="P46" s="25"/>
      <c r="Q46" s="25"/>
      <c r="R46" s="31"/>
      <c r="S46" s="24"/>
      <c r="T46" s="4" t="str">
        <f aca="false">IF(D46="","",IF(C46="Serviço","S","P")&amp;SUBSTITUTE(SUBSTITUTE(SUBSTITUTE(D46,".",""),"-","")," ",""))</f>
        <v/>
      </c>
      <c r="U46" s="4" t="str">
        <f aca="false">IF(T46="","",IFERROR(MATCH(LEFT(T46,10),'Referência LC 214'!$N$6:$N$967,0),IFERROR(MATCH(LEFT(T46,9),'Referência LC 214'!$N$6:$N$967,0),IFERROR(MATCH(LEFT(T46,8),'Referência LC 214'!$N$6:$N$967,0),IFERROR(MATCH(LEFT(T46,7),'Referência LC 214'!$N$6:$N$967,0),IFERROR(MATCH(LEFT(T46,6),'Referência LC 214'!$N$6:$N$967,0),IFERROR(MATCH(LEFT(T46,5),'Referência LC 214'!$N$6:$N$967,0),IFERROR(MATCH(LEFT(T46,4),'Referência LC 214'!$N$6:$N$967,0),IFERROR(MATCH(LEFT(T46,3),'Referência LC 214'!$N$6:$N$967,0),"")))))))))</f>
        <v/>
      </c>
    </row>
    <row r="47" customFormat="false" ht="15" hidden="false" customHeight="false" outlineLevel="0" collapsed="false">
      <c r="A47" s="23"/>
      <c r="B47" s="24"/>
      <c r="C47" s="25"/>
      <c r="D47" s="23"/>
      <c r="E47" s="23"/>
      <c r="F47" s="25"/>
      <c r="G47" s="26" t="str">
        <f aca="false">IF(T47="","",SUMPRODUCT(--(LEFT(T47,LEN('Referência LC 214'!$N$6:$N$967))='Referência LC 214'!$N$6:$N$967)))</f>
        <v/>
      </c>
      <c r="H47" s="27" t="str">
        <f aca="false">IF(T47="","",IF(U47="","000001",INDEX('Referência LC 214'!$I$6:$I$967,U47)))</f>
        <v/>
      </c>
      <c r="I47" s="28" t="str">
        <f aca="false">IF(T47="","",IF(U47="","Sem anexo: tributação integral",INDEX('Referência LC 214'!$H$6:$H$967,U47)))</f>
        <v/>
      </c>
      <c r="J47" s="29" t="str">
        <f aca="false">IF(T47="","",IF(U47="",0,INDEX('Referência LC 214'!$K$6:$K$967,U47)))</f>
        <v/>
      </c>
      <c r="K47" s="28" t="str">
        <f aca="false">IF(OR(T47="",U47=""),"","Anexo "&amp;INDEX('Referência LC 214'!$E$6:$E$967,U47)&amp;", item "&amp;INDEX('Referência LC 214'!$F$6:$F$967,U47)&amp;": "&amp;INDEX('Referência LC 214'!$G$6:$G$967,U47))</f>
        <v/>
      </c>
      <c r="L47" s="28" t="str">
        <f aca="false">IF(OR(T47="",U47=""),"",IF(INDEX('Referência LC 214'!$L$6:$L$967,U47)&amp;""&lt;&gt;"",INDEX('Referência LC 214'!$L$6:$L$967,U47)&amp;"",IF(SUMPRODUCT((LEFT(T47,LEN('Referência LC 214'!$N$6:$N$967))='Referência LC 214'!$N$6:$N$967)*('Referência LC 214'!$L$6:$L$967&lt;&gt;""))&gt;0,"Há outro tratamento só para alguns compradores (ex.: órgão público/SUS) — veja a referência","")))</f>
        <v/>
      </c>
      <c r="M47" s="30" t="str">
        <f aca="false">IF(T47="","",IF(AND(C47&lt;&gt;"Serviço",LEN(T47)-1&lt;&gt;8),"NCM deve ter 8 dígitos",IF(AND(C47="Serviço",LEN(T47)-1&lt;&gt;9),"NBS deve ter 9 dígitos",IF(L47&lt;&gt;"","Benefício depende do comprador: confira a coluna N",IF(G47&gt;1,"Mais de uma regra: confira o item do anexo na referência",IF(G47=0,"Sem redução na LC 214","Confira se o produto é o descrito no item"))))))</f>
        <v/>
      </c>
      <c r="N47" s="25"/>
      <c r="O47" s="23"/>
      <c r="P47" s="25"/>
      <c r="Q47" s="25"/>
      <c r="R47" s="31"/>
      <c r="S47" s="24"/>
      <c r="T47" s="4" t="str">
        <f aca="false">IF(D47="","",IF(C47="Serviço","S","P")&amp;SUBSTITUTE(SUBSTITUTE(SUBSTITUTE(D47,".",""),"-","")," ",""))</f>
        <v/>
      </c>
      <c r="U47" s="4" t="str">
        <f aca="false">IF(T47="","",IFERROR(MATCH(LEFT(T47,10),'Referência LC 214'!$N$6:$N$967,0),IFERROR(MATCH(LEFT(T47,9),'Referência LC 214'!$N$6:$N$967,0),IFERROR(MATCH(LEFT(T47,8),'Referência LC 214'!$N$6:$N$967,0),IFERROR(MATCH(LEFT(T47,7),'Referência LC 214'!$N$6:$N$967,0),IFERROR(MATCH(LEFT(T47,6),'Referência LC 214'!$N$6:$N$967,0),IFERROR(MATCH(LEFT(T47,5),'Referência LC 214'!$N$6:$N$967,0),IFERROR(MATCH(LEFT(T47,4),'Referência LC 214'!$N$6:$N$967,0),IFERROR(MATCH(LEFT(T47,3),'Referência LC 214'!$N$6:$N$967,0),"")))))))))</f>
        <v/>
      </c>
    </row>
    <row r="48" customFormat="false" ht="15" hidden="false" customHeight="false" outlineLevel="0" collapsed="false">
      <c r="A48" s="23"/>
      <c r="B48" s="24"/>
      <c r="C48" s="25"/>
      <c r="D48" s="23"/>
      <c r="E48" s="23"/>
      <c r="F48" s="25"/>
      <c r="G48" s="26" t="str">
        <f aca="false">IF(T48="","",SUMPRODUCT(--(LEFT(T48,LEN('Referência LC 214'!$N$6:$N$967))='Referência LC 214'!$N$6:$N$967)))</f>
        <v/>
      </c>
      <c r="H48" s="27" t="str">
        <f aca="false">IF(T48="","",IF(U48="","000001",INDEX('Referência LC 214'!$I$6:$I$967,U48)))</f>
        <v/>
      </c>
      <c r="I48" s="28" t="str">
        <f aca="false">IF(T48="","",IF(U48="","Sem anexo: tributação integral",INDEX('Referência LC 214'!$H$6:$H$967,U48)))</f>
        <v/>
      </c>
      <c r="J48" s="29" t="str">
        <f aca="false">IF(T48="","",IF(U48="",0,INDEX('Referência LC 214'!$K$6:$K$967,U48)))</f>
        <v/>
      </c>
      <c r="K48" s="28" t="str">
        <f aca="false">IF(OR(T48="",U48=""),"","Anexo "&amp;INDEX('Referência LC 214'!$E$6:$E$967,U48)&amp;", item "&amp;INDEX('Referência LC 214'!$F$6:$F$967,U48)&amp;": "&amp;INDEX('Referência LC 214'!$G$6:$G$967,U48))</f>
        <v/>
      </c>
      <c r="L48" s="28" t="str">
        <f aca="false">IF(OR(T48="",U48=""),"",IF(INDEX('Referência LC 214'!$L$6:$L$967,U48)&amp;""&lt;&gt;"",INDEX('Referência LC 214'!$L$6:$L$967,U48)&amp;"",IF(SUMPRODUCT((LEFT(T48,LEN('Referência LC 214'!$N$6:$N$967))='Referência LC 214'!$N$6:$N$967)*('Referência LC 214'!$L$6:$L$967&lt;&gt;""))&gt;0,"Há outro tratamento só para alguns compradores (ex.: órgão público/SUS) — veja a referência","")))</f>
        <v/>
      </c>
      <c r="M48" s="30" t="str">
        <f aca="false">IF(T48="","",IF(AND(C48&lt;&gt;"Serviço",LEN(T48)-1&lt;&gt;8),"NCM deve ter 8 dígitos",IF(AND(C48="Serviço",LEN(T48)-1&lt;&gt;9),"NBS deve ter 9 dígitos",IF(L48&lt;&gt;"","Benefício depende do comprador: confira a coluna N",IF(G48&gt;1,"Mais de uma regra: confira o item do anexo na referência",IF(G48=0,"Sem redução na LC 214","Confira se o produto é o descrito no item"))))))</f>
        <v/>
      </c>
      <c r="N48" s="25"/>
      <c r="O48" s="23"/>
      <c r="P48" s="25"/>
      <c r="Q48" s="25"/>
      <c r="R48" s="31"/>
      <c r="S48" s="24"/>
      <c r="T48" s="4" t="str">
        <f aca="false">IF(D48="","",IF(C48="Serviço","S","P")&amp;SUBSTITUTE(SUBSTITUTE(SUBSTITUTE(D48,".",""),"-","")," ",""))</f>
        <v/>
      </c>
      <c r="U48" s="4" t="str">
        <f aca="false">IF(T48="","",IFERROR(MATCH(LEFT(T48,10),'Referência LC 214'!$N$6:$N$967,0),IFERROR(MATCH(LEFT(T48,9),'Referência LC 214'!$N$6:$N$967,0),IFERROR(MATCH(LEFT(T48,8),'Referência LC 214'!$N$6:$N$967,0),IFERROR(MATCH(LEFT(T48,7),'Referência LC 214'!$N$6:$N$967,0),IFERROR(MATCH(LEFT(T48,6),'Referência LC 214'!$N$6:$N$967,0),IFERROR(MATCH(LEFT(T48,5),'Referência LC 214'!$N$6:$N$967,0),IFERROR(MATCH(LEFT(T48,4),'Referência LC 214'!$N$6:$N$967,0),IFERROR(MATCH(LEFT(T48,3),'Referência LC 214'!$N$6:$N$967,0),"")))))))))</f>
        <v/>
      </c>
    </row>
    <row r="49" customFormat="false" ht="15" hidden="false" customHeight="false" outlineLevel="0" collapsed="false">
      <c r="A49" s="23"/>
      <c r="B49" s="24"/>
      <c r="C49" s="25"/>
      <c r="D49" s="23"/>
      <c r="E49" s="23"/>
      <c r="F49" s="25"/>
      <c r="G49" s="26" t="str">
        <f aca="false">IF(T49="","",SUMPRODUCT(--(LEFT(T49,LEN('Referência LC 214'!$N$6:$N$967))='Referência LC 214'!$N$6:$N$967)))</f>
        <v/>
      </c>
      <c r="H49" s="27" t="str">
        <f aca="false">IF(T49="","",IF(U49="","000001",INDEX('Referência LC 214'!$I$6:$I$967,U49)))</f>
        <v/>
      </c>
      <c r="I49" s="28" t="str">
        <f aca="false">IF(T49="","",IF(U49="","Sem anexo: tributação integral",INDEX('Referência LC 214'!$H$6:$H$967,U49)))</f>
        <v/>
      </c>
      <c r="J49" s="29" t="str">
        <f aca="false">IF(T49="","",IF(U49="",0,INDEX('Referência LC 214'!$K$6:$K$967,U49)))</f>
        <v/>
      </c>
      <c r="K49" s="28" t="str">
        <f aca="false">IF(OR(T49="",U49=""),"","Anexo "&amp;INDEX('Referência LC 214'!$E$6:$E$967,U49)&amp;", item "&amp;INDEX('Referência LC 214'!$F$6:$F$967,U49)&amp;": "&amp;INDEX('Referência LC 214'!$G$6:$G$967,U49))</f>
        <v/>
      </c>
      <c r="L49" s="28" t="str">
        <f aca="false">IF(OR(T49="",U49=""),"",IF(INDEX('Referência LC 214'!$L$6:$L$967,U49)&amp;""&lt;&gt;"",INDEX('Referência LC 214'!$L$6:$L$967,U49)&amp;"",IF(SUMPRODUCT((LEFT(T49,LEN('Referência LC 214'!$N$6:$N$967))='Referência LC 214'!$N$6:$N$967)*('Referência LC 214'!$L$6:$L$967&lt;&gt;""))&gt;0,"Há outro tratamento só para alguns compradores (ex.: órgão público/SUS) — veja a referência","")))</f>
        <v/>
      </c>
      <c r="M49" s="30" t="str">
        <f aca="false">IF(T49="","",IF(AND(C49&lt;&gt;"Serviço",LEN(T49)-1&lt;&gt;8),"NCM deve ter 8 dígitos",IF(AND(C49="Serviço",LEN(T49)-1&lt;&gt;9),"NBS deve ter 9 dígitos",IF(L49&lt;&gt;"","Benefício depende do comprador: confira a coluna N",IF(G49&gt;1,"Mais de uma regra: confira o item do anexo na referência",IF(G49=0,"Sem redução na LC 214","Confira se o produto é o descrito no item"))))))</f>
        <v/>
      </c>
      <c r="N49" s="25"/>
      <c r="O49" s="23"/>
      <c r="P49" s="25"/>
      <c r="Q49" s="25"/>
      <c r="R49" s="31"/>
      <c r="S49" s="24"/>
      <c r="T49" s="4" t="str">
        <f aca="false">IF(D49="","",IF(C49="Serviço","S","P")&amp;SUBSTITUTE(SUBSTITUTE(SUBSTITUTE(D49,".",""),"-","")," ",""))</f>
        <v/>
      </c>
      <c r="U49" s="4" t="str">
        <f aca="false">IF(T49="","",IFERROR(MATCH(LEFT(T49,10),'Referência LC 214'!$N$6:$N$967,0),IFERROR(MATCH(LEFT(T49,9),'Referência LC 214'!$N$6:$N$967,0),IFERROR(MATCH(LEFT(T49,8),'Referência LC 214'!$N$6:$N$967,0),IFERROR(MATCH(LEFT(T49,7),'Referência LC 214'!$N$6:$N$967,0),IFERROR(MATCH(LEFT(T49,6),'Referência LC 214'!$N$6:$N$967,0),IFERROR(MATCH(LEFT(T49,5),'Referência LC 214'!$N$6:$N$967,0),IFERROR(MATCH(LEFT(T49,4),'Referência LC 214'!$N$6:$N$967,0),IFERROR(MATCH(LEFT(T49,3),'Referência LC 214'!$N$6:$N$967,0),"")))))))))</f>
        <v/>
      </c>
    </row>
    <row r="50" customFormat="false" ht="15" hidden="false" customHeight="false" outlineLevel="0" collapsed="false">
      <c r="A50" s="23"/>
      <c r="B50" s="24"/>
      <c r="C50" s="25"/>
      <c r="D50" s="23"/>
      <c r="E50" s="23"/>
      <c r="F50" s="25"/>
      <c r="G50" s="26" t="str">
        <f aca="false">IF(T50="","",SUMPRODUCT(--(LEFT(T50,LEN('Referência LC 214'!$N$6:$N$967))='Referência LC 214'!$N$6:$N$967)))</f>
        <v/>
      </c>
      <c r="H50" s="27" t="str">
        <f aca="false">IF(T50="","",IF(U50="","000001",INDEX('Referência LC 214'!$I$6:$I$967,U50)))</f>
        <v/>
      </c>
      <c r="I50" s="28" t="str">
        <f aca="false">IF(T50="","",IF(U50="","Sem anexo: tributação integral",INDEX('Referência LC 214'!$H$6:$H$967,U50)))</f>
        <v/>
      </c>
      <c r="J50" s="29" t="str">
        <f aca="false">IF(T50="","",IF(U50="",0,INDEX('Referência LC 214'!$K$6:$K$967,U50)))</f>
        <v/>
      </c>
      <c r="K50" s="28" t="str">
        <f aca="false">IF(OR(T50="",U50=""),"","Anexo "&amp;INDEX('Referência LC 214'!$E$6:$E$967,U50)&amp;", item "&amp;INDEX('Referência LC 214'!$F$6:$F$967,U50)&amp;": "&amp;INDEX('Referência LC 214'!$G$6:$G$967,U50))</f>
        <v/>
      </c>
      <c r="L50" s="28" t="str">
        <f aca="false">IF(OR(T50="",U50=""),"",IF(INDEX('Referência LC 214'!$L$6:$L$967,U50)&amp;""&lt;&gt;"",INDEX('Referência LC 214'!$L$6:$L$967,U50)&amp;"",IF(SUMPRODUCT((LEFT(T50,LEN('Referência LC 214'!$N$6:$N$967))='Referência LC 214'!$N$6:$N$967)*('Referência LC 214'!$L$6:$L$967&lt;&gt;""))&gt;0,"Há outro tratamento só para alguns compradores (ex.: órgão público/SUS) — veja a referência","")))</f>
        <v/>
      </c>
      <c r="M50" s="30" t="str">
        <f aca="false">IF(T50="","",IF(AND(C50&lt;&gt;"Serviço",LEN(T50)-1&lt;&gt;8),"NCM deve ter 8 dígitos",IF(AND(C50="Serviço",LEN(T50)-1&lt;&gt;9),"NBS deve ter 9 dígitos",IF(L50&lt;&gt;"","Benefício depende do comprador: confira a coluna N",IF(G50&gt;1,"Mais de uma regra: confira o item do anexo na referência",IF(G50=0,"Sem redução na LC 214","Confira se o produto é o descrito no item"))))))</f>
        <v/>
      </c>
      <c r="N50" s="25"/>
      <c r="O50" s="23"/>
      <c r="P50" s="25"/>
      <c r="Q50" s="25"/>
      <c r="R50" s="31"/>
      <c r="S50" s="24"/>
      <c r="T50" s="4" t="str">
        <f aca="false">IF(D50="","",IF(C50="Serviço","S","P")&amp;SUBSTITUTE(SUBSTITUTE(SUBSTITUTE(D50,".",""),"-","")," ",""))</f>
        <v/>
      </c>
      <c r="U50" s="4" t="str">
        <f aca="false">IF(T50="","",IFERROR(MATCH(LEFT(T50,10),'Referência LC 214'!$N$6:$N$967,0),IFERROR(MATCH(LEFT(T50,9),'Referência LC 214'!$N$6:$N$967,0),IFERROR(MATCH(LEFT(T50,8),'Referência LC 214'!$N$6:$N$967,0),IFERROR(MATCH(LEFT(T50,7),'Referência LC 214'!$N$6:$N$967,0),IFERROR(MATCH(LEFT(T50,6),'Referência LC 214'!$N$6:$N$967,0),IFERROR(MATCH(LEFT(T50,5),'Referência LC 214'!$N$6:$N$967,0),IFERROR(MATCH(LEFT(T50,4),'Referência LC 214'!$N$6:$N$967,0),IFERROR(MATCH(LEFT(T50,3),'Referência LC 214'!$N$6:$N$967,0),"")))))))))</f>
        <v/>
      </c>
    </row>
    <row r="51" customFormat="false" ht="15" hidden="false" customHeight="false" outlineLevel="0" collapsed="false">
      <c r="A51" s="23"/>
      <c r="B51" s="24"/>
      <c r="C51" s="25"/>
      <c r="D51" s="23"/>
      <c r="E51" s="23"/>
      <c r="F51" s="25"/>
      <c r="G51" s="26" t="str">
        <f aca="false">IF(T51="","",SUMPRODUCT(--(LEFT(T51,LEN('Referência LC 214'!$N$6:$N$967))='Referência LC 214'!$N$6:$N$967)))</f>
        <v/>
      </c>
      <c r="H51" s="27" t="str">
        <f aca="false">IF(T51="","",IF(U51="","000001",INDEX('Referência LC 214'!$I$6:$I$967,U51)))</f>
        <v/>
      </c>
      <c r="I51" s="28" t="str">
        <f aca="false">IF(T51="","",IF(U51="","Sem anexo: tributação integral",INDEX('Referência LC 214'!$H$6:$H$967,U51)))</f>
        <v/>
      </c>
      <c r="J51" s="29" t="str">
        <f aca="false">IF(T51="","",IF(U51="",0,INDEX('Referência LC 214'!$K$6:$K$967,U51)))</f>
        <v/>
      </c>
      <c r="K51" s="28" t="str">
        <f aca="false">IF(OR(T51="",U51=""),"","Anexo "&amp;INDEX('Referência LC 214'!$E$6:$E$967,U51)&amp;", item "&amp;INDEX('Referência LC 214'!$F$6:$F$967,U51)&amp;": "&amp;INDEX('Referência LC 214'!$G$6:$G$967,U51))</f>
        <v/>
      </c>
      <c r="L51" s="28" t="str">
        <f aca="false">IF(OR(T51="",U51=""),"",IF(INDEX('Referência LC 214'!$L$6:$L$967,U51)&amp;""&lt;&gt;"",INDEX('Referência LC 214'!$L$6:$L$967,U51)&amp;"",IF(SUMPRODUCT((LEFT(T51,LEN('Referência LC 214'!$N$6:$N$967))='Referência LC 214'!$N$6:$N$967)*('Referência LC 214'!$L$6:$L$967&lt;&gt;""))&gt;0,"Há outro tratamento só para alguns compradores (ex.: órgão público/SUS) — veja a referência","")))</f>
        <v/>
      </c>
      <c r="M51" s="30" t="str">
        <f aca="false">IF(T51="","",IF(AND(C51&lt;&gt;"Serviço",LEN(T51)-1&lt;&gt;8),"NCM deve ter 8 dígitos",IF(AND(C51="Serviço",LEN(T51)-1&lt;&gt;9),"NBS deve ter 9 dígitos",IF(L51&lt;&gt;"","Benefício depende do comprador: confira a coluna N",IF(G51&gt;1,"Mais de uma regra: confira o item do anexo na referência",IF(G51=0,"Sem redução na LC 214","Confira se o produto é o descrito no item"))))))</f>
        <v/>
      </c>
      <c r="N51" s="25"/>
      <c r="O51" s="23"/>
      <c r="P51" s="25"/>
      <c r="Q51" s="25"/>
      <c r="R51" s="31"/>
      <c r="S51" s="24"/>
      <c r="T51" s="4" t="str">
        <f aca="false">IF(D51="","",IF(C51="Serviço","S","P")&amp;SUBSTITUTE(SUBSTITUTE(SUBSTITUTE(D51,".",""),"-","")," ",""))</f>
        <v/>
      </c>
      <c r="U51" s="4" t="str">
        <f aca="false">IF(T51="","",IFERROR(MATCH(LEFT(T51,10),'Referência LC 214'!$N$6:$N$967,0),IFERROR(MATCH(LEFT(T51,9),'Referência LC 214'!$N$6:$N$967,0),IFERROR(MATCH(LEFT(T51,8),'Referência LC 214'!$N$6:$N$967,0),IFERROR(MATCH(LEFT(T51,7),'Referência LC 214'!$N$6:$N$967,0),IFERROR(MATCH(LEFT(T51,6),'Referência LC 214'!$N$6:$N$967,0),IFERROR(MATCH(LEFT(T51,5),'Referência LC 214'!$N$6:$N$967,0),IFERROR(MATCH(LEFT(T51,4),'Referência LC 214'!$N$6:$N$967,0),IFERROR(MATCH(LEFT(T51,3),'Referência LC 214'!$N$6:$N$967,0),"")))))))))</f>
        <v/>
      </c>
    </row>
    <row r="52" customFormat="false" ht="15" hidden="false" customHeight="false" outlineLevel="0" collapsed="false">
      <c r="A52" s="23"/>
      <c r="B52" s="24"/>
      <c r="C52" s="25"/>
      <c r="D52" s="23"/>
      <c r="E52" s="23"/>
      <c r="F52" s="25"/>
      <c r="G52" s="26" t="str">
        <f aca="false">IF(T52="","",SUMPRODUCT(--(LEFT(T52,LEN('Referência LC 214'!$N$6:$N$967))='Referência LC 214'!$N$6:$N$967)))</f>
        <v/>
      </c>
      <c r="H52" s="27" t="str">
        <f aca="false">IF(T52="","",IF(U52="","000001",INDEX('Referência LC 214'!$I$6:$I$967,U52)))</f>
        <v/>
      </c>
      <c r="I52" s="28" t="str">
        <f aca="false">IF(T52="","",IF(U52="","Sem anexo: tributação integral",INDEX('Referência LC 214'!$H$6:$H$967,U52)))</f>
        <v/>
      </c>
      <c r="J52" s="29" t="str">
        <f aca="false">IF(T52="","",IF(U52="",0,INDEX('Referência LC 214'!$K$6:$K$967,U52)))</f>
        <v/>
      </c>
      <c r="K52" s="28" t="str">
        <f aca="false">IF(OR(T52="",U52=""),"","Anexo "&amp;INDEX('Referência LC 214'!$E$6:$E$967,U52)&amp;", item "&amp;INDEX('Referência LC 214'!$F$6:$F$967,U52)&amp;": "&amp;INDEX('Referência LC 214'!$G$6:$G$967,U52))</f>
        <v/>
      </c>
      <c r="L52" s="28" t="str">
        <f aca="false">IF(OR(T52="",U52=""),"",IF(INDEX('Referência LC 214'!$L$6:$L$967,U52)&amp;""&lt;&gt;"",INDEX('Referência LC 214'!$L$6:$L$967,U52)&amp;"",IF(SUMPRODUCT((LEFT(T52,LEN('Referência LC 214'!$N$6:$N$967))='Referência LC 214'!$N$6:$N$967)*('Referência LC 214'!$L$6:$L$967&lt;&gt;""))&gt;0,"Há outro tratamento só para alguns compradores (ex.: órgão público/SUS) — veja a referência","")))</f>
        <v/>
      </c>
      <c r="M52" s="30" t="str">
        <f aca="false">IF(T52="","",IF(AND(C52&lt;&gt;"Serviço",LEN(T52)-1&lt;&gt;8),"NCM deve ter 8 dígitos",IF(AND(C52="Serviço",LEN(T52)-1&lt;&gt;9),"NBS deve ter 9 dígitos",IF(L52&lt;&gt;"","Benefício depende do comprador: confira a coluna N",IF(G52&gt;1,"Mais de uma regra: confira o item do anexo na referência",IF(G52=0,"Sem redução na LC 214","Confira se o produto é o descrito no item"))))))</f>
        <v/>
      </c>
      <c r="N52" s="25"/>
      <c r="O52" s="23"/>
      <c r="P52" s="25"/>
      <c r="Q52" s="25"/>
      <c r="R52" s="31"/>
      <c r="S52" s="24"/>
      <c r="T52" s="4" t="str">
        <f aca="false">IF(D52="","",IF(C52="Serviço","S","P")&amp;SUBSTITUTE(SUBSTITUTE(SUBSTITUTE(D52,".",""),"-","")," ",""))</f>
        <v/>
      </c>
      <c r="U52" s="4" t="str">
        <f aca="false">IF(T52="","",IFERROR(MATCH(LEFT(T52,10),'Referência LC 214'!$N$6:$N$967,0),IFERROR(MATCH(LEFT(T52,9),'Referência LC 214'!$N$6:$N$967,0),IFERROR(MATCH(LEFT(T52,8),'Referência LC 214'!$N$6:$N$967,0),IFERROR(MATCH(LEFT(T52,7),'Referência LC 214'!$N$6:$N$967,0),IFERROR(MATCH(LEFT(T52,6),'Referência LC 214'!$N$6:$N$967,0),IFERROR(MATCH(LEFT(T52,5),'Referência LC 214'!$N$6:$N$967,0),IFERROR(MATCH(LEFT(T52,4),'Referência LC 214'!$N$6:$N$967,0),IFERROR(MATCH(LEFT(T52,3),'Referência LC 214'!$N$6:$N$967,0),"")))))))))</f>
        <v/>
      </c>
    </row>
    <row r="53" customFormat="false" ht="15" hidden="false" customHeight="false" outlineLevel="0" collapsed="false">
      <c r="A53" s="23"/>
      <c r="B53" s="24"/>
      <c r="C53" s="25"/>
      <c r="D53" s="23"/>
      <c r="E53" s="23"/>
      <c r="F53" s="25"/>
      <c r="G53" s="26" t="str">
        <f aca="false">IF(T53="","",SUMPRODUCT(--(LEFT(T53,LEN('Referência LC 214'!$N$6:$N$967))='Referência LC 214'!$N$6:$N$967)))</f>
        <v/>
      </c>
      <c r="H53" s="27" t="str">
        <f aca="false">IF(T53="","",IF(U53="","000001",INDEX('Referência LC 214'!$I$6:$I$967,U53)))</f>
        <v/>
      </c>
      <c r="I53" s="28" t="str">
        <f aca="false">IF(T53="","",IF(U53="","Sem anexo: tributação integral",INDEX('Referência LC 214'!$H$6:$H$967,U53)))</f>
        <v/>
      </c>
      <c r="J53" s="29" t="str">
        <f aca="false">IF(T53="","",IF(U53="",0,INDEX('Referência LC 214'!$K$6:$K$967,U53)))</f>
        <v/>
      </c>
      <c r="K53" s="28" t="str">
        <f aca="false">IF(OR(T53="",U53=""),"","Anexo "&amp;INDEX('Referência LC 214'!$E$6:$E$967,U53)&amp;", item "&amp;INDEX('Referência LC 214'!$F$6:$F$967,U53)&amp;": "&amp;INDEX('Referência LC 214'!$G$6:$G$967,U53))</f>
        <v/>
      </c>
      <c r="L53" s="28" t="str">
        <f aca="false">IF(OR(T53="",U53=""),"",IF(INDEX('Referência LC 214'!$L$6:$L$967,U53)&amp;""&lt;&gt;"",INDEX('Referência LC 214'!$L$6:$L$967,U53)&amp;"",IF(SUMPRODUCT((LEFT(T53,LEN('Referência LC 214'!$N$6:$N$967))='Referência LC 214'!$N$6:$N$967)*('Referência LC 214'!$L$6:$L$967&lt;&gt;""))&gt;0,"Há outro tratamento só para alguns compradores (ex.: órgão público/SUS) — veja a referência","")))</f>
        <v/>
      </c>
      <c r="M53" s="30" t="str">
        <f aca="false">IF(T53="","",IF(AND(C53&lt;&gt;"Serviço",LEN(T53)-1&lt;&gt;8),"NCM deve ter 8 dígitos",IF(AND(C53="Serviço",LEN(T53)-1&lt;&gt;9),"NBS deve ter 9 dígitos",IF(L53&lt;&gt;"","Benefício depende do comprador: confira a coluna N",IF(G53&gt;1,"Mais de uma regra: confira o item do anexo na referência",IF(G53=0,"Sem redução na LC 214","Confira se o produto é o descrito no item"))))))</f>
        <v/>
      </c>
      <c r="N53" s="25"/>
      <c r="O53" s="23"/>
      <c r="P53" s="25"/>
      <c r="Q53" s="25"/>
      <c r="R53" s="31"/>
      <c r="S53" s="24"/>
      <c r="T53" s="4" t="str">
        <f aca="false">IF(D53="","",IF(C53="Serviço","S","P")&amp;SUBSTITUTE(SUBSTITUTE(SUBSTITUTE(D53,".",""),"-","")," ",""))</f>
        <v/>
      </c>
      <c r="U53" s="4" t="str">
        <f aca="false">IF(T53="","",IFERROR(MATCH(LEFT(T53,10),'Referência LC 214'!$N$6:$N$967,0),IFERROR(MATCH(LEFT(T53,9),'Referência LC 214'!$N$6:$N$967,0),IFERROR(MATCH(LEFT(T53,8),'Referência LC 214'!$N$6:$N$967,0),IFERROR(MATCH(LEFT(T53,7),'Referência LC 214'!$N$6:$N$967,0),IFERROR(MATCH(LEFT(T53,6),'Referência LC 214'!$N$6:$N$967,0),IFERROR(MATCH(LEFT(T53,5),'Referência LC 214'!$N$6:$N$967,0),IFERROR(MATCH(LEFT(T53,4),'Referência LC 214'!$N$6:$N$967,0),IFERROR(MATCH(LEFT(T53,3),'Referência LC 214'!$N$6:$N$967,0),"")))))))))</f>
        <v/>
      </c>
    </row>
    <row r="54" customFormat="false" ht="15" hidden="false" customHeight="false" outlineLevel="0" collapsed="false">
      <c r="A54" s="23"/>
      <c r="B54" s="24"/>
      <c r="C54" s="25"/>
      <c r="D54" s="23"/>
      <c r="E54" s="23"/>
      <c r="F54" s="25"/>
      <c r="G54" s="26" t="str">
        <f aca="false">IF(T54="","",SUMPRODUCT(--(LEFT(T54,LEN('Referência LC 214'!$N$6:$N$967))='Referência LC 214'!$N$6:$N$967)))</f>
        <v/>
      </c>
      <c r="H54" s="27" t="str">
        <f aca="false">IF(T54="","",IF(U54="","000001",INDEX('Referência LC 214'!$I$6:$I$967,U54)))</f>
        <v/>
      </c>
      <c r="I54" s="28" t="str">
        <f aca="false">IF(T54="","",IF(U54="","Sem anexo: tributação integral",INDEX('Referência LC 214'!$H$6:$H$967,U54)))</f>
        <v/>
      </c>
      <c r="J54" s="29" t="str">
        <f aca="false">IF(T54="","",IF(U54="",0,INDEX('Referência LC 214'!$K$6:$K$967,U54)))</f>
        <v/>
      </c>
      <c r="K54" s="28" t="str">
        <f aca="false">IF(OR(T54="",U54=""),"","Anexo "&amp;INDEX('Referência LC 214'!$E$6:$E$967,U54)&amp;", item "&amp;INDEX('Referência LC 214'!$F$6:$F$967,U54)&amp;": "&amp;INDEX('Referência LC 214'!$G$6:$G$967,U54))</f>
        <v/>
      </c>
      <c r="L54" s="28" t="str">
        <f aca="false">IF(OR(T54="",U54=""),"",IF(INDEX('Referência LC 214'!$L$6:$L$967,U54)&amp;""&lt;&gt;"",INDEX('Referência LC 214'!$L$6:$L$967,U54)&amp;"",IF(SUMPRODUCT((LEFT(T54,LEN('Referência LC 214'!$N$6:$N$967))='Referência LC 214'!$N$6:$N$967)*('Referência LC 214'!$L$6:$L$967&lt;&gt;""))&gt;0,"Há outro tratamento só para alguns compradores (ex.: órgão público/SUS) — veja a referência","")))</f>
        <v/>
      </c>
      <c r="M54" s="30" t="str">
        <f aca="false">IF(T54="","",IF(AND(C54&lt;&gt;"Serviço",LEN(T54)-1&lt;&gt;8),"NCM deve ter 8 dígitos",IF(AND(C54="Serviço",LEN(T54)-1&lt;&gt;9),"NBS deve ter 9 dígitos",IF(L54&lt;&gt;"","Benefício depende do comprador: confira a coluna N",IF(G54&gt;1,"Mais de uma regra: confira o item do anexo na referência",IF(G54=0,"Sem redução na LC 214","Confira se o produto é o descrito no item"))))))</f>
        <v/>
      </c>
      <c r="N54" s="25"/>
      <c r="O54" s="23"/>
      <c r="P54" s="25"/>
      <c r="Q54" s="25"/>
      <c r="R54" s="31"/>
      <c r="S54" s="24"/>
      <c r="T54" s="4" t="str">
        <f aca="false">IF(D54="","",IF(C54="Serviço","S","P")&amp;SUBSTITUTE(SUBSTITUTE(SUBSTITUTE(D54,".",""),"-","")," ",""))</f>
        <v/>
      </c>
      <c r="U54" s="4" t="str">
        <f aca="false">IF(T54="","",IFERROR(MATCH(LEFT(T54,10),'Referência LC 214'!$N$6:$N$967,0),IFERROR(MATCH(LEFT(T54,9),'Referência LC 214'!$N$6:$N$967,0),IFERROR(MATCH(LEFT(T54,8),'Referência LC 214'!$N$6:$N$967,0),IFERROR(MATCH(LEFT(T54,7),'Referência LC 214'!$N$6:$N$967,0),IFERROR(MATCH(LEFT(T54,6),'Referência LC 214'!$N$6:$N$967,0),IFERROR(MATCH(LEFT(T54,5),'Referência LC 214'!$N$6:$N$967,0),IFERROR(MATCH(LEFT(T54,4),'Referência LC 214'!$N$6:$N$967,0),IFERROR(MATCH(LEFT(T54,3),'Referência LC 214'!$N$6:$N$967,0),"")))))))))</f>
        <v/>
      </c>
    </row>
    <row r="55" customFormat="false" ht="15" hidden="false" customHeight="false" outlineLevel="0" collapsed="false">
      <c r="A55" s="23"/>
      <c r="B55" s="24"/>
      <c r="C55" s="25"/>
      <c r="D55" s="23"/>
      <c r="E55" s="23"/>
      <c r="F55" s="25"/>
      <c r="G55" s="26" t="str">
        <f aca="false">IF(T55="","",SUMPRODUCT(--(LEFT(T55,LEN('Referência LC 214'!$N$6:$N$967))='Referência LC 214'!$N$6:$N$967)))</f>
        <v/>
      </c>
      <c r="H55" s="27" t="str">
        <f aca="false">IF(T55="","",IF(U55="","000001",INDEX('Referência LC 214'!$I$6:$I$967,U55)))</f>
        <v/>
      </c>
      <c r="I55" s="28" t="str">
        <f aca="false">IF(T55="","",IF(U55="","Sem anexo: tributação integral",INDEX('Referência LC 214'!$H$6:$H$967,U55)))</f>
        <v/>
      </c>
      <c r="J55" s="29" t="str">
        <f aca="false">IF(T55="","",IF(U55="",0,INDEX('Referência LC 214'!$K$6:$K$967,U55)))</f>
        <v/>
      </c>
      <c r="K55" s="28" t="str">
        <f aca="false">IF(OR(T55="",U55=""),"","Anexo "&amp;INDEX('Referência LC 214'!$E$6:$E$967,U55)&amp;", item "&amp;INDEX('Referência LC 214'!$F$6:$F$967,U55)&amp;": "&amp;INDEX('Referência LC 214'!$G$6:$G$967,U55))</f>
        <v/>
      </c>
      <c r="L55" s="28" t="str">
        <f aca="false">IF(OR(T55="",U55=""),"",IF(INDEX('Referência LC 214'!$L$6:$L$967,U55)&amp;""&lt;&gt;"",INDEX('Referência LC 214'!$L$6:$L$967,U55)&amp;"",IF(SUMPRODUCT((LEFT(T55,LEN('Referência LC 214'!$N$6:$N$967))='Referência LC 214'!$N$6:$N$967)*('Referência LC 214'!$L$6:$L$967&lt;&gt;""))&gt;0,"Há outro tratamento só para alguns compradores (ex.: órgão público/SUS) — veja a referência","")))</f>
        <v/>
      </c>
      <c r="M55" s="30" t="str">
        <f aca="false">IF(T55="","",IF(AND(C55&lt;&gt;"Serviço",LEN(T55)-1&lt;&gt;8),"NCM deve ter 8 dígitos",IF(AND(C55="Serviço",LEN(T55)-1&lt;&gt;9),"NBS deve ter 9 dígitos",IF(L55&lt;&gt;"","Benefício depende do comprador: confira a coluna N",IF(G55&gt;1,"Mais de uma regra: confira o item do anexo na referência",IF(G55=0,"Sem redução na LC 214","Confira se o produto é o descrito no item"))))))</f>
        <v/>
      </c>
      <c r="N55" s="25"/>
      <c r="O55" s="23"/>
      <c r="P55" s="25"/>
      <c r="Q55" s="25"/>
      <c r="R55" s="31"/>
      <c r="S55" s="24"/>
      <c r="T55" s="4" t="str">
        <f aca="false">IF(D55="","",IF(C55="Serviço","S","P")&amp;SUBSTITUTE(SUBSTITUTE(SUBSTITUTE(D55,".",""),"-","")," ",""))</f>
        <v/>
      </c>
      <c r="U55" s="4" t="str">
        <f aca="false">IF(T55="","",IFERROR(MATCH(LEFT(T55,10),'Referência LC 214'!$N$6:$N$967,0),IFERROR(MATCH(LEFT(T55,9),'Referência LC 214'!$N$6:$N$967,0),IFERROR(MATCH(LEFT(T55,8),'Referência LC 214'!$N$6:$N$967,0),IFERROR(MATCH(LEFT(T55,7),'Referência LC 214'!$N$6:$N$967,0),IFERROR(MATCH(LEFT(T55,6),'Referência LC 214'!$N$6:$N$967,0),IFERROR(MATCH(LEFT(T55,5),'Referência LC 214'!$N$6:$N$967,0),IFERROR(MATCH(LEFT(T55,4),'Referência LC 214'!$N$6:$N$967,0),IFERROR(MATCH(LEFT(T55,3),'Referência LC 214'!$N$6:$N$967,0),"")))))))))</f>
        <v/>
      </c>
    </row>
    <row r="56" customFormat="false" ht="15" hidden="false" customHeight="false" outlineLevel="0" collapsed="false">
      <c r="A56" s="23"/>
      <c r="B56" s="24"/>
      <c r="C56" s="25"/>
      <c r="D56" s="23"/>
      <c r="E56" s="23"/>
      <c r="F56" s="25"/>
      <c r="G56" s="26" t="str">
        <f aca="false">IF(T56="","",SUMPRODUCT(--(LEFT(T56,LEN('Referência LC 214'!$N$6:$N$967))='Referência LC 214'!$N$6:$N$967)))</f>
        <v/>
      </c>
      <c r="H56" s="27" t="str">
        <f aca="false">IF(T56="","",IF(U56="","000001",INDEX('Referência LC 214'!$I$6:$I$967,U56)))</f>
        <v/>
      </c>
      <c r="I56" s="28" t="str">
        <f aca="false">IF(T56="","",IF(U56="","Sem anexo: tributação integral",INDEX('Referência LC 214'!$H$6:$H$967,U56)))</f>
        <v/>
      </c>
      <c r="J56" s="29" t="str">
        <f aca="false">IF(T56="","",IF(U56="",0,INDEX('Referência LC 214'!$K$6:$K$967,U56)))</f>
        <v/>
      </c>
      <c r="K56" s="28" t="str">
        <f aca="false">IF(OR(T56="",U56=""),"","Anexo "&amp;INDEX('Referência LC 214'!$E$6:$E$967,U56)&amp;", item "&amp;INDEX('Referência LC 214'!$F$6:$F$967,U56)&amp;": "&amp;INDEX('Referência LC 214'!$G$6:$G$967,U56))</f>
        <v/>
      </c>
      <c r="L56" s="28" t="str">
        <f aca="false">IF(OR(T56="",U56=""),"",IF(INDEX('Referência LC 214'!$L$6:$L$967,U56)&amp;""&lt;&gt;"",INDEX('Referência LC 214'!$L$6:$L$967,U56)&amp;"",IF(SUMPRODUCT((LEFT(T56,LEN('Referência LC 214'!$N$6:$N$967))='Referência LC 214'!$N$6:$N$967)*('Referência LC 214'!$L$6:$L$967&lt;&gt;""))&gt;0,"Há outro tratamento só para alguns compradores (ex.: órgão público/SUS) — veja a referência","")))</f>
        <v/>
      </c>
      <c r="M56" s="30" t="str">
        <f aca="false">IF(T56="","",IF(AND(C56&lt;&gt;"Serviço",LEN(T56)-1&lt;&gt;8),"NCM deve ter 8 dígitos",IF(AND(C56="Serviço",LEN(T56)-1&lt;&gt;9),"NBS deve ter 9 dígitos",IF(L56&lt;&gt;"","Benefício depende do comprador: confira a coluna N",IF(G56&gt;1,"Mais de uma regra: confira o item do anexo na referência",IF(G56=0,"Sem redução na LC 214","Confira se o produto é o descrito no item"))))))</f>
        <v/>
      </c>
      <c r="N56" s="25"/>
      <c r="O56" s="23"/>
      <c r="P56" s="25"/>
      <c r="Q56" s="25"/>
      <c r="R56" s="31"/>
      <c r="S56" s="24"/>
      <c r="T56" s="4" t="str">
        <f aca="false">IF(D56="","",IF(C56="Serviço","S","P")&amp;SUBSTITUTE(SUBSTITUTE(SUBSTITUTE(D56,".",""),"-","")," ",""))</f>
        <v/>
      </c>
      <c r="U56" s="4" t="str">
        <f aca="false">IF(T56="","",IFERROR(MATCH(LEFT(T56,10),'Referência LC 214'!$N$6:$N$967,0),IFERROR(MATCH(LEFT(T56,9),'Referência LC 214'!$N$6:$N$967,0),IFERROR(MATCH(LEFT(T56,8),'Referência LC 214'!$N$6:$N$967,0),IFERROR(MATCH(LEFT(T56,7),'Referência LC 214'!$N$6:$N$967,0),IFERROR(MATCH(LEFT(T56,6),'Referência LC 214'!$N$6:$N$967,0),IFERROR(MATCH(LEFT(T56,5),'Referência LC 214'!$N$6:$N$967,0),IFERROR(MATCH(LEFT(T56,4),'Referência LC 214'!$N$6:$N$967,0),IFERROR(MATCH(LEFT(T56,3),'Referência LC 214'!$N$6:$N$967,0),"")))))))))</f>
        <v/>
      </c>
    </row>
    <row r="57" customFormat="false" ht="15" hidden="false" customHeight="false" outlineLevel="0" collapsed="false">
      <c r="A57" s="23"/>
      <c r="B57" s="24"/>
      <c r="C57" s="25"/>
      <c r="D57" s="23"/>
      <c r="E57" s="23"/>
      <c r="F57" s="25"/>
      <c r="G57" s="26" t="str">
        <f aca="false">IF(T57="","",SUMPRODUCT(--(LEFT(T57,LEN('Referência LC 214'!$N$6:$N$967))='Referência LC 214'!$N$6:$N$967)))</f>
        <v/>
      </c>
      <c r="H57" s="27" t="str">
        <f aca="false">IF(T57="","",IF(U57="","000001",INDEX('Referência LC 214'!$I$6:$I$967,U57)))</f>
        <v/>
      </c>
      <c r="I57" s="28" t="str">
        <f aca="false">IF(T57="","",IF(U57="","Sem anexo: tributação integral",INDEX('Referência LC 214'!$H$6:$H$967,U57)))</f>
        <v/>
      </c>
      <c r="J57" s="29" t="str">
        <f aca="false">IF(T57="","",IF(U57="",0,INDEX('Referência LC 214'!$K$6:$K$967,U57)))</f>
        <v/>
      </c>
      <c r="K57" s="28" t="str">
        <f aca="false">IF(OR(T57="",U57=""),"","Anexo "&amp;INDEX('Referência LC 214'!$E$6:$E$967,U57)&amp;", item "&amp;INDEX('Referência LC 214'!$F$6:$F$967,U57)&amp;": "&amp;INDEX('Referência LC 214'!$G$6:$G$967,U57))</f>
        <v/>
      </c>
      <c r="L57" s="28" t="str">
        <f aca="false">IF(OR(T57="",U57=""),"",IF(INDEX('Referência LC 214'!$L$6:$L$967,U57)&amp;""&lt;&gt;"",INDEX('Referência LC 214'!$L$6:$L$967,U57)&amp;"",IF(SUMPRODUCT((LEFT(T57,LEN('Referência LC 214'!$N$6:$N$967))='Referência LC 214'!$N$6:$N$967)*('Referência LC 214'!$L$6:$L$967&lt;&gt;""))&gt;0,"Há outro tratamento só para alguns compradores (ex.: órgão público/SUS) — veja a referência","")))</f>
        <v/>
      </c>
      <c r="M57" s="30" t="str">
        <f aca="false">IF(T57="","",IF(AND(C57&lt;&gt;"Serviço",LEN(T57)-1&lt;&gt;8),"NCM deve ter 8 dígitos",IF(AND(C57="Serviço",LEN(T57)-1&lt;&gt;9),"NBS deve ter 9 dígitos",IF(L57&lt;&gt;"","Benefício depende do comprador: confira a coluna N",IF(G57&gt;1,"Mais de uma regra: confira o item do anexo na referência",IF(G57=0,"Sem redução na LC 214","Confira se o produto é o descrito no item"))))))</f>
        <v/>
      </c>
      <c r="N57" s="25"/>
      <c r="O57" s="23"/>
      <c r="P57" s="25"/>
      <c r="Q57" s="25"/>
      <c r="R57" s="31"/>
      <c r="S57" s="24"/>
      <c r="T57" s="4" t="str">
        <f aca="false">IF(D57="","",IF(C57="Serviço","S","P")&amp;SUBSTITUTE(SUBSTITUTE(SUBSTITUTE(D57,".",""),"-","")," ",""))</f>
        <v/>
      </c>
      <c r="U57" s="4" t="str">
        <f aca="false">IF(T57="","",IFERROR(MATCH(LEFT(T57,10),'Referência LC 214'!$N$6:$N$967,0),IFERROR(MATCH(LEFT(T57,9),'Referência LC 214'!$N$6:$N$967,0),IFERROR(MATCH(LEFT(T57,8),'Referência LC 214'!$N$6:$N$967,0),IFERROR(MATCH(LEFT(T57,7),'Referência LC 214'!$N$6:$N$967,0),IFERROR(MATCH(LEFT(T57,6),'Referência LC 214'!$N$6:$N$967,0),IFERROR(MATCH(LEFT(T57,5),'Referência LC 214'!$N$6:$N$967,0),IFERROR(MATCH(LEFT(T57,4),'Referência LC 214'!$N$6:$N$967,0),IFERROR(MATCH(LEFT(T57,3),'Referência LC 214'!$N$6:$N$967,0),"")))))))))</f>
        <v/>
      </c>
    </row>
    <row r="58" customFormat="false" ht="15" hidden="false" customHeight="false" outlineLevel="0" collapsed="false">
      <c r="A58" s="23"/>
      <c r="B58" s="24"/>
      <c r="C58" s="25"/>
      <c r="D58" s="23"/>
      <c r="E58" s="23"/>
      <c r="F58" s="25"/>
      <c r="G58" s="26" t="str">
        <f aca="false">IF(T58="","",SUMPRODUCT(--(LEFT(T58,LEN('Referência LC 214'!$N$6:$N$967))='Referência LC 214'!$N$6:$N$967)))</f>
        <v/>
      </c>
      <c r="H58" s="27" t="str">
        <f aca="false">IF(T58="","",IF(U58="","000001",INDEX('Referência LC 214'!$I$6:$I$967,U58)))</f>
        <v/>
      </c>
      <c r="I58" s="28" t="str">
        <f aca="false">IF(T58="","",IF(U58="","Sem anexo: tributação integral",INDEX('Referência LC 214'!$H$6:$H$967,U58)))</f>
        <v/>
      </c>
      <c r="J58" s="29" t="str">
        <f aca="false">IF(T58="","",IF(U58="",0,INDEX('Referência LC 214'!$K$6:$K$967,U58)))</f>
        <v/>
      </c>
      <c r="K58" s="28" t="str">
        <f aca="false">IF(OR(T58="",U58=""),"","Anexo "&amp;INDEX('Referência LC 214'!$E$6:$E$967,U58)&amp;", item "&amp;INDEX('Referência LC 214'!$F$6:$F$967,U58)&amp;": "&amp;INDEX('Referência LC 214'!$G$6:$G$967,U58))</f>
        <v/>
      </c>
      <c r="L58" s="28" t="str">
        <f aca="false">IF(OR(T58="",U58=""),"",IF(INDEX('Referência LC 214'!$L$6:$L$967,U58)&amp;""&lt;&gt;"",INDEX('Referência LC 214'!$L$6:$L$967,U58)&amp;"",IF(SUMPRODUCT((LEFT(T58,LEN('Referência LC 214'!$N$6:$N$967))='Referência LC 214'!$N$6:$N$967)*('Referência LC 214'!$L$6:$L$967&lt;&gt;""))&gt;0,"Há outro tratamento só para alguns compradores (ex.: órgão público/SUS) — veja a referência","")))</f>
        <v/>
      </c>
      <c r="M58" s="30" t="str">
        <f aca="false">IF(T58="","",IF(AND(C58&lt;&gt;"Serviço",LEN(T58)-1&lt;&gt;8),"NCM deve ter 8 dígitos",IF(AND(C58="Serviço",LEN(T58)-1&lt;&gt;9),"NBS deve ter 9 dígitos",IF(L58&lt;&gt;"","Benefício depende do comprador: confira a coluna N",IF(G58&gt;1,"Mais de uma regra: confira o item do anexo na referência",IF(G58=0,"Sem redução na LC 214","Confira se o produto é o descrito no item"))))))</f>
        <v/>
      </c>
      <c r="N58" s="25"/>
      <c r="O58" s="23"/>
      <c r="P58" s="25"/>
      <c r="Q58" s="25"/>
      <c r="R58" s="31"/>
      <c r="S58" s="24"/>
      <c r="T58" s="4" t="str">
        <f aca="false">IF(D58="","",IF(C58="Serviço","S","P")&amp;SUBSTITUTE(SUBSTITUTE(SUBSTITUTE(D58,".",""),"-","")," ",""))</f>
        <v/>
      </c>
      <c r="U58" s="4" t="str">
        <f aca="false">IF(T58="","",IFERROR(MATCH(LEFT(T58,10),'Referência LC 214'!$N$6:$N$967,0),IFERROR(MATCH(LEFT(T58,9),'Referência LC 214'!$N$6:$N$967,0),IFERROR(MATCH(LEFT(T58,8),'Referência LC 214'!$N$6:$N$967,0),IFERROR(MATCH(LEFT(T58,7),'Referência LC 214'!$N$6:$N$967,0),IFERROR(MATCH(LEFT(T58,6),'Referência LC 214'!$N$6:$N$967,0),IFERROR(MATCH(LEFT(T58,5),'Referência LC 214'!$N$6:$N$967,0),IFERROR(MATCH(LEFT(T58,4),'Referência LC 214'!$N$6:$N$967,0),IFERROR(MATCH(LEFT(T58,3),'Referência LC 214'!$N$6:$N$967,0),"")))))))))</f>
        <v/>
      </c>
    </row>
    <row r="59" customFormat="false" ht="15" hidden="false" customHeight="false" outlineLevel="0" collapsed="false">
      <c r="A59" s="23"/>
      <c r="B59" s="24"/>
      <c r="C59" s="25"/>
      <c r="D59" s="23"/>
      <c r="E59" s="23"/>
      <c r="F59" s="25"/>
      <c r="G59" s="26" t="str">
        <f aca="false">IF(T59="","",SUMPRODUCT(--(LEFT(T59,LEN('Referência LC 214'!$N$6:$N$967))='Referência LC 214'!$N$6:$N$967)))</f>
        <v/>
      </c>
      <c r="H59" s="27" t="str">
        <f aca="false">IF(T59="","",IF(U59="","000001",INDEX('Referência LC 214'!$I$6:$I$967,U59)))</f>
        <v/>
      </c>
      <c r="I59" s="28" t="str">
        <f aca="false">IF(T59="","",IF(U59="","Sem anexo: tributação integral",INDEX('Referência LC 214'!$H$6:$H$967,U59)))</f>
        <v/>
      </c>
      <c r="J59" s="29" t="str">
        <f aca="false">IF(T59="","",IF(U59="",0,INDEX('Referência LC 214'!$K$6:$K$967,U59)))</f>
        <v/>
      </c>
      <c r="K59" s="28" t="str">
        <f aca="false">IF(OR(T59="",U59=""),"","Anexo "&amp;INDEX('Referência LC 214'!$E$6:$E$967,U59)&amp;", item "&amp;INDEX('Referência LC 214'!$F$6:$F$967,U59)&amp;": "&amp;INDEX('Referência LC 214'!$G$6:$G$967,U59))</f>
        <v/>
      </c>
      <c r="L59" s="28" t="str">
        <f aca="false">IF(OR(T59="",U59=""),"",IF(INDEX('Referência LC 214'!$L$6:$L$967,U59)&amp;""&lt;&gt;"",INDEX('Referência LC 214'!$L$6:$L$967,U59)&amp;"",IF(SUMPRODUCT((LEFT(T59,LEN('Referência LC 214'!$N$6:$N$967))='Referência LC 214'!$N$6:$N$967)*('Referência LC 214'!$L$6:$L$967&lt;&gt;""))&gt;0,"Há outro tratamento só para alguns compradores (ex.: órgão público/SUS) — veja a referência","")))</f>
        <v/>
      </c>
      <c r="M59" s="30" t="str">
        <f aca="false">IF(T59="","",IF(AND(C59&lt;&gt;"Serviço",LEN(T59)-1&lt;&gt;8),"NCM deve ter 8 dígitos",IF(AND(C59="Serviço",LEN(T59)-1&lt;&gt;9),"NBS deve ter 9 dígitos",IF(L59&lt;&gt;"","Benefício depende do comprador: confira a coluna N",IF(G59&gt;1,"Mais de uma regra: confira o item do anexo na referência",IF(G59=0,"Sem redução na LC 214","Confira se o produto é o descrito no item"))))))</f>
        <v/>
      </c>
      <c r="N59" s="25"/>
      <c r="O59" s="23"/>
      <c r="P59" s="25"/>
      <c r="Q59" s="25"/>
      <c r="R59" s="31"/>
      <c r="S59" s="24"/>
      <c r="T59" s="4" t="str">
        <f aca="false">IF(D59="","",IF(C59="Serviço","S","P")&amp;SUBSTITUTE(SUBSTITUTE(SUBSTITUTE(D59,".",""),"-","")," ",""))</f>
        <v/>
      </c>
      <c r="U59" s="4" t="str">
        <f aca="false">IF(T59="","",IFERROR(MATCH(LEFT(T59,10),'Referência LC 214'!$N$6:$N$967,0),IFERROR(MATCH(LEFT(T59,9),'Referência LC 214'!$N$6:$N$967,0),IFERROR(MATCH(LEFT(T59,8),'Referência LC 214'!$N$6:$N$967,0),IFERROR(MATCH(LEFT(T59,7),'Referência LC 214'!$N$6:$N$967,0),IFERROR(MATCH(LEFT(T59,6),'Referência LC 214'!$N$6:$N$967,0),IFERROR(MATCH(LEFT(T59,5),'Referência LC 214'!$N$6:$N$967,0),IFERROR(MATCH(LEFT(T59,4),'Referência LC 214'!$N$6:$N$967,0),IFERROR(MATCH(LEFT(T59,3),'Referência LC 214'!$N$6:$N$967,0),"")))))))))</f>
        <v/>
      </c>
    </row>
    <row r="60" customFormat="false" ht="15" hidden="false" customHeight="false" outlineLevel="0" collapsed="false">
      <c r="A60" s="23"/>
      <c r="B60" s="24"/>
      <c r="C60" s="25"/>
      <c r="D60" s="23"/>
      <c r="E60" s="23"/>
      <c r="F60" s="25"/>
      <c r="G60" s="26" t="str">
        <f aca="false">IF(T60="","",SUMPRODUCT(--(LEFT(T60,LEN('Referência LC 214'!$N$6:$N$967))='Referência LC 214'!$N$6:$N$967)))</f>
        <v/>
      </c>
      <c r="H60" s="27" t="str">
        <f aca="false">IF(T60="","",IF(U60="","000001",INDEX('Referência LC 214'!$I$6:$I$967,U60)))</f>
        <v/>
      </c>
      <c r="I60" s="28" t="str">
        <f aca="false">IF(T60="","",IF(U60="","Sem anexo: tributação integral",INDEX('Referência LC 214'!$H$6:$H$967,U60)))</f>
        <v/>
      </c>
      <c r="J60" s="29" t="str">
        <f aca="false">IF(T60="","",IF(U60="",0,INDEX('Referência LC 214'!$K$6:$K$967,U60)))</f>
        <v/>
      </c>
      <c r="K60" s="28" t="str">
        <f aca="false">IF(OR(T60="",U60=""),"","Anexo "&amp;INDEX('Referência LC 214'!$E$6:$E$967,U60)&amp;", item "&amp;INDEX('Referência LC 214'!$F$6:$F$967,U60)&amp;": "&amp;INDEX('Referência LC 214'!$G$6:$G$967,U60))</f>
        <v/>
      </c>
      <c r="L60" s="28" t="str">
        <f aca="false">IF(OR(T60="",U60=""),"",IF(INDEX('Referência LC 214'!$L$6:$L$967,U60)&amp;""&lt;&gt;"",INDEX('Referência LC 214'!$L$6:$L$967,U60)&amp;"",IF(SUMPRODUCT((LEFT(T60,LEN('Referência LC 214'!$N$6:$N$967))='Referência LC 214'!$N$6:$N$967)*('Referência LC 214'!$L$6:$L$967&lt;&gt;""))&gt;0,"Há outro tratamento só para alguns compradores (ex.: órgão público/SUS) — veja a referência","")))</f>
        <v/>
      </c>
      <c r="M60" s="30" t="str">
        <f aca="false">IF(T60="","",IF(AND(C60&lt;&gt;"Serviço",LEN(T60)-1&lt;&gt;8),"NCM deve ter 8 dígitos",IF(AND(C60="Serviço",LEN(T60)-1&lt;&gt;9),"NBS deve ter 9 dígitos",IF(L60&lt;&gt;"","Benefício depende do comprador: confira a coluna N",IF(G60&gt;1,"Mais de uma regra: confira o item do anexo na referência",IF(G60=0,"Sem redução na LC 214","Confira se o produto é o descrito no item"))))))</f>
        <v/>
      </c>
      <c r="N60" s="25"/>
      <c r="O60" s="23"/>
      <c r="P60" s="25"/>
      <c r="Q60" s="25"/>
      <c r="R60" s="31"/>
      <c r="S60" s="24"/>
      <c r="T60" s="4" t="str">
        <f aca="false">IF(D60="","",IF(C60="Serviço","S","P")&amp;SUBSTITUTE(SUBSTITUTE(SUBSTITUTE(D60,".",""),"-","")," ",""))</f>
        <v/>
      </c>
      <c r="U60" s="4" t="str">
        <f aca="false">IF(T60="","",IFERROR(MATCH(LEFT(T60,10),'Referência LC 214'!$N$6:$N$967,0),IFERROR(MATCH(LEFT(T60,9),'Referência LC 214'!$N$6:$N$967,0),IFERROR(MATCH(LEFT(T60,8),'Referência LC 214'!$N$6:$N$967,0),IFERROR(MATCH(LEFT(T60,7),'Referência LC 214'!$N$6:$N$967,0),IFERROR(MATCH(LEFT(T60,6),'Referência LC 214'!$N$6:$N$967,0),IFERROR(MATCH(LEFT(T60,5),'Referência LC 214'!$N$6:$N$967,0),IFERROR(MATCH(LEFT(T60,4),'Referência LC 214'!$N$6:$N$967,0),IFERROR(MATCH(LEFT(T60,3),'Referência LC 214'!$N$6:$N$967,0),"")))))))))</f>
        <v/>
      </c>
    </row>
    <row r="61" customFormat="false" ht="15" hidden="false" customHeight="false" outlineLevel="0" collapsed="false">
      <c r="A61" s="23"/>
      <c r="B61" s="24"/>
      <c r="C61" s="25"/>
      <c r="D61" s="23"/>
      <c r="E61" s="23"/>
      <c r="F61" s="25"/>
      <c r="G61" s="26" t="str">
        <f aca="false">IF(T61="","",SUMPRODUCT(--(LEFT(T61,LEN('Referência LC 214'!$N$6:$N$967))='Referência LC 214'!$N$6:$N$967)))</f>
        <v/>
      </c>
      <c r="H61" s="27" t="str">
        <f aca="false">IF(T61="","",IF(U61="","000001",INDEX('Referência LC 214'!$I$6:$I$967,U61)))</f>
        <v/>
      </c>
      <c r="I61" s="28" t="str">
        <f aca="false">IF(T61="","",IF(U61="","Sem anexo: tributação integral",INDEX('Referência LC 214'!$H$6:$H$967,U61)))</f>
        <v/>
      </c>
      <c r="J61" s="29" t="str">
        <f aca="false">IF(T61="","",IF(U61="",0,INDEX('Referência LC 214'!$K$6:$K$967,U61)))</f>
        <v/>
      </c>
      <c r="K61" s="28" t="str">
        <f aca="false">IF(OR(T61="",U61=""),"","Anexo "&amp;INDEX('Referência LC 214'!$E$6:$E$967,U61)&amp;", item "&amp;INDEX('Referência LC 214'!$F$6:$F$967,U61)&amp;": "&amp;INDEX('Referência LC 214'!$G$6:$G$967,U61))</f>
        <v/>
      </c>
      <c r="L61" s="28" t="str">
        <f aca="false">IF(OR(T61="",U61=""),"",IF(INDEX('Referência LC 214'!$L$6:$L$967,U61)&amp;""&lt;&gt;"",INDEX('Referência LC 214'!$L$6:$L$967,U61)&amp;"",IF(SUMPRODUCT((LEFT(T61,LEN('Referência LC 214'!$N$6:$N$967))='Referência LC 214'!$N$6:$N$967)*('Referência LC 214'!$L$6:$L$967&lt;&gt;""))&gt;0,"Há outro tratamento só para alguns compradores (ex.: órgão público/SUS) — veja a referência","")))</f>
        <v/>
      </c>
      <c r="M61" s="30" t="str">
        <f aca="false">IF(T61="","",IF(AND(C61&lt;&gt;"Serviço",LEN(T61)-1&lt;&gt;8),"NCM deve ter 8 dígitos",IF(AND(C61="Serviço",LEN(T61)-1&lt;&gt;9),"NBS deve ter 9 dígitos",IF(L61&lt;&gt;"","Benefício depende do comprador: confira a coluna N",IF(G61&gt;1,"Mais de uma regra: confira o item do anexo na referência",IF(G61=0,"Sem redução na LC 214","Confira se o produto é o descrito no item"))))))</f>
        <v/>
      </c>
      <c r="N61" s="25"/>
      <c r="O61" s="23"/>
      <c r="P61" s="25"/>
      <c r="Q61" s="25"/>
      <c r="R61" s="31"/>
      <c r="S61" s="24"/>
      <c r="T61" s="4" t="str">
        <f aca="false">IF(D61="","",IF(C61="Serviço","S","P")&amp;SUBSTITUTE(SUBSTITUTE(SUBSTITUTE(D61,".",""),"-","")," ",""))</f>
        <v/>
      </c>
      <c r="U61" s="4" t="str">
        <f aca="false">IF(T61="","",IFERROR(MATCH(LEFT(T61,10),'Referência LC 214'!$N$6:$N$967,0),IFERROR(MATCH(LEFT(T61,9),'Referência LC 214'!$N$6:$N$967,0),IFERROR(MATCH(LEFT(T61,8),'Referência LC 214'!$N$6:$N$967,0),IFERROR(MATCH(LEFT(T61,7),'Referência LC 214'!$N$6:$N$967,0),IFERROR(MATCH(LEFT(T61,6),'Referência LC 214'!$N$6:$N$967,0),IFERROR(MATCH(LEFT(T61,5),'Referência LC 214'!$N$6:$N$967,0),IFERROR(MATCH(LEFT(T61,4),'Referência LC 214'!$N$6:$N$967,0),IFERROR(MATCH(LEFT(T61,3),'Referência LC 214'!$N$6:$N$967,0),"")))))))))</f>
        <v/>
      </c>
    </row>
    <row r="62" customFormat="false" ht="15" hidden="false" customHeight="false" outlineLevel="0" collapsed="false">
      <c r="A62" s="23"/>
      <c r="B62" s="24"/>
      <c r="C62" s="25"/>
      <c r="D62" s="23"/>
      <c r="E62" s="23"/>
      <c r="F62" s="25"/>
      <c r="G62" s="26" t="str">
        <f aca="false">IF(T62="","",SUMPRODUCT(--(LEFT(T62,LEN('Referência LC 214'!$N$6:$N$967))='Referência LC 214'!$N$6:$N$967)))</f>
        <v/>
      </c>
      <c r="H62" s="27" t="str">
        <f aca="false">IF(T62="","",IF(U62="","000001",INDEX('Referência LC 214'!$I$6:$I$967,U62)))</f>
        <v/>
      </c>
      <c r="I62" s="28" t="str">
        <f aca="false">IF(T62="","",IF(U62="","Sem anexo: tributação integral",INDEX('Referência LC 214'!$H$6:$H$967,U62)))</f>
        <v/>
      </c>
      <c r="J62" s="29" t="str">
        <f aca="false">IF(T62="","",IF(U62="",0,INDEX('Referência LC 214'!$K$6:$K$967,U62)))</f>
        <v/>
      </c>
      <c r="K62" s="28" t="str">
        <f aca="false">IF(OR(T62="",U62=""),"","Anexo "&amp;INDEX('Referência LC 214'!$E$6:$E$967,U62)&amp;", item "&amp;INDEX('Referência LC 214'!$F$6:$F$967,U62)&amp;": "&amp;INDEX('Referência LC 214'!$G$6:$G$967,U62))</f>
        <v/>
      </c>
      <c r="L62" s="28" t="str">
        <f aca="false">IF(OR(T62="",U62=""),"",IF(INDEX('Referência LC 214'!$L$6:$L$967,U62)&amp;""&lt;&gt;"",INDEX('Referência LC 214'!$L$6:$L$967,U62)&amp;"",IF(SUMPRODUCT((LEFT(T62,LEN('Referência LC 214'!$N$6:$N$967))='Referência LC 214'!$N$6:$N$967)*('Referência LC 214'!$L$6:$L$967&lt;&gt;""))&gt;0,"Há outro tratamento só para alguns compradores (ex.: órgão público/SUS) — veja a referência","")))</f>
        <v/>
      </c>
      <c r="M62" s="30" t="str">
        <f aca="false">IF(T62="","",IF(AND(C62&lt;&gt;"Serviço",LEN(T62)-1&lt;&gt;8),"NCM deve ter 8 dígitos",IF(AND(C62="Serviço",LEN(T62)-1&lt;&gt;9),"NBS deve ter 9 dígitos",IF(L62&lt;&gt;"","Benefício depende do comprador: confira a coluna N",IF(G62&gt;1,"Mais de uma regra: confira o item do anexo na referência",IF(G62=0,"Sem redução na LC 214","Confira se o produto é o descrito no item"))))))</f>
        <v/>
      </c>
      <c r="N62" s="25"/>
      <c r="O62" s="23"/>
      <c r="P62" s="25"/>
      <c r="Q62" s="25"/>
      <c r="R62" s="31"/>
      <c r="S62" s="24"/>
      <c r="T62" s="4" t="str">
        <f aca="false">IF(D62="","",IF(C62="Serviço","S","P")&amp;SUBSTITUTE(SUBSTITUTE(SUBSTITUTE(D62,".",""),"-","")," ",""))</f>
        <v/>
      </c>
      <c r="U62" s="4" t="str">
        <f aca="false">IF(T62="","",IFERROR(MATCH(LEFT(T62,10),'Referência LC 214'!$N$6:$N$967,0),IFERROR(MATCH(LEFT(T62,9),'Referência LC 214'!$N$6:$N$967,0),IFERROR(MATCH(LEFT(T62,8),'Referência LC 214'!$N$6:$N$967,0),IFERROR(MATCH(LEFT(T62,7),'Referência LC 214'!$N$6:$N$967,0),IFERROR(MATCH(LEFT(T62,6),'Referência LC 214'!$N$6:$N$967,0),IFERROR(MATCH(LEFT(T62,5),'Referência LC 214'!$N$6:$N$967,0),IFERROR(MATCH(LEFT(T62,4),'Referência LC 214'!$N$6:$N$967,0),IFERROR(MATCH(LEFT(T62,3),'Referência LC 214'!$N$6:$N$967,0),"")))))))))</f>
        <v/>
      </c>
    </row>
    <row r="63" customFormat="false" ht="15" hidden="false" customHeight="false" outlineLevel="0" collapsed="false">
      <c r="A63" s="23"/>
      <c r="B63" s="24"/>
      <c r="C63" s="25"/>
      <c r="D63" s="23"/>
      <c r="E63" s="23"/>
      <c r="F63" s="25"/>
      <c r="G63" s="26" t="str">
        <f aca="false">IF(T63="","",SUMPRODUCT(--(LEFT(T63,LEN('Referência LC 214'!$N$6:$N$967))='Referência LC 214'!$N$6:$N$967)))</f>
        <v/>
      </c>
      <c r="H63" s="27" t="str">
        <f aca="false">IF(T63="","",IF(U63="","000001",INDEX('Referência LC 214'!$I$6:$I$967,U63)))</f>
        <v/>
      </c>
      <c r="I63" s="28" t="str">
        <f aca="false">IF(T63="","",IF(U63="","Sem anexo: tributação integral",INDEX('Referência LC 214'!$H$6:$H$967,U63)))</f>
        <v/>
      </c>
      <c r="J63" s="29" t="str">
        <f aca="false">IF(T63="","",IF(U63="",0,INDEX('Referência LC 214'!$K$6:$K$967,U63)))</f>
        <v/>
      </c>
      <c r="K63" s="28" t="str">
        <f aca="false">IF(OR(T63="",U63=""),"","Anexo "&amp;INDEX('Referência LC 214'!$E$6:$E$967,U63)&amp;", item "&amp;INDEX('Referência LC 214'!$F$6:$F$967,U63)&amp;": "&amp;INDEX('Referência LC 214'!$G$6:$G$967,U63))</f>
        <v/>
      </c>
      <c r="L63" s="28" t="str">
        <f aca="false">IF(OR(T63="",U63=""),"",IF(INDEX('Referência LC 214'!$L$6:$L$967,U63)&amp;""&lt;&gt;"",INDEX('Referência LC 214'!$L$6:$L$967,U63)&amp;"",IF(SUMPRODUCT((LEFT(T63,LEN('Referência LC 214'!$N$6:$N$967))='Referência LC 214'!$N$6:$N$967)*('Referência LC 214'!$L$6:$L$967&lt;&gt;""))&gt;0,"Há outro tratamento só para alguns compradores (ex.: órgão público/SUS) — veja a referência","")))</f>
        <v/>
      </c>
      <c r="M63" s="30" t="str">
        <f aca="false">IF(T63="","",IF(AND(C63&lt;&gt;"Serviço",LEN(T63)-1&lt;&gt;8),"NCM deve ter 8 dígitos",IF(AND(C63="Serviço",LEN(T63)-1&lt;&gt;9),"NBS deve ter 9 dígitos",IF(L63&lt;&gt;"","Benefício depende do comprador: confira a coluna N",IF(G63&gt;1,"Mais de uma regra: confira o item do anexo na referência",IF(G63=0,"Sem redução na LC 214","Confira se o produto é o descrito no item"))))))</f>
        <v/>
      </c>
      <c r="N63" s="25"/>
      <c r="O63" s="23"/>
      <c r="P63" s="25"/>
      <c r="Q63" s="25"/>
      <c r="R63" s="31"/>
      <c r="S63" s="24"/>
      <c r="T63" s="4" t="str">
        <f aca="false">IF(D63="","",IF(C63="Serviço","S","P")&amp;SUBSTITUTE(SUBSTITUTE(SUBSTITUTE(D63,".",""),"-","")," ",""))</f>
        <v/>
      </c>
      <c r="U63" s="4" t="str">
        <f aca="false">IF(T63="","",IFERROR(MATCH(LEFT(T63,10),'Referência LC 214'!$N$6:$N$967,0),IFERROR(MATCH(LEFT(T63,9),'Referência LC 214'!$N$6:$N$967,0),IFERROR(MATCH(LEFT(T63,8),'Referência LC 214'!$N$6:$N$967,0),IFERROR(MATCH(LEFT(T63,7),'Referência LC 214'!$N$6:$N$967,0),IFERROR(MATCH(LEFT(T63,6),'Referência LC 214'!$N$6:$N$967,0),IFERROR(MATCH(LEFT(T63,5),'Referência LC 214'!$N$6:$N$967,0),IFERROR(MATCH(LEFT(T63,4),'Referência LC 214'!$N$6:$N$967,0),IFERROR(MATCH(LEFT(T63,3),'Referência LC 214'!$N$6:$N$967,0),"")))))))))</f>
        <v/>
      </c>
    </row>
    <row r="64" customFormat="false" ht="15" hidden="false" customHeight="false" outlineLevel="0" collapsed="false">
      <c r="A64" s="23"/>
      <c r="B64" s="24"/>
      <c r="C64" s="25"/>
      <c r="D64" s="23"/>
      <c r="E64" s="23"/>
      <c r="F64" s="25"/>
      <c r="G64" s="26" t="str">
        <f aca="false">IF(T64="","",SUMPRODUCT(--(LEFT(T64,LEN('Referência LC 214'!$N$6:$N$967))='Referência LC 214'!$N$6:$N$967)))</f>
        <v/>
      </c>
      <c r="H64" s="27" t="str">
        <f aca="false">IF(T64="","",IF(U64="","000001",INDEX('Referência LC 214'!$I$6:$I$967,U64)))</f>
        <v/>
      </c>
      <c r="I64" s="28" t="str">
        <f aca="false">IF(T64="","",IF(U64="","Sem anexo: tributação integral",INDEX('Referência LC 214'!$H$6:$H$967,U64)))</f>
        <v/>
      </c>
      <c r="J64" s="29" t="str">
        <f aca="false">IF(T64="","",IF(U64="",0,INDEX('Referência LC 214'!$K$6:$K$967,U64)))</f>
        <v/>
      </c>
      <c r="K64" s="28" t="str">
        <f aca="false">IF(OR(T64="",U64=""),"","Anexo "&amp;INDEX('Referência LC 214'!$E$6:$E$967,U64)&amp;", item "&amp;INDEX('Referência LC 214'!$F$6:$F$967,U64)&amp;": "&amp;INDEX('Referência LC 214'!$G$6:$G$967,U64))</f>
        <v/>
      </c>
      <c r="L64" s="28" t="str">
        <f aca="false">IF(OR(T64="",U64=""),"",IF(INDEX('Referência LC 214'!$L$6:$L$967,U64)&amp;""&lt;&gt;"",INDEX('Referência LC 214'!$L$6:$L$967,U64)&amp;"",IF(SUMPRODUCT((LEFT(T64,LEN('Referência LC 214'!$N$6:$N$967))='Referência LC 214'!$N$6:$N$967)*('Referência LC 214'!$L$6:$L$967&lt;&gt;""))&gt;0,"Há outro tratamento só para alguns compradores (ex.: órgão público/SUS) — veja a referência","")))</f>
        <v/>
      </c>
      <c r="M64" s="30" t="str">
        <f aca="false">IF(T64="","",IF(AND(C64&lt;&gt;"Serviço",LEN(T64)-1&lt;&gt;8),"NCM deve ter 8 dígitos",IF(AND(C64="Serviço",LEN(T64)-1&lt;&gt;9),"NBS deve ter 9 dígitos",IF(L64&lt;&gt;"","Benefício depende do comprador: confira a coluna N",IF(G64&gt;1,"Mais de uma regra: confira o item do anexo na referência",IF(G64=0,"Sem redução na LC 214","Confira se o produto é o descrito no item"))))))</f>
        <v/>
      </c>
      <c r="N64" s="25"/>
      <c r="O64" s="23"/>
      <c r="P64" s="25"/>
      <c r="Q64" s="25"/>
      <c r="R64" s="31"/>
      <c r="S64" s="24"/>
      <c r="T64" s="4" t="str">
        <f aca="false">IF(D64="","",IF(C64="Serviço","S","P")&amp;SUBSTITUTE(SUBSTITUTE(SUBSTITUTE(D64,".",""),"-","")," ",""))</f>
        <v/>
      </c>
      <c r="U64" s="4" t="str">
        <f aca="false">IF(T64="","",IFERROR(MATCH(LEFT(T64,10),'Referência LC 214'!$N$6:$N$967,0),IFERROR(MATCH(LEFT(T64,9),'Referência LC 214'!$N$6:$N$967,0),IFERROR(MATCH(LEFT(T64,8),'Referência LC 214'!$N$6:$N$967,0),IFERROR(MATCH(LEFT(T64,7),'Referência LC 214'!$N$6:$N$967,0),IFERROR(MATCH(LEFT(T64,6),'Referência LC 214'!$N$6:$N$967,0),IFERROR(MATCH(LEFT(T64,5),'Referência LC 214'!$N$6:$N$967,0),IFERROR(MATCH(LEFT(T64,4),'Referência LC 214'!$N$6:$N$967,0),IFERROR(MATCH(LEFT(T64,3),'Referência LC 214'!$N$6:$N$967,0),"")))))))))</f>
        <v/>
      </c>
    </row>
    <row r="65" customFormat="false" ht="15" hidden="false" customHeight="false" outlineLevel="0" collapsed="false">
      <c r="A65" s="23"/>
      <c r="B65" s="24"/>
      <c r="C65" s="25"/>
      <c r="D65" s="23"/>
      <c r="E65" s="23"/>
      <c r="F65" s="25"/>
      <c r="G65" s="26" t="str">
        <f aca="false">IF(T65="","",SUMPRODUCT(--(LEFT(T65,LEN('Referência LC 214'!$N$6:$N$967))='Referência LC 214'!$N$6:$N$967)))</f>
        <v/>
      </c>
      <c r="H65" s="27" t="str">
        <f aca="false">IF(T65="","",IF(U65="","000001",INDEX('Referência LC 214'!$I$6:$I$967,U65)))</f>
        <v/>
      </c>
      <c r="I65" s="28" t="str">
        <f aca="false">IF(T65="","",IF(U65="","Sem anexo: tributação integral",INDEX('Referência LC 214'!$H$6:$H$967,U65)))</f>
        <v/>
      </c>
      <c r="J65" s="29" t="str">
        <f aca="false">IF(T65="","",IF(U65="",0,INDEX('Referência LC 214'!$K$6:$K$967,U65)))</f>
        <v/>
      </c>
      <c r="K65" s="28" t="str">
        <f aca="false">IF(OR(T65="",U65=""),"","Anexo "&amp;INDEX('Referência LC 214'!$E$6:$E$967,U65)&amp;", item "&amp;INDEX('Referência LC 214'!$F$6:$F$967,U65)&amp;": "&amp;INDEX('Referência LC 214'!$G$6:$G$967,U65))</f>
        <v/>
      </c>
      <c r="L65" s="28" t="str">
        <f aca="false">IF(OR(T65="",U65=""),"",IF(INDEX('Referência LC 214'!$L$6:$L$967,U65)&amp;""&lt;&gt;"",INDEX('Referência LC 214'!$L$6:$L$967,U65)&amp;"",IF(SUMPRODUCT((LEFT(T65,LEN('Referência LC 214'!$N$6:$N$967))='Referência LC 214'!$N$6:$N$967)*('Referência LC 214'!$L$6:$L$967&lt;&gt;""))&gt;0,"Há outro tratamento só para alguns compradores (ex.: órgão público/SUS) — veja a referência","")))</f>
        <v/>
      </c>
      <c r="M65" s="30" t="str">
        <f aca="false">IF(T65="","",IF(AND(C65&lt;&gt;"Serviço",LEN(T65)-1&lt;&gt;8),"NCM deve ter 8 dígitos",IF(AND(C65="Serviço",LEN(T65)-1&lt;&gt;9),"NBS deve ter 9 dígitos",IF(L65&lt;&gt;"","Benefício depende do comprador: confira a coluna N",IF(G65&gt;1,"Mais de uma regra: confira o item do anexo na referência",IF(G65=0,"Sem redução na LC 214","Confira se o produto é o descrito no item"))))))</f>
        <v/>
      </c>
      <c r="N65" s="25"/>
      <c r="O65" s="23"/>
      <c r="P65" s="25"/>
      <c r="Q65" s="25"/>
      <c r="R65" s="31"/>
      <c r="S65" s="24"/>
      <c r="T65" s="4" t="str">
        <f aca="false">IF(D65="","",IF(C65="Serviço","S","P")&amp;SUBSTITUTE(SUBSTITUTE(SUBSTITUTE(D65,".",""),"-","")," ",""))</f>
        <v/>
      </c>
      <c r="U65" s="4" t="str">
        <f aca="false">IF(T65="","",IFERROR(MATCH(LEFT(T65,10),'Referência LC 214'!$N$6:$N$967,0),IFERROR(MATCH(LEFT(T65,9),'Referência LC 214'!$N$6:$N$967,0),IFERROR(MATCH(LEFT(T65,8),'Referência LC 214'!$N$6:$N$967,0),IFERROR(MATCH(LEFT(T65,7),'Referência LC 214'!$N$6:$N$967,0),IFERROR(MATCH(LEFT(T65,6),'Referência LC 214'!$N$6:$N$967,0),IFERROR(MATCH(LEFT(T65,5),'Referência LC 214'!$N$6:$N$967,0),IFERROR(MATCH(LEFT(T65,4),'Referência LC 214'!$N$6:$N$967,0),IFERROR(MATCH(LEFT(T65,3),'Referência LC 214'!$N$6:$N$967,0),"")))))))))</f>
        <v/>
      </c>
    </row>
    <row r="66" customFormat="false" ht="15" hidden="false" customHeight="false" outlineLevel="0" collapsed="false">
      <c r="A66" s="23"/>
      <c r="B66" s="24"/>
      <c r="C66" s="25"/>
      <c r="D66" s="23"/>
      <c r="E66" s="23"/>
      <c r="F66" s="25"/>
      <c r="G66" s="26" t="str">
        <f aca="false">IF(T66="","",SUMPRODUCT(--(LEFT(T66,LEN('Referência LC 214'!$N$6:$N$967))='Referência LC 214'!$N$6:$N$967)))</f>
        <v/>
      </c>
      <c r="H66" s="27" t="str">
        <f aca="false">IF(T66="","",IF(U66="","000001",INDEX('Referência LC 214'!$I$6:$I$967,U66)))</f>
        <v/>
      </c>
      <c r="I66" s="28" t="str">
        <f aca="false">IF(T66="","",IF(U66="","Sem anexo: tributação integral",INDEX('Referência LC 214'!$H$6:$H$967,U66)))</f>
        <v/>
      </c>
      <c r="J66" s="29" t="str">
        <f aca="false">IF(T66="","",IF(U66="",0,INDEX('Referência LC 214'!$K$6:$K$967,U66)))</f>
        <v/>
      </c>
      <c r="K66" s="28" t="str">
        <f aca="false">IF(OR(T66="",U66=""),"","Anexo "&amp;INDEX('Referência LC 214'!$E$6:$E$967,U66)&amp;", item "&amp;INDEX('Referência LC 214'!$F$6:$F$967,U66)&amp;": "&amp;INDEX('Referência LC 214'!$G$6:$G$967,U66))</f>
        <v/>
      </c>
      <c r="L66" s="28" t="str">
        <f aca="false">IF(OR(T66="",U66=""),"",IF(INDEX('Referência LC 214'!$L$6:$L$967,U66)&amp;""&lt;&gt;"",INDEX('Referência LC 214'!$L$6:$L$967,U66)&amp;"",IF(SUMPRODUCT((LEFT(T66,LEN('Referência LC 214'!$N$6:$N$967))='Referência LC 214'!$N$6:$N$967)*('Referência LC 214'!$L$6:$L$967&lt;&gt;""))&gt;0,"Há outro tratamento só para alguns compradores (ex.: órgão público/SUS) — veja a referência","")))</f>
        <v/>
      </c>
      <c r="M66" s="30" t="str">
        <f aca="false">IF(T66="","",IF(AND(C66&lt;&gt;"Serviço",LEN(T66)-1&lt;&gt;8),"NCM deve ter 8 dígitos",IF(AND(C66="Serviço",LEN(T66)-1&lt;&gt;9),"NBS deve ter 9 dígitos",IF(L66&lt;&gt;"","Benefício depende do comprador: confira a coluna N",IF(G66&gt;1,"Mais de uma regra: confira o item do anexo na referência",IF(G66=0,"Sem redução na LC 214","Confira se o produto é o descrito no item"))))))</f>
        <v/>
      </c>
      <c r="N66" s="25"/>
      <c r="O66" s="23"/>
      <c r="P66" s="25"/>
      <c r="Q66" s="25"/>
      <c r="R66" s="31"/>
      <c r="S66" s="24"/>
      <c r="T66" s="4" t="str">
        <f aca="false">IF(D66="","",IF(C66="Serviço","S","P")&amp;SUBSTITUTE(SUBSTITUTE(SUBSTITUTE(D66,".",""),"-","")," ",""))</f>
        <v/>
      </c>
      <c r="U66" s="4" t="str">
        <f aca="false">IF(T66="","",IFERROR(MATCH(LEFT(T66,10),'Referência LC 214'!$N$6:$N$967,0),IFERROR(MATCH(LEFT(T66,9),'Referência LC 214'!$N$6:$N$967,0),IFERROR(MATCH(LEFT(T66,8),'Referência LC 214'!$N$6:$N$967,0),IFERROR(MATCH(LEFT(T66,7),'Referência LC 214'!$N$6:$N$967,0),IFERROR(MATCH(LEFT(T66,6),'Referência LC 214'!$N$6:$N$967,0),IFERROR(MATCH(LEFT(T66,5),'Referência LC 214'!$N$6:$N$967,0),IFERROR(MATCH(LEFT(T66,4),'Referência LC 214'!$N$6:$N$967,0),IFERROR(MATCH(LEFT(T66,3),'Referência LC 214'!$N$6:$N$967,0),"")))))))))</f>
        <v/>
      </c>
    </row>
    <row r="67" customFormat="false" ht="15" hidden="false" customHeight="false" outlineLevel="0" collapsed="false">
      <c r="A67" s="23"/>
      <c r="B67" s="24"/>
      <c r="C67" s="25"/>
      <c r="D67" s="23"/>
      <c r="E67" s="23"/>
      <c r="F67" s="25"/>
      <c r="G67" s="26" t="str">
        <f aca="false">IF(T67="","",SUMPRODUCT(--(LEFT(T67,LEN('Referência LC 214'!$N$6:$N$967))='Referência LC 214'!$N$6:$N$967)))</f>
        <v/>
      </c>
      <c r="H67" s="27" t="str">
        <f aca="false">IF(T67="","",IF(U67="","000001",INDEX('Referência LC 214'!$I$6:$I$967,U67)))</f>
        <v/>
      </c>
      <c r="I67" s="28" t="str">
        <f aca="false">IF(T67="","",IF(U67="","Sem anexo: tributação integral",INDEX('Referência LC 214'!$H$6:$H$967,U67)))</f>
        <v/>
      </c>
      <c r="J67" s="29" t="str">
        <f aca="false">IF(T67="","",IF(U67="",0,INDEX('Referência LC 214'!$K$6:$K$967,U67)))</f>
        <v/>
      </c>
      <c r="K67" s="28" t="str">
        <f aca="false">IF(OR(T67="",U67=""),"","Anexo "&amp;INDEX('Referência LC 214'!$E$6:$E$967,U67)&amp;", item "&amp;INDEX('Referência LC 214'!$F$6:$F$967,U67)&amp;": "&amp;INDEX('Referência LC 214'!$G$6:$G$967,U67))</f>
        <v/>
      </c>
      <c r="L67" s="28" t="str">
        <f aca="false">IF(OR(T67="",U67=""),"",IF(INDEX('Referência LC 214'!$L$6:$L$967,U67)&amp;""&lt;&gt;"",INDEX('Referência LC 214'!$L$6:$L$967,U67)&amp;"",IF(SUMPRODUCT((LEFT(T67,LEN('Referência LC 214'!$N$6:$N$967))='Referência LC 214'!$N$6:$N$967)*('Referência LC 214'!$L$6:$L$967&lt;&gt;""))&gt;0,"Há outro tratamento só para alguns compradores (ex.: órgão público/SUS) — veja a referência","")))</f>
        <v/>
      </c>
      <c r="M67" s="30" t="str">
        <f aca="false">IF(T67="","",IF(AND(C67&lt;&gt;"Serviço",LEN(T67)-1&lt;&gt;8),"NCM deve ter 8 dígitos",IF(AND(C67="Serviço",LEN(T67)-1&lt;&gt;9),"NBS deve ter 9 dígitos",IF(L67&lt;&gt;"","Benefício depende do comprador: confira a coluna N",IF(G67&gt;1,"Mais de uma regra: confira o item do anexo na referência",IF(G67=0,"Sem redução na LC 214","Confira se o produto é o descrito no item"))))))</f>
        <v/>
      </c>
      <c r="N67" s="25"/>
      <c r="O67" s="23"/>
      <c r="P67" s="25"/>
      <c r="Q67" s="25"/>
      <c r="R67" s="31"/>
      <c r="S67" s="24"/>
      <c r="T67" s="4" t="str">
        <f aca="false">IF(D67="","",IF(C67="Serviço","S","P")&amp;SUBSTITUTE(SUBSTITUTE(SUBSTITUTE(D67,".",""),"-","")," ",""))</f>
        <v/>
      </c>
      <c r="U67" s="4" t="str">
        <f aca="false">IF(T67="","",IFERROR(MATCH(LEFT(T67,10),'Referência LC 214'!$N$6:$N$967,0),IFERROR(MATCH(LEFT(T67,9),'Referência LC 214'!$N$6:$N$967,0),IFERROR(MATCH(LEFT(T67,8),'Referência LC 214'!$N$6:$N$967,0),IFERROR(MATCH(LEFT(T67,7),'Referência LC 214'!$N$6:$N$967,0),IFERROR(MATCH(LEFT(T67,6),'Referência LC 214'!$N$6:$N$967,0),IFERROR(MATCH(LEFT(T67,5),'Referência LC 214'!$N$6:$N$967,0),IFERROR(MATCH(LEFT(T67,4),'Referência LC 214'!$N$6:$N$967,0),IFERROR(MATCH(LEFT(T67,3),'Referência LC 214'!$N$6:$N$967,0),"")))))))))</f>
        <v/>
      </c>
    </row>
    <row r="68" customFormat="false" ht="15" hidden="false" customHeight="false" outlineLevel="0" collapsed="false">
      <c r="A68" s="23"/>
      <c r="B68" s="24"/>
      <c r="C68" s="25"/>
      <c r="D68" s="23"/>
      <c r="E68" s="23"/>
      <c r="F68" s="25"/>
      <c r="G68" s="26" t="str">
        <f aca="false">IF(T68="","",SUMPRODUCT(--(LEFT(T68,LEN('Referência LC 214'!$N$6:$N$967))='Referência LC 214'!$N$6:$N$967)))</f>
        <v/>
      </c>
      <c r="H68" s="27" t="str">
        <f aca="false">IF(T68="","",IF(U68="","000001",INDEX('Referência LC 214'!$I$6:$I$967,U68)))</f>
        <v/>
      </c>
      <c r="I68" s="28" t="str">
        <f aca="false">IF(T68="","",IF(U68="","Sem anexo: tributação integral",INDEX('Referência LC 214'!$H$6:$H$967,U68)))</f>
        <v/>
      </c>
      <c r="J68" s="29" t="str">
        <f aca="false">IF(T68="","",IF(U68="",0,INDEX('Referência LC 214'!$K$6:$K$967,U68)))</f>
        <v/>
      </c>
      <c r="K68" s="28" t="str">
        <f aca="false">IF(OR(T68="",U68=""),"","Anexo "&amp;INDEX('Referência LC 214'!$E$6:$E$967,U68)&amp;", item "&amp;INDEX('Referência LC 214'!$F$6:$F$967,U68)&amp;": "&amp;INDEX('Referência LC 214'!$G$6:$G$967,U68))</f>
        <v/>
      </c>
      <c r="L68" s="28" t="str">
        <f aca="false">IF(OR(T68="",U68=""),"",IF(INDEX('Referência LC 214'!$L$6:$L$967,U68)&amp;""&lt;&gt;"",INDEX('Referência LC 214'!$L$6:$L$967,U68)&amp;"",IF(SUMPRODUCT((LEFT(T68,LEN('Referência LC 214'!$N$6:$N$967))='Referência LC 214'!$N$6:$N$967)*('Referência LC 214'!$L$6:$L$967&lt;&gt;""))&gt;0,"Há outro tratamento só para alguns compradores (ex.: órgão público/SUS) — veja a referência","")))</f>
        <v/>
      </c>
      <c r="M68" s="30" t="str">
        <f aca="false">IF(T68="","",IF(AND(C68&lt;&gt;"Serviço",LEN(T68)-1&lt;&gt;8),"NCM deve ter 8 dígitos",IF(AND(C68="Serviço",LEN(T68)-1&lt;&gt;9),"NBS deve ter 9 dígitos",IF(L68&lt;&gt;"","Benefício depende do comprador: confira a coluna N",IF(G68&gt;1,"Mais de uma regra: confira o item do anexo na referência",IF(G68=0,"Sem redução na LC 214","Confira se o produto é o descrito no item"))))))</f>
        <v/>
      </c>
      <c r="N68" s="25"/>
      <c r="O68" s="23"/>
      <c r="P68" s="25"/>
      <c r="Q68" s="25"/>
      <c r="R68" s="31"/>
      <c r="S68" s="24"/>
      <c r="T68" s="4" t="str">
        <f aca="false">IF(D68="","",IF(C68="Serviço","S","P")&amp;SUBSTITUTE(SUBSTITUTE(SUBSTITUTE(D68,".",""),"-","")," ",""))</f>
        <v/>
      </c>
      <c r="U68" s="4" t="str">
        <f aca="false">IF(T68="","",IFERROR(MATCH(LEFT(T68,10),'Referência LC 214'!$N$6:$N$967,0),IFERROR(MATCH(LEFT(T68,9),'Referência LC 214'!$N$6:$N$967,0),IFERROR(MATCH(LEFT(T68,8),'Referência LC 214'!$N$6:$N$967,0),IFERROR(MATCH(LEFT(T68,7),'Referência LC 214'!$N$6:$N$967,0),IFERROR(MATCH(LEFT(T68,6),'Referência LC 214'!$N$6:$N$967,0),IFERROR(MATCH(LEFT(T68,5),'Referência LC 214'!$N$6:$N$967,0),IFERROR(MATCH(LEFT(T68,4),'Referência LC 214'!$N$6:$N$967,0),IFERROR(MATCH(LEFT(T68,3),'Referência LC 214'!$N$6:$N$967,0),"")))))))))</f>
        <v/>
      </c>
    </row>
    <row r="69" customFormat="false" ht="15" hidden="false" customHeight="false" outlineLevel="0" collapsed="false">
      <c r="A69" s="23"/>
      <c r="B69" s="24"/>
      <c r="C69" s="25"/>
      <c r="D69" s="23"/>
      <c r="E69" s="23"/>
      <c r="F69" s="25"/>
      <c r="G69" s="26" t="str">
        <f aca="false">IF(T69="","",SUMPRODUCT(--(LEFT(T69,LEN('Referência LC 214'!$N$6:$N$967))='Referência LC 214'!$N$6:$N$967)))</f>
        <v/>
      </c>
      <c r="H69" s="27" t="str">
        <f aca="false">IF(T69="","",IF(U69="","000001",INDEX('Referência LC 214'!$I$6:$I$967,U69)))</f>
        <v/>
      </c>
      <c r="I69" s="28" t="str">
        <f aca="false">IF(T69="","",IF(U69="","Sem anexo: tributação integral",INDEX('Referência LC 214'!$H$6:$H$967,U69)))</f>
        <v/>
      </c>
      <c r="J69" s="29" t="str">
        <f aca="false">IF(T69="","",IF(U69="",0,INDEX('Referência LC 214'!$K$6:$K$967,U69)))</f>
        <v/>
      </c>
      <c r="K69" s="28" t="str">
        <f aca="false">IF(OR(T69="",U69=""),"","Anexo "&amp;INDEX('Referência LC 214'!$E$6:$E$967,U69)&amp;", item "&amp;INDEX('Referência LC 214'!$F$6:$F$967,U69)&amp;": "&amp;INDEX('Referência LC 214'!$G$6:$G$967,U69))</f>
        <v/>
      </c>
      <c r="L69" s="28" t="str">
        <f aca="false">IF(OR(T69="",U69=""),"",IF(INDEX('Referência LC 214'!$L$6:$L$967,U69)&amp;""&lt;&gt;"",INDEX('Referência LC 214'!$L$6:$L$967,U69)&amp;"",IF(SUMPRODUCT((LEFT(T69,LEN('Referência LC 214'!$N$6:$N$967))='Referência LC 214'!$N$6:$N$967)*('Referência LC 214'!$L$6:$L$967&lt;&gt;""))&gt;0,"Há outro tratamento só para alguns compradores (ex.: órgão público/SUS) — veja a referência","")))</f>
        <v/>
      </c>
      <c r="M69" s="30" t="str">
        <f aca="false">IF(T69="","",IF(AND(C69&lt;&gt;"Serviço",LEN(T69)-1&lt;&gt;8),"NCM deve ter 8 dígitos",IF(AND(C69="Serviço",LEN(T69)-1&lt;&gt;9),"NBS deve ter 9 dígitos",IF(L69&lt;&gt;"","Benefício depende do comprador: confira a coluna N",IF(G69&gt;1,"Mais de uma regra: confira o item do anexo na referência",IF(G69=0,"Sem redução na LC 214","Confira se o produto é o descrito no item"))))))</f>
        <v/>
      </c>
      <c r="N69" s="25"/>
      <c r="O69" s="23"/>
      <c r="P69" s="25"/>
      <c r="Q69" s="25"/>
      <c r="R69" s="31"/>
      <c r="S69" s="24"/>
      <c r="T69" s="4" t="str">
        <f aca="false">IF(D69="","",IF(C69="Serviço","S","P")&amp;SUBSTITUTE(SUBSTITUTE(SUBSTITUTE(D69,".",""),"-","")," ",""))</f>
        <v/>
      </c>
      <c r="U69" s="4" t="str">
        <f aca="false">IF(T69="","",IFERROR(MATCH(LEFT(T69,10),'Referência LC 214'!$N$6:$N$967,0),IFERROR(MATCH(LEFT(T69,9),'Referência LC 214'!$N$6:$N$967,0),IFERROR(MATCH(LEFT(T69,8),'Referência LC 214'!$N$6:$N$967,0),IFERROR(MATCH(LEFT(T69,7),'Referência LC 214'!$N$6:$N$967,0),IFERROR(MATCH(LEFT(T69,6),'Referência LC 214'!$N$6:$N$967,0),IFERROR(MATCH(LEFT(T69,5),'Referência LC 214'!$N$6:$N$967,0),IFERROR(MATCH(LEFT(T69,4),'Referência LC 214'!$N$6:$N$967,0),IFERROR(MATCH(LEFT(T69,3),'Referência LC 214'!$N$6:$N$967,0),"")))))))))</f>
        <v/>
      </c>
    </row>
    <row r="70" customFormat="false" ht="15" hidden="false" customHeight="false" outlineLevel="0" collapsed="false">
      <c r="A70" s="23"/>
      <c r="B70" s="24"/>
      <c r="C70" s="25"/>
      <c r="D70" s="23"/>
      <c r="E70" s="23"/>
      <c r="F70" s="25"/>
      <c r="G70" s="26" t="str">
        <f aca="false">IF(T70="","",SUMPRODUCT(--(LEFT(T70,LEN('Referência LC 214'!$N$6:$N$967))='Referência LC 214'!$N$6:$N$967)))</f>
        <v/>
      </c>
      <c r="H70" s="27" t="str">
        <f aca="false">IF(T70="","",IF(U70="","000001",INDEX('Referência LC 214'!$I$6:$I$967,U70)))</f>
        <v/>
      </c>
      <c r="I70" s="28" t="str">
        <f aca="false">IF(T70="","",IF(U70="","Sem anexo: tributação integral",INDEX('Referência LC 214'!$H$6:$H$967,U70)))</f>
        <v/>
      </c>
      <c r="J70" s="29" t="str">
        <f aca="false">IF(T70="","",IF(U70="",0,INDEX('Referência LC 214'!$K$6:$K$967,U70)))</f>
        <v/>
      </c>
      <c r="K70" s="28" t="str">
        <f aca="false">IF(OR(T70="",U70=""),"","Anexo "&amp;INDEX('Referência LC 214'!$E$6:$E$967,U70)&amp;", item "&amp;INDEX('Referência LC 214'!$F$6:$F$967,U70)&amp;": "&amp;INDEX('Referência LC 214'!$G$6:$G$967,U70))</f>
        <v/>
      </c>
      <c r="L70" s="28" t="str">
        <f aca="false">IF(OR(T70="",U70=""),"",IF(INDEX('Referência LC 214'!$L$6:$L$967,U70)&amp;""&lt;&gt;"",INDEX('Referência LC 214'!$L$6:$L$967,U70)&amp;"",IF(SUMPRODUCT((LEFT(T70,LEN('Referência LC 214'!$N$6:$N$967))='Referência LC 214'!$N$6:$N$967)*('Referência LC 214'!$L$6:$L$967&lt;&gt;""))&gt;0,"Há outro tratamento só para alguns compradores (ex.: órgão público/SUS) — veja a referência","")))</f>
        <v/>
      </c>
      <c r="M70" s="30" t="str">
        <f aca="false">IF(T70="","",IF(AND(C70&lt;&gt;"Serviço",LEN(T70)-1&lt;&gt;8),"NCM deve ter 8 dígitos",IF(AND(C70="Serviço",LEN(T70)-1&lt;&gt;9),"NBS deve ter 9 dígitos",IF(L70&lt;&gt;"","Benefício depende do comprador: confira a coluna N",IF(G70&gt;1,"Mais de uma regra: confira o item do anexo na referência",IF(G70=0,"Sem redução na LC 214","Confira se o produto é o descrito no item"))))))</f>
        <v/>
      </c>
      <c r="N70" s="25"/>
      <c r="O70" s="23"/>
      <c r="P70" s="25"/>
      <c r="Q70" s="25"/>
      <c r="R70" s="31"/>
      <c r="S70" s="24"/>
      <c r="T70" s="4" t="str">
        <f aca="false">IF(D70="","",IF(C70="Serviço","S","P")&amp;SUBSTITUTE(SUBSTITUTE(SUBSTITUTE(D70,".",""),"-","")," ",""))</f>
        <v/>
      </c>
      <c r="U70" s="4" t="str">
        <f aca="false">IF(T70="","",IFERROR(MATCH(LEFT(T70,10),'Referência LC 214'!$N$6:$N$967,0),IFERROR(MATCH(LEFT(T70,9),'Referência LC 214'!$N$6:$N$967,0),IFERROR(MATCH(LEFT(T70,8),'Referência LC 214'!$N$6:$N$967,0),IFERROR(MATCH(LEFT(T70,7),'Referência LC 214'!$N$6:$N$967,0),IFERROR(MATCH(LEFT(T70,6),'Referência LC 214'!$N$6:$N$967,0),IFERROR(MATCH(LEFT(T70,5),'Referência LC 214'!$N$6:$N$967,0),IFERROR(MATCH(LEFT(T70,4),'Referência LC 214'!$N$6:$N$967,0),IFERROR(MATCH(LEFT(T70,3),'Referência LC 214'!$N$6:$N$967,0),"")))))))))</f>
        <v/>
      </c>
    </row>
    <row r="71" customFormat="false" ht="15" hidden="false" customHeight="false" outlineLevel="0" collapsed="false">
      <c r="A71" s="23"/>
      <c r="B71" s="24"/>
      <c r="C71" s="25"/>
      <c r="D71" s="23"/>
      <c r="E71" s="23"/>
      <c r="F71" s="25"/>
      <c r="G71" s="26" t="str">
        <f aca="false">IF(T71="","",SUMPRODUCT(--(LEFT(T71,LEN('Referência LC 214'!$N$6:$N$967))='Referência LC 214'!$N$6:$N$967)))</f>
        <v/>
      </c>
      <c r="H71" s="27" t="str">
        <f aca="false">IF(T71="","",IF(U71="","000001",INDEX('Referência LC 214'!$I$6:$I$967,U71)))</f>
        <v/>
      </c>
      <c r="I71" s="28" t="str">
        <f aca="false">IF(T71="","",IF(U71="","Sem anexo: tributação integral",INDEX('Referência LC 214'!$H$6:$H$967,U71)))</f>
        <v/>
      </c>
      <c r="J71" s="29" t="str">
        <f aca="false">IF(T71="","",IF(U71="",0,INDEX('Referência LC 214'!$K$6:$K$967,U71)))</f>
        <v/>
      </c>
      <c r="K71" s="28" t="str">
        <f aca="false">IF(OR(T71="",U71=""),"","Anexo "&amp;INDEX('Referência LC 214'!$E$6:$E$967,U71)&amp;", item "&amp;INDEX('Referência LC 214'!$F$6:$F$967,U71)&amp;": "&amp;INDEX('Referência LC 214'!$G$6:$G$967,U71))</f>
        <v/>
      </c>
      <c r="L71" s="28" t="str">
        <f aca="false">IF(OR(T71="",U71=""),"",IF(INDEX('Referência LC 214'!$L$6:$L$967,U71)&amp;""&lt;&gt;"",INDEX('Referência LC 214'!$L$6:$L$967,U71)&amp;"",IF(SUMPRODUCT((LEFT(T71,LEN('Referência LC 214'!$N$6:$N$967))='Referência LC 214'!$N$6:$N$967)*('Referência LC 214'!$L$6:$L$967&lt;&gt;""))&gt;0,"Há outro tratamento só para alguns compradores (ex.: órgão público/SUS) — veja a referência","")))</f>
        <v/>
      </c>
      <c r="M71" s="30" t="str">
        <f aca="false">IF(T71="","",IF(AND(C71&lt;&gt;"Serviço",LEN(T71)-1&lt;&gt;8),"NCM deve ter 8 dígitos",IF(AND(C71="Serviço",LEN(T71)-1&lt;&gt;9),"NBS deve ter 9 dígitos",IF(L71&lt;&gt;"","Benefício depende do comprador: confira a coluna N",IF(G71&gt;1,"Mais de uma regra: confira o item do anexo na referência",IF(G71=0,"Sem redução na LC 214","Confira se o produto é o descrito no item"))))))</f>
        <v/>
      </c>
      <c r="N71" s="25"/>
      <c r="O71" s="23"/>
      <c r="P71" s="25"/>
      <c r="Q71" s="25"/>
      <c r="R71" s="31"/>
      <c r="S71" s="24"/>
      <c r="T71" s="4" t="str">
        <f aca="false">IF(D71="","",IF(C71="Serviço","S","P")&amp;SUBSTITUTE(SUBSTITUTE(SUBSTITUTE(D71,".",""),"-","")," ",""))</f>
        <v/>
      </c>
      <c r="U71" s="4" t="str">
        <f aca="false">IF(T71="","",IFERROR(MATCH(LEFT(T71,10),'Referência LC 214'!$N$6:$N$967,0),IFERROR(MATCH(LEFT(T71,9),'Referência LC 214'!$N$6:$N$967,0),IFERROR(MATCH(LEFT(T71,8),'Referência LC 214'!$N$6:$N$967,0),IFERROR(MATCH(LEFT(T71,7),'Referência LC 214'!$N$6:$N$967,0),IFERROR(MATCH(LEFT(T71,6),'Referência LC 214'!$N$6:$N$967,0),IFERROR(MATCH(LEFT(T71,5),'Referência LC 214'!$N$6:$N$967,0),IFERROR(MATCH(LEFT(T71,4),'Referência LC 214'!$N$6:$N$967,0),IFERROR(MATCH(LEFT(T71,3),'Referência LC 214'!$N$6:$N$967,0),"")))))))))</f>
        <v/>
      </c>
    </row>
    <row r="72" customFormat="false" ht="15" hidden="false" customHeight="false" outlineLevel="0" collapsed="false">
      <c r="A72" s="23"/>
      <c r="B72" s="24"/>
      <c r="C72" s="25"/>
      <c r="D72" s="23"/>
      <c r="E72" s="23"/>
      <c r="F72" s="25"/>
      <c r="G72" s="26" t="str">
        <f aca="false">IF(T72="","",SUMPRODUCT(--(LEFT(T72,LEN('Referência LC 214'!$N$6:$N$967))='Referência LC 214'!$N$6:$N$967)))</f>
        <v/>
      </c>
      <c r="H72" s="27" t="str">
        <f aca="false">IF(T72="","",IF(U72="","000001",INDEX('Referência LC 214'!$I$6:$I$967,U72)))</f>
        <v/>
      </c>
      <c r="I72" s="28" t="str">
        <f aca="false">IF(T72="","",IF(U72="","Sem anexo: tributação integral",INDEX('Referência LC 214'!$H$6:$H$967,U72)))</f>
        <v/>
      </c>
      <c r="J72" s="29" t="str">
        <f aca="false">IF(T72="","",IF(U72="",0,INDEX('Referência LC 214'!$K$6:$K$967,U72)))</f>
        <v/>
      </c>
      <c r="K72" s="28" t="str">
        <f aca="false">IF(OR(T72="",U72=""),"","Anexo "&amp;INDEX('Referência LC 214'!$E$6:$E$967,U72)&amp;", item "&amp;INDEX('Referência LC 214'!$F$6:$F$967,U72)&amp;": "&amp;INDEX('Referência LC 214'!$G$6:$G$967,U72))</f>
        <v/>
      </c>
      <c r="L72" s="28" t="str">
        <f aca="false">IF(OR(T72="",U72=""),"",IF(INDEX('Referência LC 214'!$L$6:$L$967,U72)&amp;""&lt;&gt;"",INDEX('Referência LC 214'!$L$6:$L$967,U72)&amp;"",IF(SUMPRODUCT((LEFT(T72,LEN('Referência LC 214'!$N$6:$N$967))='Referência LC 214'!$N$6:$N$967)*('Referência LC 214'!$L$6:$L$967&lt;&gt;""))&gt;0,"Há outro tratamento só para alguns compradores (ex.: órgão público/SUS) — veja a referência","")))</f>
        <v/>
      </c>
      <c r="M72" s="30" t="str">
        <f aca="false">IF(T72="","",IF(AND(C72&lt;&gt;"Serviço",LEN(T72)-1&lt;&gt;8),"NCM deve ter 8 dígitos",IF(AND(C72="Serviço",LEN(T72)-1&lt;&gt;9),"NBS deve ter 9 dígitos",IF(L72&lt;&gt;"","Benefício depende do comprador: confira a coluna N",IF(G72&gt;1,"Mais de uma regra: confira o item do anexo na referência",IF(G72=0,"Sem redução na LC 214","Confira se o produto é o descrito no item"))))))</f>
        <v/>
      </c>
      <c r="N72" s="25"/>
      <c r="O72" s="23"/>
      <c r="P72" s="25"/>
      <c r="Q72" s="25"/>
      <c r="R72" s="31"/>
      <c r="S72" s="24"/>
      <c r="T72" s="4" t="str">
        <f aca="false">IF(D72="","",IF(C72="Serviço","S","P")&amp;SUBSTITUTE(SUBSTITUTE(SUBSTITUTE(D72,".",""),"-","")," ",""))</f>
        <v/>
      </c>
      <c r="U72" s="4" t="str">
        <f aca="false">IF(T72="","",IFERROR(MATCH(LEFT(T72,10),'Referência LC 214'!$N$6:$N$967,0),IFERROR(MATCH(LEFT(T72,9),'Referência LC 214'!$N$6:$N$967,0),IFERROR(MATCH(LEFT(T72,8),'Referência LC 214'!$N$6:$N$967,0),IFERROR(MATCH(LEFT(T72,7),'Referência LC 214'!$N$6:$N$967,0),IFERROR(MATCH(LEFT(T72,6),'Referência LC 214'!$N$6:$N$967,0),IFERROR(MATCH(LEFT(T72,5),'Referência LC 214'!$N$6:$N$967,0),IFERROR(MATCH(LEFT(T72,4),'Referência LC 214'!$N$6:$N$967,0),IFERROR(MATCH(LEFT(T72,3),'Referência LC 214'!$N$6:$N$967,0),"")))))))))</f>
        <v/>
      </c>
    </row>
    <row r="73" customFormat="false" ht="15" hidden="false" customHeight="false" outlineLevel="0" collapsed="false">
      <c r="A73" s="23"/>
      <c r="B73" s="24"/>
      <c r="C73" s="25"/>
      <c r="D73" s="23"/>
      <c r="E73" s="23"/>
      <c r="F73" s="25"/>
      <c r="G73" s="26" t="str">
        <f aca="false">IF(T73="","",SUMPRODUCT(--(LEFT(T73,LEN('Referência LC 214'!$N$6:$N$967))='Referência LC 214'!$N$6:$N$967)))</f>
        <v/>
      </c>
      <c r="H73" s="27" t="str">
        <f aca="false">IF(T73="","",IF(U73="","000001",INDEX('Referência LC 214'!$I$6:$I$967,U73)))</f>
        <v/>
      </c>
      <c r="I73" s="28" t="str">
        <f aca="false">IF(T73="","",IF(U73="","Sem anexo: tributação integral",INDEX('Referência LC 214'!$H$6:$H$967,U73)))</f>
        <v/>
      </c>
      <c r="J73" s="29" t="str">
        <f aca="false">IF(T73="","",IF(U73="",0,INDEX('Referência LC 214'!$K$6:$K$967,U73)))</f>
        <v/>
      </c>
      <c r="K73" s="28" t="str">
        <f aca="false">IF(OR(T73="",U73=""),"","Anexo "&amp;INDEX('Referência LC 214'!$E$6:$E$967,U73)&amp;", item "&amp;INDEX('Referência LC 214'!$F$6:$F$967,U73)&amp;": "&amp;INDEX('Referência LC 214'!$G$6:$G$967,U73))</f>
        <v/>
      </c>
      <c r="L73" s="28" t="str">
        <f aca="false">IF(OR(T73="",U73=""),"",IF(INDEX('Referência LC 214'!$L$6:$L$967,U73)&amp;""&lt;&gt;"",INDEX('Referência LC 214'!$L$6:$L$967,U73)&amp;"",IF(SUMPRODUCT((LEFT(T73,LEN('Referência LC 214'!$N$6:$N$967))='Referência LC 214'!$N$6:$N$967)*('Referência LC 214'!$L$6:$L$967&lt;&gt;""))&gt;0,"Há outro tratamento só para alguns compradores (ex.: órgão público/SUS) — veja a referência","")))</f>
        <v/>
      </c>
      <c r="M73" s="30" t="str">
        <f aca="false">IF(T73="","",IF(AND(C73&lt;&gt;"Serviço",LEN(T73)-1&lt;&gt;8),"NCM deve ter 8 dígitos",IF(AND(C73="Serviço",LEN(T73)-1&lt;&gt;9),"NBS deve ter 9 dígitos",IF(L73&lt;&gt;"","Benefício depende do comprador: confira a coluna N",IF(G73&gt;1,"Mais de uma regra: confira o item do anexo na referência",IF(G73=0,"Sem redução na LC 214","Confira se o produto é o descrito no item"))))))</f>
        <v/>
      </c>
      <c r="N73" s="25"/>
      <c r="O73" s="23"/>
      <c r="P73" s="25"/>
      <c r="Q73" s="25"/>
      <c r="R73" s="31"/>
      <c r="S73" s="24"/>
      <c r="T73" s="4" t="str">
        <f aca="false">IF(D73="","",IF(C73="Serviço","S","P")&amp;SUBSTITUTE(SUBSTITUTE(SUBSTITUTE(D73,".",""),"-","")," ",""))</f>
        <v/>
      </c>
      <c r="U73" s="4" t="str">
        <f aca="false">IF(T73="","",IFERROR(MATCH(LEFT(T73,10),'Referência LC 214'!$N$6:$N$967,0),IFERROR(MATCH(LEFT(T73,9),'Referência LC 214'!$N$6:$N$967,0),IFERROR(MATCH(LEFT(T73,8),'Referência LC 214'!$N$6:$N$967,0),IFERROR(MATCH(LEFT(T73,7),'Referência LC 214'!$N$6:$N$967,0),IFERROR(MATCH(LEFT(T73,6),'Referência LC 214'!$N$6:$N$967,0),IFERROR(MATCH(LEFT(T73,5),'Referência LC 214'!$N$6:$N$967,0),IFERROR(MATCH(LEFT(T73,4),'Referência LC 214'!$N$6:$N$967,0),IFERROR(MATCH(LEFT(T73,3),'Referência LC 214'!$N$6:$N$967,0),"")))))))))</f>
        <v/>
      </c>
    </row>
    <row r="74" customFormat="false" ht="15" hidden="false" customHeight="false" outlineLevel="0" collapsed="false">
      <c r="A74" s="23"/>
      <c r="B74" s="24"/>
      <c r="C74" s="25"/>
      <c r="D74" s="23"/>
      <c r="E74" s="23"/>
      <c r="F74" s="25"/>
      <c r="G74" s="26" t="str">
        <f aca="false">IF(T74="","",SUMPRODUCT(--(LEFT(T74,LEN('Referência LC 214'!$N$6:$N$967))='Referência LC 214'!$N$6:$N$967)))</f>
        <v/>
      </c>
      <c r="H74" s="27" t="str">
        <f aca="false">IF(T74="","",IF(U74="","000001",INDEX('Referência LC 214'!$I$6:$I$967,U74)))</f>
        <v/>
      </c>
      <c r="I74" s="28" t="str">
        <f aca="false">IF(T74="","",IF(U74="","Sem anexo: tributação integral",INDEX('Referência LC 214'!$H$6:$H$967,U74)))</f>
        <v/>
      </c>
      <c r="J74" s="29" t="str">
        <f aca="false">IF(T74="","",IF(U74="",0,INDEX('Referência LC 214'!$K$6:$K$967,U74)))</f>
        <v/>
      </c>
      <c r="K74" s="28" t="str">
        <f aca="false">IF(OR(T74="",U74=""),"","Anexo "&amp;INDEX('Referência LC 214'!$E$6:$E$967,U74)&amp;", item "&amp;INDEX('Referência LC 214'!$F$6:$F$967,U74)&amp;": "&amp;INDEX('Referência LC 214'!$G$6:$G$967,U74))</f>
        <v/>
      </c>
      <c r="L74" s="28" t="str">
        <f aca="false">IF(OR(T74="",U74=""),"",IF(INDEX('Referência LC 214'!$L$6:$L$967,U74)&amp;""&lt;&gt;"",INDEX('Referência LC 214'!$L$6:$L$967,U74)&amp;"",IF(SUMPRODUCT((LEFT(T74,LEN('Referência LC 214'!$N$6:$N$967))='Referência LC 214'!$N$6:$N$967)*('Referência LC 214'!$L$6:$L$967&lt;&gt;""))&gt;0,"Há outro tratamento só para alguns compradores (ex.: órgão público/SUS) — veja a referência","")))</f>
        <v/>
      </c>
      <c r="M74" s="30" t="str">
        <f aca="false">IF(T74="","",IF(AND(C74&lt;&gt;"Serviço",LEN(T74)-1&lt;&gt;8),"NCM deve ter 8 dígitos",IF(AND(C74="Serviço",LEN(T74)-1&lt;&gt;9),"NBS deve ter 9 dígitos",IF(L74&lt;&gt;"","Benefício depende do comprador: confira a coluna N",IF(G74&gt;1,"Mais de uma regra: confira o item do anexo na referência",IF(G74=0,"Sem redução na LC 214","Confira se o produto é o descrito no item"))))))</f>
        <v/>
      </c>
      <c r="N74" s="25"/>
      <c r="O74" s="23"/>
      <c r="P74" s="25"/>
      <c r="Q74" s="25"/>
      <c r="R74" s="31"/>
      <c r="S74" s="24"/>
      <c r="T74" s="4" t="str">
        <f aca="false">IF(D74="","",IF(C74="Serviço","S","P")&amp;SUBSTITUTE(SUBSTITUTE(SUBSTITUTE(D74,".",""),"-","")," ",""))</f>
        <v/>
      </c>
      <c r="U74" s="4" t="str">
        <f aca="false">IF(T74="","",IFERROR(MATCH(LEFT(T74,10),'Referência LC 214'!$N$6:$N$967,0),IFERROR(MATCH(LEFT(T74,9),'Referência LC 214'!$N$6:$N$967,0),IFERROR(MATCH(LEFT(T74,8),'Referência LC 214'!$N$6:$N$967,0),IFERROR(MATCH(LEFT(T74,7),'Referência LC 214'!$N$6:$N$967,0),IFERROR(MATCH(LEFT(T74,6),'Referência LC 214'!$N$6:$N$967,0),IFERROR(MATCH(LEFT(T74,5),'Referência LC 214'!$N$6:$N$967,0),IFERROR(MATCH(LEFT(T74,4),'Referência LC 214'!$N$6:$N$967,0),IFERROR(MATCH(LEFT(T74,3),'Referência LC 214'!$N$6:$N$967,0),"")))))))))</f>
        <v/>
      </c>
    </row>
    <row r="75" customFormat="false" ht="15" hidden="false" customHeight="false" outlineLevel="0" collapsed="false">
      <c r="A75" s="23"/>
      <c r="B75" s="24"/>
      <c r="C75" s="25"/>
      <c r="D75" s="23"/>
      <c r="E75" s="23"/>
      <c r="F75" s="25"/>
      <c r="G75" s="26" t="str">
        <f aca="false">IF(T75="","",SUMPRODUCT(--(LEFT(T75,LEN('Referência LC 214'!$N$6:$N$967))='Referência LC 214'!$N$6:$N$967)))</f>
        <v/>
      </c>
      <c r="H75" s="27" t="str">
        <f aca="false">IF(T75="","",IF(U75="","000001",INDEX('Referência LC 214'!$I$6:$I$967,U75)))</f>
        <v/>
      </c>
      <c r="I75" s="28" t="str">
        <f aca="false">IF(T75="","",IF(U75="","Sem anexo: tributação integral",INDEX('Referência LC 214'!$H$6:$H$967,U75)))</f>
        <v/>
      </c>
      <c r="J75" s="29" t="str">
        <f aca="false">IF(T75="","",IF(U75="",0,INDEX('Referência LC 214'!$K$6:$K$967,U75)))</f>
        <v/>
      </c>
      <c r="K75" s="28" t="str">
        <f aca="false">IF(OR(T75="",U75=""),"","Anexo "&amp;INDEX('Referência LC 214'!$E$6:$E$967,U75)&amp;", item "&amp;INDEX('Referência LC 214'!$F$6:$F$967,U75)&amp;": "&amp;INDEX('Referência LC 214'!$G$6:$G$967,U75))</f>
        <v/>
      </c>
      <c r="L75" s="28" t="str">
        <f aca="false">IF(OR(T75="",U75=""),"",IF(INDEX('Referência LC 214'!$L$6:$L$967,U75)&amp;""&lt;&gt;"",INDEX('Referência LC 214'!$L$6:$L$967,U75)&amp;"",IF(SUMPRODUCT((LEFT(T75,LEN('Referência LC 214'!$N$6:$N$967))='Referência LC 214'!$N$6:$N$967)*('Referência LC 214'!$L$6:$L$967&lt;&gt;""))&gt;0,"Há outro tratamento só para alguns compradores (ex.: órgão público/SUS) — veja a referência","")))</f>
        <v/>
      </c>
      <c r="M75" s="30" t="str">
        <f aca="false">IF(T75="","",IF(AND(C75&lt;&gt;"Serviço",LEN(T75)-1&lt;&gt;8),"NCM deve ter 8 dígitos",IF(AND(C75="Serviço",LEN(T75)-1&lt;&gt;9),"NBS deve ter 9 dígitos",IF(L75&lt;&gt;"","Benefício depende do comprador: confira a coluna N",IF(G75&gt;1,"Mais de uma regra: confira o item do anexo na referência",IF(G75=0,"Sem redução na LC 214","Confira se o produto é o descrito no item"))))))</f>
        <v/>
      </c>
      <c r="N75" s="25"/>
      <c r="O75" s="23"/>
      <c r="P75" s="25"/>
      <c r="Q75" s="25"/>
      <c r="R75" s="31"/>
      <c r="S75" s="24"/>
      <c r="T75" s="4" t="str">
        <f aca="false">IF(D75="","",IF(C75="Serviço","S","P")&amp;SUBSTITUTE(SUBSTITUTE(SUBSTITUTE(D75,".",""),"-","")," ",""))</f>
        <v/>
      </c>
      <c r="U75" s="4" t="str">
        <f aca="false">IF(T75="","",IFERROR(MATCH(LEFT(T75,10),'Referência LC 214'!$N$6:$N$967,0),IFERROR(MATCH(LEFT(T75,9),'Referência LC 214'!$N$6:$N$967,0),IFERROR(MATCH(LEFT(T75,8),'Referência LC 214'!$N$6:$N$967,0),IFERROR(MATCH(LEFT(T75,7),'Referência LC 214'!$N$6:$N$967,0),IFERROR(MATCH(LEFT(T75,6),'Referência LC 214'!$N$6:$N$967,0),IFERROR(MATCH(LEFT(T75,5),'Referência LC 214'!$N$6:$N$967,0),IFERROR(MATCH(LEFT(T75,4),'Referência LC 214'!$N$6:$N$967,0),IFERROR(MATCH(LEFT(T75,3),'Referência LC 214'!$N$6:$N$967,0),"")))))))))</f>
        <v/>
      </c>
    </row>
    <row r="76" customFormat="false" ht="15" hidden="false" customHeight="false" outlineLevel="0" collapsed="false">
      <c r="A76" s="23"/>
      <c r="B76" s="24"/>
      <c r="C76" s="25"/>
      <c r="D76" s="23"/>
      <c r="E76" s="23"/>
      <c r="F76" s="25"/>
      <c r="G76" s="26" t="str">
        <f aca="false">IF(T76="","",SUMPRODUCT(--(LEFT(T76,LEN('Referência LC 214'!$N$6:$N$967))='Referência LC 214'!$N$6:$N$967)))</f>
        <v/>
      </c>
      <c r="H76" s="27" t="str">
        <f aca="false">IF(T76="","",IF(U76="","000001",INDEX('Referência LC 214'!$I$6:$I$967,U76)))</f>
        <v/>
      </c>
      <c r="I76" s="28" t="str">
        <f aca="false">IF(T76="","",IF(U76="","Sem anexo: tributação integral",INDEX('Referência LC 214'!$H$6:$H$967,U76)))</f>
        <v/>
      </c>
      <c r="J76" s="29" t="str">
        <f aca="false">IF(T76="","",IF(U76="",0,INDEX('Referência LC 214'!$K$6:$K$967,U76)))</f>
        <v/>
      </c>
      <c r="K76" s="28" t="str">
        <f aca="false">IF(OR(T76="",U76=""),"","Anexo "&amp;INDEX('Referência LC 214'!$E$6:$E$967,U76)&amp;", item "&amp;INDEX('Referência LC 214'!$F$6:$F$967,U76)&amp;": "&amp;INDEX('Referência LC 214'!$G$6:$G$967,U76))</f>
        <v/>
      </c>
      <c r="L76" s="28" t="str">
        <f aca="false">IF(OR(T76="",U76=""),"",IF(INDEX('Referência LC 214'!$L$6:$L$967,U76)&amp;""&lt;&gt;"",INDEX('Referência LC 214'!$L$6:$L$967,U76)&amp;"",IF(SUMPRODUCT((LEFT(T76,LEN('Referência LC 214'!$N$6:$N$967))='Referência LC 214'!$N$6:$N$967)*('Referência LC 214'!$L$6:$L$967&lt;&gt;""))&gt;0,"Há outro tratamento só para alguns compradores (ex.: órgão público/SUS) — veja a referência","")))</f>
        <v/>
      </c>
      <c r="M76" s="30" t="str">
        <f aca="false">IF(T76="","",IF(AND(C76&lt;&gt;"Serviço",LEN(T76)-1&lt;&gt;8),"NCM deve ter 8 dígitos",IF(AND(C76="Serviço",LEN(T76)-1&lt;&gt;9),"NBS deve ter 9 dígitos",IF(L76&lt;&gt;"","Benefício depende do comprador: confira a coluna N",IF(G76&gt;1,"Mais de uma regra: confira o item do anexo na referência",IF(G76=0,"Sem redução na LC 214","Confira se o produto é o descrito no item"))))))</f>
        <v/>
      </c>
      <c r="N76" s="25"/>
      <c r="O76" s="23"/>
      <c r="P76" s="25"/>
      <c r="Q76" s="25"/>
      <c r="R76" s="31"/>
      <c r="S76" s="24"/>
      <c r="T76" s="4" t="str">
        <f aca="false">IF(D76="","",IF(C76="Serviço","S","P")&amp;SUBSTITUTE(SUBSTITUTE(SUBSTITUTE(D76,".",""),"-","")," ",""))</f>
        <v/>
      </c>
      <c r="U76" s="4" t="str">
        <f aca="false">IF(T76="","",IFERROR(MATCH(LEFT(T76,10),'Referência LC 214'!$N$6:$N$967,0),IFERROR(MATCH(LEFT(T76,9),'Referência LC 214'!$N$6:$N$967,0),IFERROR(MATCH(LEFT(T76,8),'Referência LC 214'!$N$6:$N$967,0),IFERROR(MATCH(LEFT(T76,7),'Referência LC 214'!$N$6:$N$967,0),IFERROR(MATCH(LEFT(T76,6),'Referência LC 214'!$N$6:$N$967,0),IFERROR(MATCH(LEFT(T76,5),'Referência LC 214'!$N$6:$N$967,0),IFERROR(MATCH(LEFT(T76,4),'Referência LC 214'!$N$6:$N$967,0),IFERROR(MATCH(LEFT(T76,3),'Referência LC 214'!$N$6:$N$967,0),"")))))))))</f>
        <v/>
      </c>
    </row>
    <row r="77" customFormat="false" ht="15" hidden="false" customHeight="false" outlineLevel="0" collapsed="false">
      <c r="A77" s="23"/>
      <c r="B77" s="24"/>
      <c r="C77" s="25"/>
      <c r="D77" s="23"/>
      <c r="E77" s="23"/>
      <c r="F77" s="25"/>
      <c r="G77" s="26" t="str">
        <f aca="false">IF(T77="","",SUMPRODUCT(--(LEFT(T77,LEN('Referência LC 214'!$N$6:$N$967))='Referência LC 214'!$N$6:$N$967)))</f>
        <v/>
      </c>
      <c r="H77" s="27" t="str">
        <f aca="false">IF(T77="","",IF(U77="","000001",INDEX('Referência LC 214'!$I$6:$I$967,U77)))</f>
        <v/>
      </c>
      <c r="I77" s="28" t="str">
        <f aca="false">IF(T77="","",IF(U77="","Sem anexo: tributação integral",INDEX('Referência LC 214'!$H$6:$H$967,U77)))</f>
        <v/>
      </c>
      <c r="J77" s="29" t="str">
        <f aca="false">IF(T77="","",IF(U77="",0,INDEX('Referência LC 214'!$K$6:$K$967,U77)))</f>
        <v/>
      </c>
      <c r="K77" s="28" t="str">
        <f aca="false">IF(OR(T77="",U77=""),"","Anexo "&amp;INDEX('Referência LC 214'!$E$6:$E$967,U77)&amp;", item "&amp;INDEX('Referência LC 214'!$F$6:$F$967,U77)&amp;": "&amp;INDEX('Referência LC 214'!$G$6:$G$967,U77))</f>
        <v/>
      </c>
      <c r="L77" s="28" t="str">
        <f aca="false">IF(OR(T77="",U77=""),"",IF(INDEX('Referência LC 214'!$L$6:$L$967,U77)&amp;""&lt;&gt;"",INDEX('Referência LC 214'!$L$6:$L$967,U77)&amp;"",IF(SUMPRODUCT((LEFT(T77,LEN('Referência LC 214'!$N$6:$N$967))='Referência LC 214'!$N$6:$N$967)*('Referência LC 214'!$L$6:$L$967&lt;&gt;""))&gt;0,"Há outro tratamento só para alguns compradores (ex.: órgão público/SUS) — veja a referência","")))</f>
        <v/>
      </c>
      <c r="M77" s="30" t="str">
        <f aca="false">IF(T77="","",IF(AND(C77&lt;&gt;"Serviço",LEN(T77)-1&lt;&gt;8),"NCM deve ter 8 dígitos",IF(AND(C77="Serviço",LEN(T77)-1&lt;&gt;9),"NBS deve ter 9 dígitos",IF(L77&lt;&gt;"","Benefício depende do comprador: confira a coluna N",IF(G77&gt;1,"Mais de uma regra: confira o item do anexo na referência",IF(G77=0,"Sem redução na LC 214","Confira se o produto é o descrito no item"))))))</f>
        <v/>
      </c>
      <c r="N77" s="25"/>
      <c r="O77" s="23"/>
      <c r="P77" s="25"/>
      <c r="Q77" s="25"/>
      <c r="R77" s="31"/>
      <c r="S77" s="24"/>
      <c r="T77" s="4" t="str">
        <f aca="false">IF(D77="","",IF(C77="Serviço","S","P")&amp;SUBSTITUTE(SUBSTITUTE(SUBSTITUTE(D77,".",""),"-","")," ",""))</f>
        <v/>
      </c>
      <c r="U77" s="4" t="str">
        <f aca="false">IF(T77="","",IFERROR(MATCH(LEFT(T77,10),'Referência LC 214'!$N$6:$N$967,0),IFERROR(MATCH(LEFT(T77,9),'Referência LC 214'!$N$6:$N$967,0),IFERROR(MATCH(LEFT(T77,8),'Referência LC 214'!$N$6:$N$967,0),IFERROR(MATCH(LEFT(T77,7),'Referência LC 214'!$N$6:$N$967,0),IFERROR(MATCH(LEFT(T77,6),'Referência LC 214'!$N$6:$N$967,0),IFERROR(MATCH(LEFT(T77,5),'Referência LC 214'!$N$6:$N$967,0),IFERROR(MATCH(LEFT(T77,4),'Referência LC 214'!$N$6:$N$967,0),IFERROR(MATCH(LEFT(T77,3),'Referência LC 214'!$N$6:$N$967,0),"")))))))))</f>
        <v/>
      </c>
    </row>
    <row r="78" customFormat="false" ht="15" hidden="false" customHeight="false" outlineLevel="0" collapsed="false">
      <c r="A78" s="23"/>
      <c r="B78" s="24"/>
      <c r="C78" s="25"/>
      <c r="D78" s="23"/>
      <c r="E78" s="23"/>
      <c r="F78" s="25"/>
      <c r="G78" s="26" t="str">
        <f aca="false">IF(T78="","",SUMPRODUCT(--(LEFT(T78,LEN('Referência LC 214'!$N$6:$N$967))='Referência LC 214'!$N$6:$N$967)))</f>
        <v/>
      </c>
      <c r="H78" s="27" t="str">
        <f aca="false">IF(T78="","",IF(U78="","000001",INDEX('Referência LC 214'!$I$6:$I$967,U78)))</f>
        <v/>
      </c>
      <c r="I78" s="28" t="str">
        <f aca="false">IF(T78="","",IF(U78="","Sem anexo: tributação integral",INDEX('Referência LC 214'!$H$6:$H$967,U78)))</f>
        <v/>
      </c>
      <c r="J78" s="29" t="str">
        <f aca="false">IF(T78="","",IF(U78="",0,INDEX('Referência LC 214'!$K$6:$K$967,U78)))</f>
        <v/>
      </c>
      <c r="K78" s="28" t="str">
        <f aca="false">IF(OR(T78="",U78=""),"","Anexo "&amp;INDEX('Referência LC 214'!$E$6:$E$967,U78)&amp;", item "&amp;INDEX('Referência LC 214'!$F$6:$F$967,U78)&amp;": "&amp;INDEX('Referência LC 214'!$G$6:$G$967,U78))</f>
        <v/>
      </c>
      <c r="L78" s="28" t="str">
        <f aca="false">IF(OR(T78="",U78=""),"",IF(INDEX('Referência LC 214'!$L$6:$L$967,U78)&amp;""&lt;&gt;"",INDEX('Referência LC 214'!$L$6:$L$967,U78)&amp;"",IF(SUMPRODUCT((LEFT(T78,LEN('Referência LC 214'!$N$6:$N$967))='Referência LC 214'!$N$6:$N$967)*('Referência LC 214'!$L$6:$L$967&lt;&gt;""))&gt;0,"Há outro tratamento só para alguns compradores (ex.: órgão público/SUS) — veja a referência","")))</f>
        <v/>
      </c>
      <c r="M78" s="30" t="str">
        <f aca="false">IF(T78="","",IF(AND(C78&lt;&gt;"Serviço",LEN(T78)-1&lt;&gt;8),"NCM deve ter 8 dígitos",IF(AND(C78="Serviço",LEN(T78)-1&lt;&gt;9),"NBS deve ter 9 dígitos",IF(L78&lt;&gt;"","Benefício depende do comprador: confira a coluna N",IF(G78&gt;1,"Mais de uma regra: confira o item do anexo na referência",IF(G78=0,"Sem redução na LC 214","Confira se o produto é o descrito no item"))))))</f>
        <v/>
      </c>
      <c r="N78" s="25"/>
      <c r="O78" s="23"/>
      <c r="P78" s="25"/>
      <c r="Q78" s="25"/>
      <c r="R78" s="31"/>
      <c r="S78" s="24"/>
      <c r="T78" s="4" t="str">
        <f aca="false">IF(D78="","",IF(C78="Serviço","S","P")&amp;SUBSTITUTE(SUBSTITUTE(SUBSTITUTE(D78,".",""),"-","")," ",""))</f>
        <v/>
      </c>
      <c r="U78" s="4" t="str">
        <f aca="false">IF(T78="","",IFERROR(MATCH(LEFT(T78,10),'Referência LC 214'!$N$6:$N$967,0),IFERROR(MATCH(LEFT(T78,9),'Referência LC 214'!$N$6:$N$967,0),IFERROR(MATCH(LEFT(T78,8),'Referência LC 214'!$N$6:$N$967,0),IFERROR(MATCH(LEFT(T78,7),'Referência LC 214'!$N$6:$N$967,0),IFERROR(MATCH(LEFT(T78,6),'Referência LC 214'!$N$6:$N$967,0),IFERROR(MATCH(LEFT(T78,5),'Referência LC 214'!$N$6:$N$967,0),IFERROR(MATCH(LEFT(T78,4),'Referência LC 214'!$N$6:$N$967,0),IFERROR(MATCH(LEFT(T78,3),'Referência LC 214'!$N$6:$N$967,0),"")))))))))</f>
        <v/>
      </c>
    </row>
    <row r="79" customFormat="false" ht="15" hidden="false" customHeight="false" outlineLevel="0" collapsed="false">
      <c r="A79" s="23"/>
      <c r="B79" s="24"/>
      <c r="C79" s="25"/>
      <c r="D79" s="23"/>
      <c r="E79" s="23"/>
      <c r="F79" s="25"/>
      <c r="G79" s="26" t="str">
        <f aca="false">IF(T79="","",SUMPRODUCT(--(LEFT(T79,LEN('Referência LC 214'!$N$6:$N$967))='Referência LC 214'!$N$6:$N$967)))</f>
        <v/>
      </c>
      <c r="H79" s="27" t="str">
        <f aca="false">IF(T79="","",IF(U79="","000001",INDEX('Referência LC 214'!$I$6:$I$967,U79)))</f>
        <v/>
      </c>
      <c r="I79" s="28" t="str">
        <f aca="false">IF(T79="","",IF(U79="","Sem anexo: tributação integral",INDEX('Referência LC 214'!$H$6:$H$967,U79)))</f>
        <v/>
      </c>
      <c r="J79" s="29" t="str">
        <f aca="false">IF(T79="","",IF(U79="",0,INDEX('Referência LC 214'!$K$6:$K$967,U79)))</f>
        <v/>
      </c>
      <c r="K79" s="28" t="str">
        <f aca="false">IF(OR(T79="",U79=""),"","Anexo "&amp;INDEX('Referência LC 214'!$E$6:$E$967,U79)&amp;", item "&amp;INDEX('Referência LC 214'!$F$6:$F$967,U79)&amp;": "&amp;INDEX('Referência LC 214'!$G$6:$G$967,U79))</f>
        <v/>
      </c>
      <c r="L79" s="28" t="str">
        <f aca="false">IF(OR(T79="",U79=""),"",IF(INDEX('Referência LC 214'!$L$6:$L$967,U79)&amp;""&lt;&gt;"",INDEX('Referência LC 214'!$L$6:$L$967,U79)&amp;"",IF(SUMPRODUCT((LEFT(T79,LEN('Referência LC 214'!$N$6:$N$967))='Referência LC 214'!$N$6:$N$967)*('Referência LC 214'!$L$6:$L$967&lt;&gt;""))&gt;0,"Há outro tratamento só para alguns compradores (ex.: órgão público/SUS) — veja a referência","")))</f>
        <v/>
      </c>
      <c r="M79" s="30" t="str">
        <f aca="false">IF(T79="","",IF(AND(C79&lt;&gt;"Serviço",LEN(T79)-1&lt;&gt;8),"NCM deve ter 8 dígitos",IF(AND(C79="Serviço",LEN(T79)-1&lt;&gt;9),"NBS deve ter 9 dígitos",IF(L79&lt;&gt;"","Benefício depende do comprador: confira a coluna N",IF(G79&gt;1,"Mais de uma regra: confira o item do anexo na referência",IF(G79=0,"Sem redução na LC 214","Confira se o produto é o descrito no item"))))))</f>
        <v/>
      </c>
      <c r="N79" s="25"/>
      <c r="O79" s="23"/>
      <c r="P79" s="25"/>
      <c r="Q79" s="25"/>
      <c r="R79" s="31"/>
      <c r="S79" s="24"/>
      <c r="T79" s="4" t="str">
        <f aca="false">IF(D79="","",IF(C79="Serviço","S","P")&amp;SUBSTITUTE(SUBSTITUTE(SUBSTITUTE(D79,".",""),"-","")," ",""))</f>
        <v/>
      </c>
      <c r="U79" s="4" t="str">
        <f aca="false">IF(T79="","",IFERROR(MATCH(LEFT(T79,10),'Referência LC 214'!$N$6:$N$967,0),IFERROR(MATCH(LEFT(T79,9),'Referência LC 214'!$N$6:$N$967,0),IFERROR(MATCH(LEFT(T79,8),'Referência LC 214'!$N$6:$N$967,0),IFERROR(MATCH(LEFT(T79,7),'Referência LC 214'!$N$6:$N$967,0),IFERROR(MATCH(LEFT(T79,6),'Referência LC 214'!$N$6:$N$967,0),IFERROR(MATCH(LEFT(T79,5),'Referência LC 214'!$N$6:$N$967,0),IFERROR(MATCH(LEFT(T79,4),'Referência LC 214'!$N$6:$N$967,0),IFERROR(MATCH(LEFT(T79,3),'Referência LC 214'!$N$6:$N$967,0),"")))))))))</f>
        <v/>
      </c>
    </row>
    <row r="80" customFormat="false" ht="15" hidden="false" customHeight="false" outlineLevel="0" collapsed="false">
      <c r="A80" s="23"/>
      <c r="B80" s="24"/>
      <c r="C80" s="25"/>
      <c r="D80" s="23"/>
      <c r="E80" s="23"/>
      <c r="F80" s="25"/>
      <c r="G80" s="26" t="str">
        <f aca="false">IF(T80="","",SUMPRODUCT(--(LEFT(T80,LEN('Referência LC 214'!$N$6:$N$967))='Referência LC 214'!$N$6:$N$967)))</f>
        <v/>
      </c>
      <c r="H80" s="27" t="str">
        <f aca="false">IF(T80="","",IF(U80="","000001",INDEX('Referência LC 214'!$I$6:$I$967,U80)))</f>
        <v/>
      </c>
      <c r="I80" s="28" t="str">
        <f aca="false">IF(T80="","",IF(U80="","Sem anexo: tributação integral",INDEX('Referência LC 214'!$H$6:$H$967,U80)))</f>
        <v/>
      </c>
      <c r="J80" s="29" t="str">
        <f aca="false">IF(T80="","",IF(U80="",0,INDEX('Referência LC 214'!$K$6:$K$967,U80)))</f>
        <v/>
      </c>
      <c r="K80" s="28" t="str">
        <f aca="false">IF(OR(T80="",U80=""),"","Anexo "&amp;INDEX('Referência LC 214'!$E$6:$E$967,U80)&amp;", item "&amp;INDEX('Referência LC 214'!$F$6:$F$967,U80)&amp;": "&amp;INDEX('Referência LC 214'!$G$6:$G$967,U80))</f>
        <v/>
      </c>
      <c r="L80" s="28" t="str">
        <f aca="false">IF(OR(T80="",U80=""),"",IF(INDEX('Referência LC 214'!$L$6:$L$967,U80)&amp;""&lt;&gt;"",INDEX('Referência LC 214'!$L$6:$L$967,U80)&amp;"",IF(SUMPRODUCT((LEFT(T80,LEN('Referência LC 214'!$N$6:$N$967))='Referência LC 214'!$N$6:$N$967)*('Referência LC 214'!$L$6:$L$967&lt;&gt;""))&gt;0,"Há outro tratamento só para alguns compradores (ex.: órgão público/SUS) — veja a referência","")))</f>
        <v/>
      </c>
      <c r="M80" s="30" t="str">
        <f aca="false">IF(T80="","",IF(AND(C80&lt;&gt;"Serviço",LEN(T80)-1&lt;&gt;8),"NCM deve ter 8 dígitos",IF(AND(C80="Serviço",LEN(T80)-1&lt;&gt;9),"NBS deve ter 9 dígitos",IF(L80&lt;&gt;"","Benefício depende do comprador: confira a coluna N",IF(G80&gt;1,"Mais de uma regra: confira o item do anexo na referência",IF(G80=0,"Sem redução na LC 214","Confira se o produto é o descrito no item"))))))</f>
        <v/>
      </c>
      <c r="N80" s="25"/>
      <c r="O80" s="23"/>
      <c r="P80" s="25"/>
      <c r="Q80" s="25"/>
      <c r="R80" s="31"/>
      <c r="S80" s="24"/>
      <c r="T80" s="4" t="str">
        <f aca="false">IF(D80="","",IF(C80="Serviço","S","P")&amp;SUBSTITUTE(SUBSTITUTE(SUBSTITUTE(D80,".",""),"-","")," ",""))</f>
        <v/>
      </c>
      <c r="U80" s="4" t="str">
        <f aca="false">IF(T80="","",IFERROR(MATCH(LEFT(T80,10),'Referência LC 214'!$N$6:$N$967,0),IFERROR(MATCH(LEFT(T80,9),'Referência LC 214'!$N$6:$N$967,0),IFERROR(MATCH(LEFT(T80,8),'Referência LC 214'!$N$6:$N$967,0),IFERROR(MATCH(LEFT(T80,7),'Referência LC 214'!$N$6:$N$967,0),IFERROR(MATCH(LEFT(T80,6),'Referência LC 214'!$N$6:$N$967,0),IFERROR(MATCH(LEFT(T80,5),'Referência LC 214'!$N$6:$N$967,0),IFERROR(MATCH(LEFT(T80,4),'Referência LC 214'!$N$6:$N$967,0),IFERROR(MATCH(LEFT(T80,3),'Referência LC 214'!$N$6:$N$967,0),"")))))))))</f>
        <v/>
      </c>
    </row>
    <row r="81" customFormat="false" ht="15" hidden="false" customHeight="false" outlineLevel="0" collapsed="false">
      <c r="A81" s="23"/>
      <c r="B81" s="24"/>
      <c r="C81" s="25"/>
      <c r="D81" s="23"/>
      <c r="E81" s="23"/>
      <c r="F81" s="25"/>
      <c r="G81" s="26" t="str">
        <f aca="false">IF(T81="","",SUMPRODUCT(--(LEFT(T81,LEN('Referência LC 214'!$N$6:$N$967))='Referência LC 214'!$N$6:$N$967)))</f>
        <v/>
      </c>
      <c r="H81" s="27" t="str">
        <f aca="false">IF(T81="","",IF(U81="","000001",INDEX('Referência LC 214'!$I$6:$I$967,U81)))</f>
        <v/>
      </c>
      <c r="I81" s="28" t="str">
        <f aca="false">IF(T81="","",IF(U81="","Sem anexo: tributação integral",INDEX('Referência LC 214'!$H$6:$H$967,U81)))</f>
        <v/>
      </c>
      <c r="J81" s="29" t="str">
        <f aca="false">IF(T81="","",IF(U81="",0,INDEX('Referência LC 214'!$K$6:$K$967,U81)))</f>
        <v/>
      </c>
      <c r="K81" s="28" t="str">
        <f aca="false">IF(OR(T81="",U81=""),"","Anexo "&amp;INDEX('Referência LC 214'!$E$6:$E$967,U81)&amp;", item "&amp;INDEX('Referência LC 214'!$F$6:$F$967,U81)&amp;": "&amp;INDEX('Referência LC 214'!$G$6:$G$967,U81))</f>
        <v/>
      </c>
      <c r="L81" s="28" t="str">
        <f aca="false">IF(OR(T81="",U81=""),"",IF(INDEX('Referência LC 214'!$L$6:$L$967,U81)&amp;""&lt;&gt;"",INDEX('Referência LC 214'!$L$6:$L$967,U81)&amp;"",IF(SUMPRODUCT((LEFT(T81,LEN('Referência LC 214'!$N$6:$N$967))='Referência LC 214'!$N$6:$N$967)*('Referência LC 214'!$L$6:$L$967&lt;&gt;""))&gt;0,"Há outro tratamento só para alguns compradores (ex.: órgão público/SUS) — veja a referência","")))</f>
        <v/>
      </c>
      <c r="M81" s="30" t="str">
        <f aca="false">IF(T81="","",IF(AND(C81&lt;&gt;"Serviço",LEN(T81)-1&lt;&gt;8),"NCM deve ter 8 dígitos",IF(AND(C81="Serviço",LEN(T81)-1&lt;&gt;9),"NBS deve ter 9 dígitos",IF(L81&lt;&gt;"","Benefício depende do comprador: confira a coluna N",IF(G81&gt;1,"Mais de uma regra: confira o item do anexo na referência",IF(G81=0,"Sem redução na LC 214","Confira se o produto é o descrito no item"))))))</f>
        <v/>
      </c>
      <c r="N81" s="25"/>
      <c r="O81" s="23"/>
      <c r="P81" s="25"/>
      <c r="Q81" s="25"/>
      <c r="R81" s="31"/>
      <c r="S81" s="24"/>
      <c r="T81" s="4" t="str">
        <f aca="false">IF(D81="","",IF(C81="Serviço","S","P")&amp;SUBSTITUTE(SUBSTITUTE(SUBSTITUTE(D81,".",""),"-","")," ",""))</f>
        <v/>
      </c>
      <c r="U81" s="4" t="str">
        <f aca="false">IF(T81="","",IFERROR(MATCH(LEFT(T81,10),'Referência LC 214'!$N$6:$N$967,0),IFERROR(MATCH(LEFT(T81,9),'Referência LC 214'!$N$6:$N$967,0),IFERROR(MATCH(LEFT(T81,8),'Referência LC 214'!$N$6:$N$967,0),IFERROR(MATCH(LEFT(T81,7),'Referência LC 214'!$N$6:$N$967,0),IFERROR(MATCH(LEFT(T81,6),'Referência LC 214'!$N$6:$N$967,0),IFERROR(MATCH(LEFT(T81,5),'Referência LC 214'!$N$6:$N$967,0),IFERROR(MATCH(LEFT(T81,4),'Referência LC 214'!$N$6:$N$967,0),IFERROR(MATCH(LEFT(T81,3),'Referência LC 214'!$N$6:$N$967,0),"")))))))))</f>
        <v/>
      </c>
    </row>
    <row r="82" customFormat="false" ht="15" hidden="false" customHeight="false" outlineLevel="0" collapsed="false">
      <c r="A82" s="23"/>
      <c r="B82" s="24"/>
      <c r="C82" s="25"/>
      <c r="D82" s="23"/>
      <c r="E82" s="23"/>
      <c r="F82" s="25"/>
      <c r="G82" s="26" t="str">
        <f aca="false">IF(T82="","",SUMPRODUCT(--(LEFT(T82,LEN('Referência LC 214'!$N$6:$N$967))='Referência LC 214'!$N$6:$N$967)))</f>
        <v/>
      </c>
      <c r="H82" s="27" t="str">
        <f aca="false">IF(T82="","",IF(U82="","000001",INDEX('Referência LC 214'!$I$6:$I$967,U82)))</f>
        <v/>
      </c>
      <c r="I82" s="28" t="str">
        <f aca="false">IF(T82="","",IF(U82="","Sem anexo: tributação integral",INDEX('Referência LC 214'!$H$6:$H$967,U82)))</f>
        <v/>
      </c>
      <c r="J82" s="29" t="str">
        <f aca="false">IF(T82="","",IF(U82="",0,INDEX('Referência LC 214'!$K$6:$K$967,U82)))</f>
        <v/>
      </c>
      <c r="K82" s="28" t="str">
        <f aca="false">IF(OR(T82="",U82=""),"","Anexo "&amp;INDEX('Referência LC 214'!$E$6:$E$967,U82)&amp;", item "&amp;INDEX('Referência LC 214'!$F$6:$F$967,U82)&amp;": "&amp;INDEX('Referência LC 214'!$G$6:$G$967,U82))</f>
        <v/>
      </c>
      <c r="L82" s="28" t="str">
        <f aca="false">IF(OR(T82="",U82=""),"",IF(INDEX('Referência LC 214'!$L$6:$L$967,U82)&amp;""&lt;&gt;"",INDEX('Referência LC 214'!$L$6:$L$967,U82)&amp;"",IF(SUMPRODUCT((LEFT(T82,LEN('Referência LC 214'!$N$6:$N$967))='Referência LC 214'!$N$6:$N$967)*('Referência LC 214'!$L$6:$L$967&lt;&gt;""))&gt;0,"Há outro tratamento só para alguns compradores (ex.: órgão público/SUS) — veja a referência","")))</f>
        <v/>
      </c>
      <c r="M82" s="30" t="str">
        <f aca="false">IF(T82="","",IF(AND(C82&lt;&gt;"Serviço",LEN(T82)-1&lt;&gt;8),"NCM deve ter 8 dígitos",IF(AND(C82="Serviço",LEN(T82)-1&lt;&gt;9),"NBS deve ter 9 dígitos",IF(L82&lt;&gt;"","Benefício depende do comprador: confira a coluna N",IF(G82&gt;1,"Mais de uma regra: confira o item do anexo na referência",IF(G82=0,"Sem redução na LC 214","Confira se o produto é o descrito no item"))))))</f>
        <v/>
      </c>
      <c r="N82" s="25"/>
      <c r="O82" s="23"/>
      <c r="P82" s="25"/>
      <c r="Q82" s="25"/>
      <c r="R82" s="31"/>
      <c r="S82" s="24"/>
      <c r="T82" s="4" t="str">
        <f aca="false">IF(D82="","",IF(C82="Serviço","S","P")&amp;SUBSTITUTE(SUBSTITUTE(SUBSTITUTE(D82,".",""),"-","")," ",""))</f>
        <v/>
      </c>
      <c r="U82" s="4" t="str">
        <f aca="false">IF(T82="","",IFERROR(MATCH(LEFT(T82,10),'Referência LC 214'!$N$6:$N$967,0),IFERROR(MATCH(LEFT(T82,9),'Referência LC 214'!$N$6:$N$967,0),IFERROR(MATCH(LEFT(T82,8),'Referência LC 214'!$N$6:$N$967,0),IFERROR(MATCH(LEFT(T82,7),'Referência LC 214'!$N$6:$N$967,0),IFERROR(MATCH(LEFT(T82,6),'Referência LC 214'!$N$6:$N$967,0),IFERROR(MATCH(LEFT(T82,5),'Referência LC 214'!$N$6:$N$967,0),IFERROR(MATCH(LEFT(T82,4),'Referência LC 214'!$N$6:$N$967,0),IFERROR(MATCH(LEFT(T82,3),'Referência LC 214'!$N$6:$N$967,0),"")))))))))</f>
        <v/>
      </c>
    </row>
    <row r="83" customFormat="false" ht="15" hidden="false" customHeight="false" outlineLevel="0" collapsed="false">
      <c r="A83" s="23"/>
      <c r="B83" s="24"/>
      <c r="C83" s="25"/>
      <c r="D83" s="23"/>
      <c r="E83" s="23"/>
      <c r="F83" s="25"/>
      <c r="G83" s="26" t="str">
        <f aca="false">IF(T83="","",SUMPRODUCT(--(LEFT(T83,LEN('Referência LC 214'!$N$6:$N$967))='Referência LC 214'!$N$6:$N$967)))</f>
        <v/>
      </c>
      <c r="H83" s="27" t="str">
        <f aca="false">IF(T83="","",IF(U83="","000001",INDEX('Referência LC 214'!$I$6:$I$967,U83)))</f>
        <v/>
      </c>
      <c r="I83" s="28" t="str">
        <f aca="false">IF(T83="","",IF(U83="","Sem anexo: tributação integral",INDEX('Referência LC 214'!$H$6:$H$967,U83)))</f>
        <v/>
      </c>
      <c r="J83" s="29" t="str">
        <f aca="false">IF(T83="","",IF(U83="",0,INDEX('Referência LC 214'!$K$6:$K$967,U83)))</f>
        <v/>
      </c>
      <c r="K83" s="28" t="str">
        <f aca="false">IF(OR(T83="",U83=""),"","Anexo "&amp;INDEX('Referência LC 214'!$E$6:$E$967,U83)&amp;", item "&amp;INDEX('Referência LC 214'!$F$6:$F$967,U83)&amp;": "&amp;INDEX('Referência LC 214'!$G$6:$G$967,U83))</f>
        <v/>
      </c>
      <c r="L83" s="28" t="str">
        <f aca="false">IF(OR(T83="",U83=""),"",IF(INDEX('Referência LC 214'!$L$6:$L$967,U83)&amp;""&lt;&gt;"",INDEX('Referência LC 214'!$L$6:$L$967,U83)&amp;"",IF(SUMPRODUCT((LEFT(T83,LEN('Referência LC 214'!$N$6:$N$967))='Referência LC 214'!$N$6:$N$967)*('Referência LC 214'!$L$6:$L$967&lt;&gt;""))&gt;0,"Há outro tratamento só para alguns compradores (ex.: órgão público/SUS) — veja a referência","")))</f>
        <v/>
      </c>
      <c r="M83" s="30" t="str">
        <f aca="false">IF(T83="","",IF(AND(C83&lt;&gt;"Serviço",LEN(T83)-1&lt;&gt;8),"NCM deve ter 8 dígitos",IF(AND(C83="Serviço",LEN(T83)-1&lt;&gt;9),"NBS deve ter 9 dígitos",IF(L83&lt;&gt;"","Benefício depende do comprador: confira a coluna N",IF(G83&gt;1,"Mais de uma regra: confira o item do anexo na referência",IF(G83=0,"Sem redução na LC 214","Confira se o produto é o descrito no item"))))))</f>
        <v/>
      </c>
      <c r="N83" s="25"/>
      <c r="O83" s="23"/>
      <c r="P83" s="25"/>
      <c r="Q83" s="25"/>
      <c r="R83" s="31"/>
      <c r="S83" s="24"/>
      <c r="T83" s="4" t="str">
        <f aca="false">IF(D83="","",IF(C83="Serviço","S","P")&amp;SUBSTITUTE(SUBSTITUTE(SUBSTITUTE(D83,".",""),"-","")," ",""))</f>
        <v/>
      </c>
      <c r="U83" s="4" t="str">
        <f aca="false">IF(T83="","",IFERROR(MATCH(LEFT(T83,10),'Referência LC 214'!$N$6:$N$967,0),IFERROR(MATCH(LEFT(T83,9),'Referência LC 214'!$N$6:$N$967,0),IFERROR(MATCH(LEFT(T83,8),'Referência LC 214'!$N$6:$N$967,0),IFERROR(MATCH(LEFT(T83,7),'Referência LC 214'!$N$6:$N$967,0),IFERROR(MATCH(LEFT(T83,6),'Referência LC 214'!$N$6:$N$967,0),IFERROR(MATCH(LEFT(T83,5),'Referência LC 214'!$N$6:$N$967,0),IFERROR(MATCH(LEFT(T83,4),'Referência LC 214'!$N$6:$N$967,0),IFERROR(MATCH(LEFT(T83,3),'Referência LC 214'!$N$6:$N$967,0),"")))))))))</f>
        <v/>
      </c>
    </row>
    <row r="84" customFormat="false" ht="15" hidden="false" customHeight="false" outlineLevel="0" collapsed="false">
      <c r="A84" s="23"/>
      <c r="B84" s="24"/>
      <c r="C84" s="25"/>
      <c r="D84" s="23"/>
      <c r="E84" s="23"/>
      <c r="F84" s="25"/>
      <c r="G84" s="26" t="str">
        <f aca="false">IF(T84="","",SUMPRODUCT(--(LEFT(T84,LEN('Referência LC 214'!$N$6:$N$967))='Referência LC 214'!$N$6:$N$967)))</f>
        <v/>
      </c>
      <c r="H84" s="27" t="str">
        <f aca="false">IF(T84="","",IF(U84="","000001",INDEX('Referência LC 214'!$I$6:$I$967,U84)))</f>
        <v/>
      </c>
      <c r="I84" s="28" t="str">
        <f aca="false">IF(T84="","",IF(U84="","Sem anexo: tributação integral",INDEX('Referência LC 214'!$H$6:$H$967,U84)))</f>
        <v/>
      </c>
      <c r="J84" s="29" t="str">
        <f aca="false">IF(T84="","",IF(U84="",0,INDEX('Referência LC 214'!$K$6:$K$967,U84)))</f>
        <v/>
      </c>
      <c r="K84" s="28" t="str">
        <f aca="false">IF(OR(T84="",U84=""),"","Anexo "&amp;INDEX('Referência LC 214'!$E$6:$E$967,U84)&amp;", item "&amp;INDEX('Referência LC 214'!$F$6:$F$967,U84)&amp;": "&amp;INDEX('Referência LC 214'!$G$6:$G$967,U84))</f>
        <v/>
      </c>
      <c r="L84" s="28" t="str">
        <f aca="false">IF(OR(T84="",U84=""),"",IF(INDEX('Referência LC 214'!$L$6:$L$967,U84)&amp;""&lt;&gt;"",INDEX('Referência LC 214'!$L$6:$L$967,U84)&amp;"",IF(SUMPRODUCT((LEFT(T84,LEN('Referência LC 214'!$N$6:$N$967))='Referência LC 214'!$N$6:$N$967)*('Referência LC 214'!$L$6:$L$967&lt;&gt;""))&gt;0,"Há outro tratamento só para alguns compradores (ex.: órgão público/SUS) — veja a referência","")))</f>
        <v/>
      </c>
      <c r="M84" s="30" t="str">
        <f aca="false">IF(T84="","",IF(AND(C84&lt;&gt;"Serviço",LEN(T84)-1&lt;&gt;8),"NCM deve ter 8 dígitos",IF(AND(C84="Serviço",LEN(T84)-1&lt;&gt;9),"NBS deve ter 9 dígitos",IF(L84&lt;&gt;"","Benefício depende do comprador: confira a coluna N",IF(G84&gt;1,"Mais de uma regra: confira o item do anexo na referência",IF(G84=0,"Sem redução na LC 214","Confira se o produto é o descrito no item"))))))</f>
        <v/>
      </c>
      <c r="N84" s="25"/>
      <c r="O84" s="23"/>
      <c r="P84" s="25"/>
      <c r="Q84" s="25"/>
      <c r="R84" s="31"/>
      <c r="S84" s="24"/>
      <c r="T84" s="4" t="str">
        <f aca="false">IF(D84="","",IF(C84="Serviço","S","P")&amp;SUBSTITUTE(SUBSTITUTE(SUBSTITUTE(D84,".",""),"-","")," ",""))</f>
        <v/>
      </c>
      <c r="U84" s="4" t="str">
        <f aca="false">IF(T84="","",IFERROR(MATCH(LEFT(T84,10),'Referência LC 214'!$N$6:$N$967,0),IFERROR(MATCH(LEFT(T84,9),'Referência LC 214'!$N$6:$N$967,0),IFERROR(MATCH(LEFT(T84,8),'Referência LC 214'!$N$6:$N$967,0),IFERROR(MATCH(LEFT(T84,7),'Referência LC 214'!$N$6:$N$967,0),IFERROR(MATCH(LEFT(T84,6),'Referência LC 214'!$N$6:$N$967,0),IFERROR(MATCH(LEFT(T84,5),'Referência LC 214'!$N$6:$N$967,0),IFERROR(MATCH(LEFT(T84,4),'Referência LC 214'!$N$6:$N$967,0),IFERROR(MATCH(LEFT(T84,3),'Referência LC 214'!$N$6:$N$967,0),"")))))))))</f>
        <v/>
      </c>
    </row>
    <row r="85" customFormat="false" ht="15" hidden="false" customHeight="false" outlineLevel="0" collapsed="false">
      <c r="A85" s="23"/>
      <c r="B85" s="24"/>
      <c r="C85" s="25"/>
      <c r="D85" s="23"/>
      <c r="E85" s="23"/>
      <c r="F85" s="25"/>
      <c r="G85" s="26" t="str">
        <f aca="false">IF(T85="","",SUMPRODUCT(--(LEFT(T85,LEN('Referência LC 214'!$N$6:$N$967))='Referência LC 214'!$N$6:$N$967)))</f>
        <v/>
      </c>
      <c r="H85" s="27" t="str">
        <f aca="false">IF(T85="","",IF(U85="","000001",INDEX('Referência LC 214'!$I$6:$I$967,U85)))</f>
        <v/>
      </c>
      <c r="I85" s="28" t="str">
        <f aca="false">IF(T85="","",IF(U85="","Sem anexo: tributação integral",INDEX('Referência LC 214'!$H$6:$H$967,U85)))</f>
        <v/>
      </c>
      <c r="J85" s="29" t="str">
        <f aca="false">IF(T85="","",IF(U85="",0,INDEX('Referência LC 214'!$K$6:$K$967,U85)))</f>
        <v/>
      </c>
      <c r="K85" s="28" t="str">
        <f aca="false">IF(OR(T85="",U85=""),"","Anexo "&amp;INDEX('Referência LC 214'!$E$6:$E$967,U85)&amp;", item "&amp;INDEX('Referência LC 214'!$F$6:$F$967,U85)&amp;": "&amp;INDEX('Referência LC 214'!$G$6:$G$967,U85))</f>
        <v/>
      </c>
      <c r="L85" s="28" t="str">
        <f aca="false">IF(OR(T85="",U85=""),"",IF(INDEX('Referência LC 214'!$L$6:$L$967,U85)&amp;""&lt;&gt;"",INDEX('Referência LC 214'!$L$6:$L$967,U85)&amp;"",IF(SUMPRODUCT((LEFT(T85,LEN('Referência LC 214'!$N$6:$N$967))='Referência LC 214'!$N$6:$N$967)*('Referência LC 214'!$L$6:$L$967&lt;&gt;""))&gt;0,"Há outro tratamento só para alguns compradores (ex.: órgão público/SUS) — veja a referência","")))</f>
        <v/>
      </c>
      <c r="M85" s="30" t="str">
        <f aca="false">IF(T85="","",IF(AND(C85&lt;&gt;"Serviço",LEN(T85)-1&lt;&gt;8),"NCM deve ter 8 dígitos",IF(AND(C85="Serviço",LEN(T85)-1&lt;&gt;9),"NBS deve ter 9 dígitos",IF(L85&lt;&gt;"","Benefício depende do comprador: confira a coluna N",IF(G85&gt;1,"Mais de uma regra: confira o item do anexo na referência",IF(G85=0,"Sem redução na LC 214","Confira se o produto é o descrito no item"))))))</f>
        <v/>
      </c>
      <c r="N85" s="25"/>
      <c r="O85" s="23"/>
      <c r="P85" s="25"/>
      <c r="Q85" s="25"/>
      <c r="R85" s="31"/>
      <c r="S85" s="24"/>
      <c r="T85" s="4" t="str">
        <f aca="false">IF(D85="","",IF(C85="Serviço","S","P")&amp;SUBSTITUTE(SUBSTITUTE(SUBSTITUTE(D85,".",""),"-","")," ",""))</f>
        <v/>
      </c>
      <c r="U85" s="4" t="str">
        <f aca="false">IF(T85="","",IFERROR(MATCH(LEFT(T85,10),'Referência LC 214'!$N$6:$N$967,0),IFERROR(MATCH(LEFT(T85,9),'Referência LC 214'!$N$6:$N$967,0),IFERROR(MATCH(LEFT(T85,8),'Referência LC 214'!$N$6:$N$967,0),IFERROR(MATCH(LEFT(T85,7),'Referência LC 214'!$N$6:$N$967,0),IFERROR(MATCH(LEFT(T85,6),'Referência LC 214'!$N$6:$N$967,0),IFERROR(MATCH(LEFT(T85,5),'Referência LC 214'!$N$6:$N$967,0),IFERROR(MATCH(LEFT(T85,4),'Referência LC 214'!$N$6:$N$967,0),IFERROR(MATCH(LEFT(T85,3),'Referência LC 214'!$N$6:$N$967,0),"")))))))))</f>
        <v/>
      </c>
    </row>
    <row r="86" customFormat="false" ht="15" hidden="false" customHeight="false" outlineLevel="0" collapsed="false">
      <c r="A86" s="23"/>
      <c r="B86" s="24"/>
      <c r="C86" s="25"/>
      <c r="D86" s="23"/>
      <c r="E86" s="23"/>
      <c r="F86" s="25"/>
      <c r="G86" s="26" t="str">
        <f aca="false">IF(T86="","",SUMPRODUCT(--(LEFT(T86,LEN('Referência LC 214'!$N$6:$N$967))='Referência LC 214'!$N$6:$N$967)))</f>
        <v/>
      </c>
      <c r="H86" s="27" t="str">
        <f aca="false">IF(T86="","",IF(U86="","000001",INDEX('Referência LC 214'!$I$6:$I$967,U86)))</f>
        <v/>
      </c>
      <c r="I86" s="28" t="str">
        <f aca="false">IF(T86="","",IF(U86="","Sem anexo: tributação integral",INDEX('Referência LC 214'!$H$6:$H$967,U86)))</f>
        <v/>
      </c>
      <c r="J86" s="29" t="str">
        <f aca="false">IF(T86="","",IF(U86="",0,INDEX('Referência LC 214'!$K$6:$K$967,U86)))</f>
        <v/>
      </c>
      <c r="K86" s="28" t="str">
        <f aca="false">IF(OR(T86="",U86=""),"","Anexo "&amp;INDEX('Referência LC 214'!$E$6:$E$967,U86)&amp;", item "&amp;INDEX('Referência LC 214'!$F$6:$F$967,U86)&amp;": "&amp;INDEX('Referência LC 214'!$G$6:$G$967,U86))</f>
        <v/>
      </c>
      <c r="L86" s="28" t="str">
        <f aca="false">IF(OR(T86="",U86=""),"",IF(INDEX('Referência LC 214'!$L$6:$L$967,U86)&amp;""&lt;&gt;"",INDEX('Referência LC 214'!$L$6:$L$967,U86)&amp;"",IF(SUMPRODUCT((LEFT(T86,LEN('Referência LC 214'!$N$6:$N$967))='Referência LC 214'!$N$6:$N$967)*('Referência LC 214'!$L$6:$L$967&lt;&gt;""))&gt;0,"Há outro tratamento só para alguns compradores (ex.: órgão público/SUS) — veja a referência","")))</f>
        <v/>
      </c>
      <c r="M86" s="30" t="str">
        <f aca="false">IF(T86="","",IF(AND(C86&lt;&gt;"Serviço",LEN(T86)-1&lt;&gt;8),"NCM deve ter 8 dígitos",IF(AND(C86="Serviço",LEN(T86)-1&lt;&gt;9),"NBS deve ter 9 dígitos",IF(L86&lt;&gt;"","Benefício depende do comprador: confira a coluna N",IF(G86&gt;1,"Mais de uma regra: confira o item do anexo na referência",IF(G86=0,"Sem redução na LC 214","Confira se o produto é o descrito no item"))))))</f>
        <v/>
      </c>
      <c r="N86" s="25"/>
      <c r="O86" s="23"/>
      <c r="P86" s="25"/>
      <c r="Q86" s="25"/>
      <c r="R86" s="31"/>
      <c r="S86" s="24"/>
      <c r="T86" s="4" t="str">
        <f aca="false">IF(D86="","",IF(C86="Serviço","S","P")&amp;SUBSTITUTE(SUBSTITUTE(SUBSTITUTE(D86,".",""),"-","")," ",""))</f>
        <v/>
      </c>
      <c r="U86" s="4" t="str">
        <f aca="false">IF(T86="","",IFERROR(MATCH(LEFT(T86,10),'Referência LC 214'!$N$6:$N$967,0),IFERROR(MATCH(LEFT(T86,9),'Referência LC 214'!$N$6:$N$967,0),IFERROR(MATCH(LEFT(T86,8),'Referência LC 214'!$N$6:$N$967,0),IFERROR(MATCH(LEFT(T86,7),'Referência LC 214'!$N$6:$N$967,0),IFERROR(MATCH(LEFT(T86,6),'Referência LC 214'!$N$6:$N$967,0),IFERROR(MATCH(LEFT(T86,5),'Referência LC 214'!$N$6:$N$967,0),IFERROR(MATCH(LEFT(T86,4),'Referência LC 214'!$N$6:$N$967,0),IFERROR(MATCH(LEFT(T86,3),'Referência LC 214'!$N$6:$N$967,0),"")))))))))</f>
        <v/>
      </c>
    </row>
    <row r="87" customFormat="false" ht="15" hidden="false" customHeight="false" outlineLevel="0" collapsed="false">
      <c r="A87" s="23"/>
      <c r="B87" s="24"/>
      <c r="C87" s="25"/>
      <c r="D87" s="23"/>
      <c r="E87" s="23"/>
      <c r="F87" s="25"/>
      <c r="G87" s="26" t="str">
        <f aca="false">IF(T87="","",SUMPRODUCT(--(LEFT(T87,LEN('Referência LC 214'!$N$6:$N$967))='Referência LC 214'!$N$6:$N$967)))</f>
        <v/>
      </c>
      <c r="H87" s="27" t="str">
        <f aca="false">IF(T87="","",IF(U87="","000001",INDEX('Referência LC 214'!$I$6:$I$967,U87)))</f>
        <v/>
      </c>
      <c r="I87" s="28" t="str">
        <f aca="false">IF(T87="","",IF(U87="","Sem anexo: tributação integral",INDEX('Referência LC 214'!$H$6:$H$967,U87)))</f>
        <v/>
      </c>
      <c r="J87" s="29" t="str">
        <f aca="false">IF(T87="","",IF(U87="",0,INDEX('Referência LC 214'!$K$6:$K$967,U87)))</f>
        <v/>
      </c>
      <c r="K87" s="28" t="str">
        <f aca="false">IF(OR(T87="",U87=""),"","Anexo "&amp;INDEX('Referência LC 214'!$E$6:$E$967,U87)&amp;", item "&amp;INDEX('Referência LC 214'!$F$6:$F$967,U87)&amp;": "&amp;INDEX('Referência LC 214'!$G$6:$G$967,U87))</f>
        <v/>
      </c>
      <c r="L87" s="28" t="str">
        <f aca="false">IF(OR(T87="",U87=""),"",IF(INDEX('Referência LC 214'!$L$6:$L$967,U87)&amp;""&lt;&gt;"",INDEX('Referência LC 214'!$L$6:$L$967,U87)&amp;"",IF(SUMPRODUCT((LEFT(T87,LEN('Referência LC 214'!$N$6:$N$967))='Referência LC 214'!$N$6:$N$967)*('Referência LC 214'!$L$6:$L$967&lt;&gt;""))&gt;0,"Há outro tratamento só para alguns compradores (ex.: órgão público/SUS) — veja a referência","")))</f>
        <v/>
      </c>
      <c r="M87" s="30" t="str">
        <f aca="false">IF(T87="","",IF(AND(C87&lt;&gt;"Serviço",LEN(T87)-1&lt;&gt;8),"NCM deve ter 8 dígitos",IF(AND(C87="Serviço",LEN(T87)-1&lt;&gt;9),"NBS deve ter 9 dígitos",IF(L87&lt;&gt;"","Benefício depende do comprador: confira a coluna N",IF(G87&gt;1,"Mais de uma regra: confira o item do anexo na referência",IF(G87=0,"Sem redução na LC 214","Confira se o produto é o descrito no item"))))))</f>
        <v/>
      </c>
      <c r="N87" s="25"/>
      <c r="O87" s="23"/>
      <c r="P87" s="25"/>
      <c r="Q87" s="25"/>
      <c r="R87" s="31"/>
      <c r="S87" s="24"/>
      <c r="T87" s="4" t="str">
        <f aca="false">IF(D87="","",IF(C87="Serviço","S","P")&amp;SUBSTITUTE(SUBSTITUTE(SUBSTITUTE(D87,".",""),"-","")," ",""))</f>
        <v/>
      </c>
      <c r="U87" s="4" t="str">
        <f aca="false">IF(T87="","",IFERROR(MATCH(LEFT(T87,10),'Referência LC 214'!$N$6:$N$967,0),IFERROR(MATCH(LEFT(T87,9),'Referência LC 214'!$N$6:$N$967,0),IFERROR(MATCH(LEFT(T87,8),'Referência LC 214'!$N$6:$N$967,0),IFERROR(MATCH(LEFT(T87,7),'Referência LC 214'!$N$6:$N$967,0),IFERROR(MATCH(LEFT(T87,6),'Referência LC 214'!$N$6:$N$967,0),IFERROR(MATCH(LEFT(T87,5),'Referência LC 214'!$N$6:$N$967,0),IFERROR(MATCH(LEFT(T87,4),'Referência LC 214'!$N$6:$N$967,0),IFERROR(MATCH(LEFT(T87,3),'Referência LC 214'!$N$6:$N$967,0),"")))))))))</f>
        <v/>
      </c>
    </row>
    <row r="88" customFormat="false" ht="15" hidden="false" customHeight="false" outlineLevel="0" collapsed="false">
      <c r="A88" s="23"/>
      <c r="B88" s="24"/>
      <c r="C88" s="25"/>
      <c r="D88" s="23"/>
      <c r="E88" s="23"/>
      <c r="F88" s="25"/>
      <c r="G88" s="26" t="str">
        <f aca="false">IF(T88="","",SUMPRODUCT(--(LEFT(T88,LEN('Referência LC 214'!$N$6:$N$967))='Referência LC 214'!$N$6:$N$967)))</f>
        <v/>
      </c>
      <c r="H88" s="27" t="str">
        <f aca="false">IF(T88="","",IF(U88="","000001",INDEX('Referência LC 214'!$I$6:$I$967,U88)))</f>
        <v/>
      </c>
      <c r="I88" s="28" t="str">
        <f aca="false">IF(T88="","",IF(U88="","Sem anexo: tributação integral",INDEX('Referência LC 214'!$H$6:$H$967,U88)))</f>
        <v/>
      </c>
      <c r="J88" s="29" t="str">
        <f aca="false">IF(T88="","",IF(U88="",0,INDEX('Referência LC 214'!$K$6:$K$967,U88)))</f>
        <v/>
      </c>
      <c r="K88" s="28" t="str">
        <f aca="false">IF(OR(T88="",U88=""),"","Anexo "&amp;INDEX('Referência LC 214'!$E$6:$E$967,U88)&amp;", item "&amp;INDEX('Referência LC 214'!$F$6:$F$967,U88)&amp;": "&amp;INDEX('Referência LC 214'!$G$6:$G$967,U88))</f>
        <v/>
      </c>
      <c r="L88" s="28" t="str">
        <f aca="false">IF(OR(T88="",U88=""),"",IF(INDEX('Referência LC 214'!$L$6:$L$967,U88)&amp;""&lt;&gt;"",INDEX('Referência LC 214'!$L$6:$L$967,U88)&amp;"",IF(SUMPRODUCT((LEFT(T88,LEN('Referência LC 214'!$N$6:$N$967))='Referência LC 214'!$N$6:$N$967)*('Referência LC 214'!$L$6:$L$967&lt;&gt;""))&gt;0,"Há outro tratamento só para alguns compradores (ex.: órgão público/SUS) — veja a referência","")))</f>
        <v/>
      </c>
      <c r="M88" s="30" t="str">
        <f aca="false">IF(T88="","",IF(AND(C88&lt;&gt;"Serviço",LEN(T88)-1&lt;&gt;8),"NCM deve ter 8 dígitos",IF(AND(C88="Serviço",LEN(T88)-1&lt;&gt;9),"NBS deve ter 9 dígitos",IF(L88&lt;&gt;"","Benefício depende do comprador: confira a coluna N",IF(G88&gt;1,"Mais de uma regra: confira o item do anexo na referência",IF(G88=0,"Sem redução na LC 214","Confira se o produto é o descrito no item"))))))</f>
        <v/>
      </c>
      <c r="N88" s="25"/>
      <c r="O88" s="23"/>
      <c r="P88" s="25"/>
      <c r="Q88" s="25"/>
      <c r="R88" s="31"/>
      <c r="S88" s="24"/>
      <c r="T88" s="4" t="str">
        <f aca="false">IF(D88="","",IF(C88="Serviço","S","P")&amp;SUBSTITUTE(SUBSTITUTE(SUBSTITUTE(D88,".",""),"-","")," ",""))</f>
        <v/>
      </c>
      <c r="U88" s="4" t="str">
        <f aca="false">IF(T88="","",IFERROR(MATCH(LEFT(T88,10),'Referência LC 214'!$N$6:$N$967,0),IFERROR(MATCH(LEFT(T88,9),'Referência LC 214'!$N$6:$N$967,0),IFERROR(MATCH(LEFT(T88,8),'Referência LC 214'!$N$6:$N$967,0),IFERROR(MATCH(LEFT(T88,7),'Referência LC 214'!$N$6:$N$967,0),IFERROR(MATCH(LEFT(T88,6),'Referência LC 214'!$N$6:$N$967,0),IFERROR(MATCH(LEFT(T88,5),'Referência LC 214'!$N$6:$N$967,0),IFERROR(MATCH(LEFT(T88,4),'Referência LC 214'!$N$6:$N$967,0),IFERROR(MATCH(LEFT(T88,3),'Referência LC 214'!$N$6:$N$967,0),"")))))))))</f>
        <v/>
      </c>
    </row>
    <row r="89" customFormat="false" ht="15" hidden="false" customHeight="false" outlineLevel="0" collapsed="false">
      <c r="A89" s="23"/>
      <c r="B89" s="24"/>
      <c r="C89" s="25"/>
      <c r="D89" s="23"/>
      <c r="E89" s="23"/>
      <c r="F89" s="25"/>
      <c r="G89" s="26" t="str">
        <f aca="false">IF(T89="","",SUMPRODUCT(--(LEFT(T89,LEN('Referência LC 214'!$N$6:$N$967))='Referência LC 214'!$N$6:$N$967)))</f>
        <v/>
      </c>
      <c r="H89" s="27" t="str">
        <f aca="false">IF(T89="","",IF(U89="","000001",INDEX('Referência LC 214'!$I$6:$I$967,U89)))</f>
        <v/>
      </c>
      <c r="I89" s="28" t="str">
        <f aca="false">IF(T89="","",IF(U89="","Sem anexo: tributação integral",INDEX('Referência LC 214'!$H$6:$H$967,U89)))</f>
        <v/>
      </c>
      <c r="J89" s="29" t="str">
        <f aca="false">IF(T89="","",IF(U89="",0,INDEX('Referência LC 214'!$K$6:$K$967,U89)))</f>
        <v/>
      </c>
      <c r="K89" s="28" t="str">
        <f aca="false">IF(OR(T89="",U89=""),"","Anexo "&amp;INDEX('Referência LC 214'!$E$6:$E$967,U89)&amp;", item "&amp;INDEX('Referência LC 214'!$F$6:$F$967,U89)&amp;": "&amp;INDEX('Referência LC 214'!$G$6:$G$967,U89))</f>
        <v/>
      </c>
      <c r="L89" s="28" t="str">
        <f aca="false">IF(OR(T89="",U89=""),"",IF(INDEX('Referência LC 214'!$L$6:$L$967,U89)&amp;""&lt;&gt;"",INDEX('Referência LC 214'!$L$6:$L$967,U89)&amp;"",IF(SUMPRODUCT((LEFT(T89,LEN('Referência LC 214'!$N$6:$N$967))='Referência LC 214'!$N$6:$N$967)*('Referência LC 214'!$L$6:$L$967&lt;&gt;""))&gt;0,"Há outro tratamento só para alguns compradores (ex.: órgão público/SUS) — veja a referência","")))</f>
        <v/>
      </c>
      <c r="M89" s="30" t="str">
        <f aca="false">IF(T89="","",IF(AND(C89&lt;&gt;"Serviço",LEN(T89)-1&lt;&gt;8),"NCM deve ter 8 dígitos",IF(AND(C89="Serviço",LEN(T89)-1&lt;&gt;9),"NBS deve ter 9 dígitos",IF(L89&lt;&gt;"","Benefício depende do comprador: confira a coluna N",IF(G89&gt;1,"Mais de uma regra: confira o item do anexo na referência",IF(G89=0,"Sem redução na LC 214","Confira se o produto é o descrito no item"))))))</f>
        <v/>
      </c>
      <c r="N89" s="25"/>
      <c r="O89" s="23"/>
      <c r="P89" s="25"/>
      <c r="Q89" s="25"/>
      <c r="R89" s="31"/>
      <c r="S89" s="24"/>
      <c r="T89" s="4" t="str">
        <f aca="false">IF(D89="","",IF(C89="Serviço","S","P")&amp;SUBSTITUTE(SUBSTITUTE(SUBSTITUTE(D89,".",""),"-","")," ",""))</f>
        <v/>
      </c>
      <c r="U89" s="4" t="str">
        <f aca="false">IF(T89="","",IFERROR(MATCH(LEFT(T89,10),'Referência LC 214'!$N$6:$N$967,0),IFERROR(MATCH(LEFT(T89,9),'Referência LC 214'!$N$6:$N$967,0),IFERROR(MATCH(LEFT(T89,8),'Referência LC 214'!$N$6:$N$967,0),IFERROR(MATCH(LEFT(T89,7),'Referência LC 214'!$N$6:$N$967,0),IFERROR(MATCH(LEFT(T89,6),'Referência LC 214'!$N$6:$N$967,0),IFERROR(MATCH(LEFT(T89,5),'Referência LC 214'!$N$6:$N$967,0),IFERROR(MATCH(LEFT(T89,4),'Referência LC 214'!$N$6:$N$967,0),IFERROR(MATCH(LEFT(T89,3),'Referência LC 214'!$N$6:$N$967,0),"")))))))))</f>
        <v/>
      </c>
    </row>
    <row r="90" customFormat="false" ht="15" hidden="false" customHeight="false" outlineLevel="0" collapsed="false">
      <c r="A90" s="23"/>
      <c r="B90" s="24"/>
      <c r="C90" s="25"/>
      <c r="D90" s="23"/>
      <c r="E90" s="23"/>
      <c r="F90" s="25"/>
      <c r="G90" s="26" t="str">
        <f aca="false">IF(T90="","",SUMPRODUCT(--(LEFT(T90,LEN('Referência LC 214'!$N$6:$N$967))='Referência LC 214'!$N$6:$N$967)))</f>
        <v/>
      </c>
      <c r="H90" s="27" t="str">
        <f aca="false">IF(T90="","",IF(U90="","000001",INDEX('Referência LC 214'!$I$6:$I$967,U90)))</f>
        <v/>
      </c>
      <c r="I90" s="28" t="str">
        <f aca="false">IF(T90="","",IF(U90="","Sem anexo: tributação integral",INDEX('Referência LC 214'!$H$6:$H$967,U90)))</f>
        <v/>
      </c>
      <c r="J90" s="29" t="str">
        <f aca="false">IF(T90="","",IF(U90="",0,INDEX('Referência LC 214'!$K$6:$K$967,U90)))</f>
        <v/>
      </c>
      <c r="K90" s="28" t="str">
        <f aca="false">IF(OR(T90="",U90=""),"","Anexo "&amp;INDEX('Referência LC 214'!$E$6:$E$967,U90)&amp;", item "&amp;INDEX('Referência LC 214'!$F$6:$F$967,U90)&amp;": "&amp;INDEX('Referência LC 214'!$G$6:$G$967,U90))</f>
        <v/>
      </c>
      <c r="L90" s="28" t="str">
        <f aca="false">IF(OR(T90="",U90=""),"",IF(INDEX('Referência LC 214'!$L$6:$L$967,U90)&amp;""&lt;&gt;"",INDEX('Referência LC 214'!$L$6:$L$967,U90)&amp;"",IF(SUMPRODUCT((LEFT(T90,LEN('Referência LC 214'!$N$6:$N$967))='Referência LC 214'!$N$6:$N$967)*('Referência LC 214'!$L$6:$L$967&lt;&gt;""))&gt;0,"Há outro tratamento só para alguns compradores (ex.: órgão público/SUS) — veja a referência","")))</f>
        <v/>
      </c>
      <c r="M90" s="30" t="str">
        <f aca="false">IF(T90="","",IF(AND(C90&lt;&gt;"Serviço",LEN(T90)-1&lt;&gt;8),"NCM deve ter 8 dígitos",IF(AND(C90="Serviço",LEN(T90)-1&lt;&gt;9),"NBS deve ter 9 dígitos",IF(L90&lt;&gt;"","Benefício depende do comprador: confira a coluna N",IF(G90&gt;1,"Mais de uma regra: confira o item do anexo na referência",IF(G90=0,"Sem redução na LC 214","Confira se o produto é o descrito no item"))))))</f>
        <v/>
      </c>
      <c r="N90" s="25"/>
      <c r="O90" s="23"/>
      <c r="P90" s="25"/>
      <c r="Q90" s="25"/>
      <c r="R90" s="31"/>
      <c r="S90" s="24"/>
      <c r="T90" s="4" t="str">
        <f aca="false">IF(D90="","",IF(C90="Serviço","S","P")&amp;SUBSTITUTE(SUBSTITUTE(SUBSTITUTE(D90,".",""),"-","")," ",""))</f>
        <v/>
      </c>
      <c r="U90" s="4" t="str">
        <f aca="false">IF(T90="","",IFERROR(MATCH(LEFT(T90,10),'Referência LC 214'!$N$6:$N$967,0),IFERROR(MATCH(LEFT(T90,9),'Referência LC 214'!$N$6:$N$967,0),IFERROR(MATCH(LEFT(T90,8),'Referência LC 214'!$N$6:$N$967,0),IFERROR(MATCH(LEFT(T90,7),'Referência LC 214'!$N$6:$N$967,0),IFERROR(MATCH(LEFT(T90,6),'Referência LC 214'!$N$6:$N$967,0),IFERROR(MATCH(LEFT(T90,5),'Referência LC 214'!$N$6:$N$967,0),IFERROR(MATCH(LEFT(T90,4),'Referência LC 214'!$N$6:$N$967,0),IFERROR(MATCH(LEFT(T90,3),'Referência LC 214'!$N$6:$N$967,0),"")))))))))</f>
        <v/>
      </c>
    </row>
    <row r="91" customFormat="false" ht="15" hidden="false" customHeight="false" outlineLevel="0" collapsed="false">
      <c r="A91" s="23"/>
      <c r="B91" s="24"/>
      <c r="C91" s="25"/>
      <c r="D91" s="23"/>
      <c r="E91" s="23"/>
      <c r="F91" s="25"/>
      <c r="G91" s="26" t="str">
        <f aca="false">IF(T91="","",SUMPRODUCT(--(LEFT(T91,LEN('Referência LC 214'!$N$6:$N$967))='Referência LC 214'!$N$6:$N$967)))</f>
        <v/>
      </c>
      <c r="H91" s="27" t="str">
        <f aca="false">IF(T91="","",IF(U91="","000001",INDEX('Referência LC 214'!$I$6:$I$967,U91)))</f>
        <v/>
      </c>
      <c r="I91" s="28" t="str">
        <f aca="false">IF(T91="","",IF(U91="","Sem anexo: tributação integral",INDEX('Referência LC 214'!$H$6:$H$967,U91)))</f>
        <v/>
      </c>
      <c r="J91" s="29" t="str">
        <f aca="false">IF(T91="","",IF(U91="",0,INDEX('Referência LC 214'!$K$6:$K$967,U91)))</f>
        <v/>
      </c>
      <c r="K91" s="28" t="str">
        <f aca="false">IF(OR(T91="",U91=""),"","Anexo "&amp;INDEX('Referência LC 214'!$E$6:$E$967,U91)&amp;", item "&amp;INDEX('Referência LC 214'!$F$6:$F$967,U91)&amp;": "&amp;INDEX('Referência LC 214'!$G$6:$G$967,U91))</f>
        <v/>
      </c>
      <c r="L91" s="28" t="str">
        <f aca="false">IF(OR(T91="",U91=""),"",IF(INDEX('Referência LC 214'!$L$6:$L$967,U91)&amp;""&lt;&gt;"",INDEX('Referência LC 214'!$L$6:$L$967,U91)&amp;"",IF(SUMPRODUCT((LEFT(T91,LEN('Referência LC 214'!$N$6:$N$967))='Referência LC 214'!$N$6:$N$967)*('Referência LC 214'!$L$6:$L$967&lt;&gt;""))&gt;0,"Há outro tratamento só para alguns compradores (ex.: órgão público/SUS) — veja a referência","")))</f>
        <v/>
      </c>
      <c r="M91" s="30" t="str">
        <f aca="false">IF(T91="","",IF(AND(C91&lt;&gt;"Serviço",LEN(T91)-1&lt;&gt;8),"NCM deve ter 8 dígitos",IF(AND(C91="Serviço",LEN(T91)-1&lt;&gt;9),"NBS deve ter 9 dígitos",IF(L91&lt;&gt;"","Benefício depende do comprador: confira a coluna N",IF(G91&gt;1,"Mais de uma regra: confira o item do anexo na referência",IF(G91=0,"Sem redução na LC 214","Confira se o produto é o descrito no item"))))))</f>
        <v/>
      </c>
      <c r="N91" s="25"/>
      <c r="O91" s="23"/>
      <c r="P91" s="25"/>
      <c r="Q91" s="25"/>
      <c r="R91" s="31"/>
      <c r="S91" s="24"/>
      <c r="T91" s="4" t="str">
        <f aca="false">IF(D91="","",IF(C91="Serviço","S","P")&amp;SUBSTITUTE(SUBSTITUTE(SUBSTITUTE(D91,".",""),"-","")," ",""))</f>
        <v/>
      </c>
      <c r="U91" s="4" t="str">
        <f aca="false">IF(T91="","",IFERROR(MATCH(LEFT(T91,10),'Referência LC 214'!$N$6:$N$967,0),IFERROR(MATCH(LEFT(T91,9),'Referência LC 214'!$N$6:$N$967,0),IFERROR(MATCH(LEFT(T91,8),'Referência LC 214'!$N$6:$N$967,0),IFERROR(MATCH(LEFT(T91,7),'Referência LC 214'!$N$6:$N$967,0),IFERROR(MATCH(LEFT(T91,6),'Referência LC 214'!$N$6:$N$967,0),IFERROR(MATCH(LEFT(T91,5),'Referência LC 214'!$N$6:$N$967,0),IFERROR(MATCH(LEFT(T91,4),'Referência LC 214'!$N$6:$N$967,0),IFERROR(MATCH(LEFT(T91,3),'Referência LC 214'!$N$6:$N$967,0),"")))))))))</f>
        <v/>
      </c>
    </row>
    <row r="92" customFormat="false" ht="15" hidden="false" customHeight="false" outlineLevel="0" collapsed="false">
      <c r="A92" s="23"/>
      <c r="B92" s="24"/>
      <c r="C92" s="25"/>
      <c r="D92" s="23"/>
      <c r="E92" s="23"/>
      <c r="F92" s="25"/>
      <c r="G92" s="26" t="str">
        <f aca="false">IF(T92="","",SUMPRODUCT(--(LEFT(T92,LEN('Referência LC 214'!$N$6:$N$967))='Referência LC 214'!$N$6:$N$967)))</f>
        <v/>
      </c>
      <c r="H92" s="27" t="str">
        <f aca="false">IF(T92="","",IF(U92="","000001",INDEX('Referência LC 214'!$I$6:$I$967,U92)))</f>
        <v/>
      </c>
      <c r="I92" s="28" t="str">
        <f aca="false">IF(T92="","",IF(U92="","Sem anexo: tributação integral",INDEX('Referência LC 214'!$H$6:$H$967,U92)))</f>
        <v/>
      </c>
      <c r="J92" s="29" t="str">
        <f aca="false">IF(T92="","",IF(U92="",0,INDEX('Referência LC 214'!$K$6:$K$967,U92)))</f>
        <v/>
      </c>
      <c r="K92" s="28" t="str">
        <f aca="false">IF(OR(T92="",U92=""),"","Anexo "&amp;INDEX('Referência LC 214'!$E$6:$E$967,U92)&amp;", item "&amp;INDEX('Referência LC 214'!$F$6:$F$967,U92)&amp;": "&amp;INDEX('Referência LC 214'!$G$6:$G$967,U92))</f>
        <v/>
      </c>
      <c r="L92" s="28" t="str">
        <f aca="false">IF(OR(T92="",U92=""),"",IF(INDEX('Referência LC 214'!$L$6:$L$967,U92)&amp;""&lt;&gt;"",INDEX('Referência LC 214'!$L$6:$L$967,U92)&amp;"",IF(SUMPRODUCT((LEFT(T92,LEN('Referência LC 214'!$N$6:$N$967))='Referência LC 214'!$N$6:$N$967)*('Referência LC 214'!$L$6:$L$967&lt;&gt;""))&gt;0,"Há outro tratamento só para alguns compradores (ex.: órgão público/SUS) — veja a referência","")))</f>
        <v/>
      </c>
      <c r="M92" s="30" t="str">
        <f aca="false">IF(T92="","",IF(AND(C92&lt;&gt;"Serviço",LEN(T92)-1&lt;&gt;8),"NCM deve ter 8 dígitos",IF(AND(C92="Serviço",LEN(T92)-1&lt;&gt;9),"NBS deve ter 9 dígitos",IF(L92&lt;&gt;"","Benefício depende do comprador: confira a coluna N",IF(G92&gt;1,"Mais de uma regra: confira o item do anexo na referência",IF(G92=0,"Sem redução na LC 214","Confira se o produto é o descrito no item"))))))</f>
        <v/>
      </c>
      <c r="N92" s="25"/>
      <c r="O92" s="23"/>
      <c r="P92" s="25"/>
      <c r="Q92" s="25"/>
      <c r="R92" s="31"/>
      <c r="S92" s="24"/>
      <c r="T92" s="4" t="str">
        <f aca="false">IF(D92="","",IF(C92="Serviço","S","P")&amp;SUBSTITUTE(SUBSTITUTE(SUBSTITUTE(D92,".",""),"-","")," ",""))</f>
        <v/>
      </c>
      <c r="U92" s="4" t="str">
        <f aca="false">IF(T92="","",IFERROR(MATCH(LEFT(T92,10),'Referência LC 214'!$N$6:$N$967,0),IFERROR(MATCH(LEFT(T92,9),'Referência LC 214'!$N$6:$N$967,0),IFERROR(MATCH(LEFT(T92,8),'Referência LC 214'!$N$6:$N$967,0),IFERROR(MATCH(LEFT(T92,7),'Referência LC 214'!$N$6:$N$967,0),IFERROR(MATCH(LEFT(T92,6),'Referência LC 214'!$N$6:$N$967,0),IFERROR(MATCH(LEFT(T92,5),'Referência LC 214'!$N$6:$N$967,0),IFERROR(MATCH(LEFT(T92,4),'Referência LC 214'!$N$6:$N$967,0),IFERROR(MATCH(LEFT(T92,3),'Referência LC 214'!$N$6:$N$967,0),"")))))))))</f>
        <v/>
      </c>
    </row>
    <row r="93" customFormat="false" ht="15" hidden="false" customHeight="false" outlineLevel="0" collapsed="false">
      <c r="A93" s="23"/>
      <c r="B93" s="24"/>
      <c r="C93" s="25"/>
      <c r="D93" s="23"/>
      <c r="E93" s="23"/>
      <c r="F93" s="25"/>
      <c r="G93" s="26" t="str">
        <f aca="false">IF(T93="","",SUMPRODUCT(--(LEFT(T93,LEN('Referência LC 214'!$N$6:$N$967))='Referência LC 214'!$N$6:$N$967)))</f>
        <v/>
      </c>
      <c r="H93" s="27" t="str">
        <f aca="false">IF(T93="","",IF(U93="","000001",INDEX('Referência LC 214'!$I$6:$I$967,U93)))</f>
        <v/>
      </c>
      <c r="I93" s="28" t="str">
        <f aca="false">IF(T93="","",IF(U93="","Sem anexo: tributação integral",INDEX('Referência LC 214'!$H$6:$H$967,U93)))</f>
        <v/>
      </c>
      <c r="J93" s="29" t="str">
        <f aca="false">IF(T93="","",IF(U93="",0,INDEX('Referência LC 214'!$K$6:$K$967,U93)))</f>
        <v/>
      </c>
      <c r="K93" s="28" t="str">
        <f aca="false">IF(OR(T93="",U93=""),"","Anexo "&amp;INDEX('Referência LC 214'!$E$6:$E$967,U93)&amp;", item "&amp;INDEX('Referência LC 214'!$F$6:$F$967,U93)&amp;": "&amp;INDEX('Referência LC 214'!$G$6:$G$967,U93))</f>
        <v/>
      </c>
      <c r="L93" s="28" t="str">
        <f aca="false">IF(OR(T93="",U93=""),"",IF(INDEX('Referência LC 214'!$L$6:$L$967,U93)&amp;""&lt;&gt;"",INDEX('Referência LC 214'!$L$6:$L$967,U93)&amp;"",IF(SUMPRODUCT((LEFT(T93,LEN('Referência LC 214'!$N$6:$N$967))='Referência LC 214'!$N$6:$N$967)*('Referência LC 214'!$L$6:$L$967&lt;&gt;""))&gt;0,"Há outro tratamento só para alguns compradores (ex.: órgão público/SUS) — veja a referência","")))</f>
        <v/>
      </c>
      <c r="M93" s="30" t="str">
        <f aca="false">IF(T93="","",IF(AND(C93&lt;&gt;"Serviço",LEN(T93)-1&lt;&gt;8),"NCM deve ter 8 dígitos",IF(AND(C93="Serviço",LEN(T93)-1&lt;&gt;9),"NBS deve ter 9 dígitos",IF(L93&lt;&gt;"","Benefício depende do comprador: confira a coluna N",IF(G93&gt;1,"Mais de uma regra: confira o item do anexo na referência",IF(G93=0,"Sem redução na LC 214","Confira se o produto é o descrito no item"))))))</f>
        <v/>
      </c>
      <c r="N93" s="25"/>
      <c r="O93" s="23"/>
      <c r="P93" s="25"/>
      <c r="Q93" s="25"/>
      <c r="R93" s="31"/>
      <c r="S93" s="24"/>
      <c r="T93" s="4" t="str">
        <f aca="false">IF(D93="","",IF(C93="Serviço","S","P")&amp;SUBSTITUTE(SUBSTITUTE(SUBSTITUTE(D93,".",""),"-","")," ",""))</f>
        <v/>
      </c>
      <c r="U93" s="4" t="str">
        <f aca="false">IF(T93="","",IFERROR(MATCH(LEFT(T93,10),'Referência LC 214'!$N$6:$N$967,0),IFERROR(MATCH(LEFT(T93,9),'Referência LC 214'!$N$6:$N$967,0),IFERROR(MATCH(LEFT(T93,8),'Referência LC 214'!$N$6:$N$967,0),IFERROR(MATCH(LEFT(T93,7),'Referência LC 214'!$N$6:$N$967,0),IFERROR(MATCH(LEFT(T93,6),'Referência LC 214'!$N$6:$N$967,0),IFERROR(MATCH(LEFT(T93,5),'Referência LC 214'!$N$6:$N$967,0),IFERROR(MATCH(LEFT(T93,4),'Referência LC 214'!$N$6:$N$967,0),IFERROR(MATCH(LEFT(T93,3),'Referência LC 214'!$N$6:$N$967,0),"")))))))))</f>
        <v/>
      </c>
    </row>
    <row r="94" customFormat="false" ht="15" hidden="false" customHeight="false" outlineLevel="0" collapsed="false">
      <c r="A94" s="23"/>
      <c r="B94" s="24"/>
      <c r="C94" s="25"/>
      <c r="D94" s="23"/>
      <c r="E94" s="23"/>
      <c r="F94" s="25"/>
      <c r="G94" s="26" t="str">
        <f aca="false">IF(T94="","",SUMPRODUCT(--(LEFT(T94,LEN('Referência LC 214'!$N$6:$N$967))='Referência LC 214'!$N$6:$N$967)))</f>
        <v/>
      </c>
      <c r="H94" s="27" t="str">
        <f aca="false">IF(T94="","",IF(U94="","000001",INDEX('Referência LC 214'!$I$6:$I$967,U94)))</f>
        <v/>
      </c>
      <c r="I94" s="28" t="str">
        <f aca="false">IF(T94="","",IF(U94="","Sem anexo: tributação integral",INDEX('Referência LC 214'!$H$6:$H$967,U94)))</f>
        <v/>
      </c>
      <c r="J94" s="29" t="str">
        <f aca="false">IF(T94="","",IF(U94="",0,INDEX('Referência LC 214'!$K$6:$K$967,U94)))</f>
        <v/>
      </c>
      <c r="K94" s="28" t="str">
        <f aca="false">IF(OR(T94="",U94=""),"","Anexo "&amp;INDEX('Referência LC 214'!$E$6:$E$967,U94)&amp;", item "&amp;INDEX('Referência LC 214'!$F$6:$F$967,U94)&amp;": "&amp;INDEX('Referência LC 214'!$G$6:$G$967,U94))</f>
        <v/>
      </c>
      <c r="L94" s="28" t="str">
        <f aca="false">IF(OR(T94="",U94=""),"",IF(INDEX('Referência LC 214'!$L$6:$L$967,U94)&amp;""&lt;&gt;"",INDEX('Referência LC 214'!$L$6:$L$967,U94)&amp;"",IF(SUMPRODUCT((LEFT(T94,LEN('Referência LC 214'!$N$6:$N$967))='Referência LC 214'!$N$6:$N$967)*('Referência LC 214'!$L$6:$L$967&lt;&gt;""))&gt;0,"Há outro tratamento só para alguns compradores (ex.: órgão público/SUS) — veja a referência","")))</f>
        <v/>
      </c>
      <c r="M94" s="30" t="str">
        <f aca="false">IF(T94="","",IF(AND(C94&lt;&gt;"Serviço",LEN(T94)-1&lt;&gt;8),"NCM deve ter 8 dígitos",IF(AND(C94="Serviço",LEN(T94)-1&lt;&gt;9),"NBS deve ter 9 dígitos",IF(L94&lt;&gt;"","Benefício depende do comprador: confira a coluna N",IF(G94&gt;1,"Mais de uma regra: confira o item do anexo na referência",IF(G94=0,"Sem redução na LC 214","Confira se o produto é o descrito no item"))))))</f>
        <v/>
      </c>
      <c r="N94" s="25"/>
      <c r="O94" s="23"/>
      <c r="P94" s="25"/>
      <c r="Q94" s="25"/>
      <c r="R94" s="31"/>
      <c r="S94" s="24"/>
      <c r="T94" s="4" t="str">
        <f aca="false">IF(D94="","",IF(C94="Serviço","S","P")&amp;SUBSTITUTE(SUBSTITUTE(SUBSTITUTE(D94,".",""),"-","")," ",""))</f>
        <v/>
      </c>
      <c r="U94" s="4" t="str">
        <f aca="false">IF(T94="","",IFERROR(MATCH(LEFT(T94,10),'Referência LC 214'!$N$6:$N$967,0),IFERROR(MATCH(LEFT(T94,9),'Referência LC 214'!$N$6:$N$967,0),IFERROR(MATCH(LEFT(T94,8),'Referência LC 214'!$N$6:$N$967,0),IFERROR(MATCH(LEFT(T94,7),'Referência LC 214'!$N$6:$N$967,0),IFERROR(MATCH(LEFT(T94,6),'Referência LC 214'!$N$6:$N$967,0),IFERROR(MATCH(LEFT(T94,5),'Referência LC 214'!$N$6:$N$967,0),IFERROR(MATCH(LEFT(T94,4),'Referência LC 214'!$N$6:$N$967,0),IFERROR(MATCH(LEFT(T94,3),'Referência LC 214'!$N$6:$N$967,0),"")))))))))</f>
        <v/>
      </c>
    </row>
    <row r="95" customFormat="false" ht="15" hidden="false" customHeight="false" outlineLevel="0" collapsed="false">
      <c r="A95" s="23"/>
      <c r="B95" s="24"/>
      <c r="C95" s="25"/>
      <c r="D95" s="23"/>
      <c r="E95" s="23"/>
      <c r="F95" s="25"/>
      <c r="G95" s="26" t="str">
        <f aca="false">IF(T95="","",SUMPRODUCT(--(LEFT(T95,LEN('Referência LC 214'!$N$6:$N$967))='Referência LC 214'!$N$6:$N$967)))</f>
        <v/>
      </c>
      <c r="H95" s="27" t="str">
        <f aca="false">IF(T95="","",IF(U95="","000001",INDEX('Referência LC 214'!$I$6:$I$967,U95)))</f>
        <v/>
      </c>
      <c r="I95" s="28" t="str">
        <f aca="false">IF(T95="","",IF(U95="","Sem anexo: tributação integral",INDEX('Referência LC 214'!$H$6:$H$967,U95)))</f>
        <v/>
      </c>
      <c r="J95" s="29" t="str">
        <f aca="false">IF(T95="","",IF(U95="",0,INDEX('Referência LC 214'!$K$6:$K$967,U95)))</f>
        <v/>
      </c>
      <c r="K95" s="28" t="str">
        <f aca="false">IF(OR(T95="",U95=""),"","Anexo "&amp;INDEX('Referência LC 214'!$E$6:$E$967,U95)&amp;", item "&amp;INDEX('Referência LC 214'!$F$6:$F$967,U95)&amp;": "&amp;INDEX('Referência LC 214'!$G$6:$G$967,U95))</f>
        <v/>
      </c>
      <c r="L95" s="28" t="str">
        <f aca="false">IF(OR(T95="",U95=""),"",IF(INDEX('Referência LC 214'!$L$6:$L$967,U95)&amp;""&lt;&gt;"",INDEX('Referência LC 214'!$L$6:$L$967,U95)&amp;"",IF(SUMPRODUCT((LEFT(T95,LEN('Referência LC 214'!$N$6:$N$967))='Referência LC 214'!$N$6:$N$967)*('Referência LC 214'!$L$6:$L$967&lt;&gt;""))&gt;0,"Há outro tratamento só para alguns compradores (ex.: órgão público/SUS) — veja a referência","")))</f>
        <v/>
      </c>
      <c r="M95" s="30" t="str">
        <f aca="false">IF(T95="","",IF(AND(C95&lt;&gt;"Serviço",LEN(T95)-1&lt;&gt;8),"NCM deve ter 8 dígitos",IF(AND(C95="Serviço",LEN(T95)-1&lt;&gt;9),"NBS deve ter 9 dígitos",IF(L95&lt;&gt;"","Benefício depende do comprador: confira a coluna N",IF(G95&gt;1,"Mais de uma regra: confira o item do anexo na referência",IF(G95=0,"Sem redução na LC 214","Confira se o produto é o descrito no item"))))))</f>
        <v/>
      </c>
      <c r="N95" s="25"/>
      <c r="O95" s="23"/>
      <c r="P95" s="25"/>
      <c r="Q95" s="25"/>
      <c r="R95" s="31"/>
      <c r="S95" s="24"/>
      <c r="T95" s="4" t="str">
        <f aca="false">IF(D95="","",IF(C95="Serviço","S","P")&amp;SUBSTITUTE(SUBSTITUTE(SUBSTITUTE(D95,".",""),"-","")," ",""))</f>
        <v/>
      </c>
      <c r="U95" s="4" t="str">
        <f aca="false">IF(T95="","",IFERROR(MATCH(LEFT(T95,10),'Referência LC 214'!$N$6:$N$967,0),IFERROR(MATCH(LEFT(T95,9),'Referência LC 214'!$N$6:$N$967,0),IFERROR(MATCH(LEFT(T95,8),'Referência LC 214'!$N$6:$N$967,0),IFERROR(MATCH(LEFT(T95,7),'Referência LC 214'!$N$6:$N$967,0),IFERROR(MATCH(LEFT(T95,6),'Referência LC 214'!$N$6:$N$967,0),IFERROR(MATCH(LEFT(T95,5),'Referência LC 214'!$N$6:$N$967,0),IFERROR(MATCH(LEFT(T95,4),'Referência LC 214'!$N$6:$N$967,0),IFERROR(MATCH(LEFT(T95,3),'Referência LC 214'!$N$6:$N$967,0),"")))))))))</f>
        <v/>
      </c>
    </row>
    <row r="96" customFormat="false" ht="15" hidden="false" customHeight="false" outlineLevel="0" collapsed="false">
      <c r="A96" s="23"/>
      <c r="B96" s="24"/>
      <c r="C96" s="25"/>
      <c r="D96" s="23"/>
      <c r="E96" s="23"/>
      <c r="F96" s="25"/>
      <c r="G96" s="26" t="str">
        <f aca="false">IF(T96="","",SUMPRODUCT(--(LEFT(T96,LEN('Referência LC 214'!$N$6:$N$967))='Referência LC 214'!$N$6:$N$967)))</f>
        <v/>
      </c>
      <c r="H96" s="27" t="str">
        <f aca="false">IF(T96="","",IF(U96="","000001",INDEX('Referência LC 214'!$I$6:$I$967,U96)))</f>
        <v/>
      </c>
      <c r="I96" s="28" t="str">
        <f aca="false">IF(T96="","",IF(U96="","Sem anexo: tributação integral",INDEX('Referência LC 214'!$H$6:$H$967,U96)))</f>
        <v/>
      </c>
      <c r="J96" s="29" t="str">
        <f aca="false">IF(T96="","",IF(U96="",0,INDEX('Referência LC 214'!$K$6:$K$967,U96)))</f>
        <v/>
      </c>
      <c r="K96" s="28" t="str">
        <f aca="false">IF(OR(T96="",U96=""),"","Anexo "&amp;INDEX('Referência LC 214'!$E$6:$E$967,U96)&amp;", item "&amp;INDEX('Referência LC 214'!$F$6:$F$967,U96)&amp;": "&amp;INDEX('Referência LC 214'!$G$6:$G$967,U96))</f>
        <v/>
      </c>
      <c r="L96" s="28" t="str">
        <f aca="false">IF(OR(T96="",U96=""),"",IF(INDEX('Referência LC 214'!$L$6:$L$967,U96)&amp;""&lt;&gt;"",INDEX('Referência LC 214'!$L$6:$L$967,U96)&amp;"",IF(SUMPRODUCT((LEFT(T96,LEN('Referência LC 214'!$N$6:$N$967))='Referência LC 214'!$N$6:$N$967)*('Referência LC 214'!$L$6:$L$967&lt;&gt;""))&gt;0,"Há outro tratamento só para alguns compradores (ex.: órgão público/SUS) — veja a referência","")))</f>
        <v/>
      </c>
      <c r="M96" s="30" t="str">
        <f aca="false">IF(T96="","",IF(AND(C96&lt;&gt;"Serviço",LEN(T96)-1&lt;&gt;8),"NCM deve ter 8 dígitos",IF(AND(C96="Serviço",LEN(T96)-1&lt;&gt;9),"NBS deve ter 9 dígitos",IF(L96&lt;&gt;"","Benefício depende do comprador: confira a coluna N",IF(G96&gt;1,"Mais de uma regra: confira o item do anexo na referência",IF(G96=0,"Sem redução na LC 214","Confira se o produto é o descrito no item"))))))</f>
        <v/>
      </c>
      <c r="N96" s="25"/>
      <c r="O96" s="23"/>
      <c r="P96" s="25"/>
      <c r="Q96" s="25"/>
      <c r="R96" s="31"/>
      <c r="S96" s="24"/>
      <c r="T96" s="4" t="str">
        <f aca="false">IF(D96="","",IF(C96="Serviço","S","P")&amp;SUBSTITUTE(SUBSTITUTE(SUBSTITUTE(D96,".",""),"-","")," ",""))</f>
        <v/>
      </c>
      <c r="U96" s="4" t="str">
        <f aca="false">IF(T96="","",IFERROR(MATCH(LEFT(T96,10),'Referência LC 214'!$N$6:$N$967,0),IFERROR(MATCH(LEFT(T96,9),'Referência LC 214'!$N$6:$N$967,0),IFERROR(MATCH(LEFT(T96,8),'Referência LC 214'!$N$6:$N$967,0),IFERROR(MATCH(LEFT(T96,7),'Referência LC 214'!$N$6:$N$967,0),IFERROR(MATCH(LEFT(T96,6),'Referência LC 214'!$N$6:$N$967,0),IFERROR(MATCH(LEFT(T96,5),'Referência LC 214'!$N$6:$N$967,0),IFERROR(MATCH(LEFT(T96,4),'Referência LC 214'!$N$6:$N$967,0),IFERROR(MATCH(LEFT(T96,3),'Referência LC 214'!$N$6:$N$967,0),"")))))))))</f>
        <v/>
      </c>
    </row>
    <row r="97" customFormat="false" ht="15" hidden="false" customHeight="false" outlineLevel="0" collapsed="false">
      <c r="A97" s="23"/>
      <c r="B97" s="24"/>
      <c r="C97" s="25"/>
      <c r="D97" s="23"/>
      <c r="E97" s="23"/>
      <c r="F97" s="25"/>
      <c r="G97" s="26" t="str">
        <f aca="false">IF(T97="","",SUMPRODUCT(--(LEFT(T97,LEN('Referência LC 214'!$N$6:$N$967))='Referência LC 214'!$N$6:$N$967)))</f>
        <v/>
      </c>
      <c r="H97" s="27" t="str">
        <f aca="false">IF(T97="","",IF(U97="","000001",INDEX('Referência LC 214'!$I$6:$I$967,U97)))</f>
        <v/>
      </c>
      <c r="I97" s="28" t="str">
        <f aca="false">IF(T97="","",IF(U97="","Sem anexo: tributação integral",INDEX('Referência LC 214'!$H$6:$H$967,U97)))</f>
        <v/>
      </c>
      <c r="J97" s="29" t="str">
        <f aca="false">IF(T97="","",IF(U97="",0,INDEX('Referência LC 214'!$K$6:$K$967,U97)))</f>
        <v/>
      </c>
      <c r="K97" s="28" t="str">
        <f aca="false">IF(OR(T97="",U97=""),"","Anexo "&amp;INDEX('Referência LC 214'!$E$6:$E$967,U97)&amp;", item "&amp;INDEX('Referência LC 214'!$F$6:$F$967,U97)&amp;": "&amp;INDEX('Referência LC 214'!$G$6:$G$967,U97))</f>
        <v/>
      </c>
      <c r="L97" s="28" t="str">
        <f aca="false">IF(OR(T97="",U97=""),"",IF(INDEX('Referência LC 214'!$L$6:$L$967,U97)&amp;""&lt;&gt;"",INDEX('Referência LC 214'!$L$6:$L$967,U97)&amp;"",IF(SUMPRODUCT((LEFT(T97,LEN('Referência LC 214'!$N$6:$N$967))='Referência LC 214'!$N$6:$N$967)*('Referência LC 214'!$L$6:$L$967&lt;&gt;""))&gt;0,"Há outro tratamento só para alguns compradores (ex.: órgão público/SUS) — veja a referência","")))</f>
        <v/>
      </c>
      <c r="M97" s="30" t="str">
        <f aca="false">IF(T97="","",IF(AND(C97&lt;&gt;"Serviço",LEN(T97)-1&lt;&gt;8),"NCM deve ter 8 dígitos",IF(AND(C97="Serviço",LEN(T97)-1&lt;&gt;9),"NBS deve ter 9 dígitos",IF(L97&lt;&gt;"","Benefício depende do comprador: confira a coluna N",IF(G97&gt;1,"Mais de uma regra: confira o item do anexo na referência",IF(G97=0,"Sem redução na LC 214","Confira se o produto é o descrito no item"))))))</f>
        <v/>
      </c>
      <c r="N97" s="25"/>
      <c r="O97" s="23"/>
      <c r="P97" s="25"/>
      <c r="Q97" s="25"/>
      <c r="R97" s="31"/>
      <c r="S97" s="24"/>
      <c r="T97" s="4" t="str">
        <f aca="false">IF(D97="","",IF(C97="Serviço","S","P")&amp;SUBSTITUTE(SUBSTITUTE(SUBSTITUTE(D97,".",""),"-","")," ",""))</f>
        <v/>
      </c>
      <c r="U97" s="4" t="str">
        <f aca="false">IF(T97="","",IFERROR(MATCH(LEFT(T97,10),'Referência LC 214'!$N$6:$N$967,0),IFERROR(MATCH(LEFT(T97,9),'Referência LC 214'!$N$6:$N$967,0),IFERROR(MATCH(LEFT(T97,8),'Referência LC 214'!$N$6:$N$967,0),IFERROR(MATCH(LEFT(T97,7),'Referência LC 214'!$N$6:$N$967,0),IFERROR(MATCH(LEFT(T97,6),'Referência LC 214'!$N$6:$N$967,0),IFERROR(MATCH(LEFT(T97,5),'Referência LC 214'!$N$6:$N$967,0),IFERROR(MATCH(LEFT(T97,4),'Referência LC 214'!$N$6:$N$967,0),IFERROR(MATCH(LEFT(T97,3),'Referência LC 214'!$N$6:$N$967,0),"")))))))))</f>
        <v/>
      </c>
    </row>
    <row r="98" customFormat="false" ht="15" hidden="false" customHeight="false" outlineLevel="0" collapsed="false">
      <c r="A98" s="23"/>
      <c r="B98" s="24"/>
      <c r="C98" s="25"/>
      <c r="D98" s="23"/>
      <c r="E98" s="23"/>
      <c r="F98" s="25"/>
      <c r="G98" s="26" t="str">
        <f aca="false">IF(T98="","",SUMPRODUCT(--(LEFT(T98,LEN('Referência LC 214'!$N$6:$N$967))='Referência LC 214'!$N$6:$N$967)))</f>
        <v/>
      </c>
      <c r="H98" s="27" t="str">
        <f aca="false">IF(T98="","",IF(U98="","000001",INDEX('Referência LC 214'!$I$6:$I$967,U98)))</f>
        <v/>
      </c>
      <c r="I98" s="28" t="str">
        <f aca="false">IF(T98="","",IF(U98="","Sem anexo: tributação integral",INDEX('Referência LC 214'!$H$6:$H$967,U98)))</f>
        <v/>
      </c>
      <c r="J98" s="29" t="str">
        <f aca="false">IF(T98="","",IF(U98="",0,INDEX('Referência LC 214'!$K$6:$K$967,U98)))</f>
        <v/>
      </c>
      <c r="K98" s="28" t="str">
        <f aca="false">IF(OR(T98="",U98=""),"","Anexo "&amp;INDEX('Referência LC 214'!$E$6:$E$967,U98)&amp;", item "&amp;INDEX('Referência LC 214'!$F$6:$F$967,U98)&amp;": "&amp;INDEX('Referência LC 214'!$G$6:$G$967,U98))</f>
        <v/>
      </c>
      <c r="L98" s="28" t="str">
        <f aca="false">IF(OR(T98="",U98=""),"",IF(INDEX('Referência LC 214'!$L$6:$L$967,U98)&amp;""&lt;&gt;"",INDEX('Referência LC 214'!$L$6:$L$967,U98)&amp;"",IF(SUMPRODUCT((LEFT(T98,LEN('Referência LC 214'!$N$6:$N$967))='Referência LC 214'!$N$6:$N$967)*('Referência LC 214'!$L$6:$L$967&lt;&gt;""))&gt;0,"Há outro tratamento só para alguns compradores (ex.: órgão público/SUS) — veja a referência","")))</f>
        <v/>
      </c>
      <c r="M98" s="30" t="str">
        <f aca="false">IF(T98="","",IF(AND(C98&lt;&gt;"Serviço",LEN(T98)-1&lt;&gt;8),"NCM deve ter 8 dígitos",IF(AND(C98="Serviço",LEN(T98)-1&lt;&gt;9),"NBS deve ter 9 dígitos",IF(L98&lt;&gt;"","Benefício depende do comprador: confira a coluna N",IF(G98&gt;1,"Mais de uma regra: confira o item do anexo na referência",IF(G98=0,"Sem redução na LC 214","Confira se o produto é o descrito no item"))))))</f>
        <v/>
      </c>
      <c r="N98" s="25"/>
      <c r="O98" s="23"/>
      <c r="P98" s="25"/>
      <c r="Q98" s="25"/>
      <c r="R98" s="31"/>
      <c r="S98" s="24"/>
      <c r="T98" s="4" t="str">
        <f aca="false">IF(D98="","",IF(C98="Serviço","S","P")&amp;SUBSTITUTE(SUBSTITUTE(SUBSTITUTE(D98,".",""),"-","")," ",""))</f>
        <v/>
      </c>
      <c r="U98" s="4" t="str">
        <f aca="false">IF(T98="","",IFERROR(MATCH(LEFT(T98,10),'Referência LC 214'!$N$6:$N$967,0),IFERROR(MATCH(LEFT(T98,9),'Referência LC 214'!$N$6:$N$967,0),IFERROR(MATCH(LEFT(T98,8),'Referência LC 214'!$N$6:$N$967,0),IFERROR(MATCH(LEFT(T98,7),'Referência LC 214'!$N$6:$N$967,0),IFERROR(MATCH(LEFT(T98,6),'Referência LC 214'!$N$6:$N$967,0),IFERROR(MATCH(LEFT(T98,5),'Referência LC 214'!$N$6:$N$967,0),IFERROR(MATCH(LEFT(T98,4),'Referência LC 214'!$N$6:$N$967,0),IFERROR(MATCH(LEFT(T98,3),'Referência LC 214'!$N$6:$N$967,0),"")))))))))</f>
        <v/>
      </c>
    </row>
    <row r="99" customFormat="false" ht="15" hidden="false" customHeight="false" outlineLevel="0" collapsed="false">
      <c r="A99" s="23"/>
      <c r="B99" s="24"/>
      <c r="C99" s="25"/>
      <c r="D99" s="23"/>
      <c r="E99" s="23"/>
      <c r="F99" s="25"/>
      <c r="G99" s="26" t="str">
        <f aca="false">IF(T99="","",SUMPRODUCT(--(LEFT(T99,LEN('Referência LC 214'!$N$6:$N$967))='Referência LC 214'!$N$6:$N$967)))</f>
        <v/>
      </c>
      <c r="H99" s="27" t="str">
        <f aca="false">IF(T99="","",IF(U99="","000001",INDEX('Referência LC 214'!$I$6:$I$967,U99)))</f>
        <v/>
      </c>
      <c r="I99" s="28" t="str">
        <f aca="false">IF(T99="","",IF(U99="","Sem anexo: tributação integral",INDEX('Referência LC 214'!$H$6:$H$967,U99)))</f>
        <v/>
      </c>
      <c r="J99" s="29" t="str">
        <f aca="false">IF(T99="","",IF(U99="",0,INDEX('Referência LC 214'!$K$6:$K$967,U99)))</f>
        <v/>
      </c>
      <c r="K99" s="28" t="str">
        <f aca="false">IF(OR(T99="",U99=""),"","Anexo "&amp;INDEX('Referência LC 214'!$E$6:$E$967,U99)&amp;", item "&amp;INDEX('Referência LC 214'!$F$6:$F$967,U99)&amp;": "&amp;INDEX('Referência LC 214'!$G$6:$G$967,U99))</f>
        <v/>
      </c>
      <c r="L99" s="28" t="str">
        <f aca="false">IF(OR(T99="",U99=""),"",IF(INDEX('Referência LC 214'!$L$6:$L$967,U99)&amp;""&lt;&gt;"",INDEX('Referência LC 214'!$L$6:$L$967,U99)&amp;"",IF(SUMPRODUCT((LEFT(T99,LEN('Referência LC 214'!$N$6:$N$967))='Referência LC 214'!$N$6:$N$967)*('Referência LC 214'!$L$6:$L$967&lt;&gt;""))&gt;0,"Há outro tratamento só para alguns compradores (ex.: órgão público/SUS) — veja a referência","")))</f>
        <v/>
      </c>
      <c r="M99" s="30" t="str">
        <f aca="false">IF(T99="","",IF(AND(C99&lt;&gt;"Serviço",LEN(T99)-1&lt;&gt;8),"NCM deve ter 8 dígitos",IF(AND(C99="Serviço",LEN(T99)-1&lt;&gt;9),"NBS deve ter 9 dígitos",IF(L99&lt;&gt;"","Benefício depende do comprador: confira a coluna N",IF(G99&gt;1,"Mais de uma regra: confira o item do anexo na referência",IF(G99=0,"Sem redução na LC 214","Confira se o produto é o descrito no item"))))))</f>
        <v/>
      </c>
      <c r="N99" s="25"/>
      <c r="O99" s="23"/>
      <c r="P99" s="25"/>
      <c r="Q99" s="25"/>
      <c r="R99" s="31"/>
      <c r="S99" s="24"/>
      <c r="T99" s="4" t="str">
        <f aca="false">IF(D99="","",IF(C99="Serviço","S","P")&amp;SUBSTITUTE(SUBSTITUTE(SUBSTITUTE(D99,".",""),"-","")," ",""))</f>
        <v/>
      </c>
      <c r="U99" s="4" t="str">
        <f aca="false">IF(T99="","",IFERROR(MATCH(LEFT(T99,10),'Referência LC 214'!$N$6:$N$967,0),IFERROR(MATCH(LEFT(T99,9),'Referência LC 214'!$N$6:$N$967,0),IFERROR(MATCH(LEFT(T99,8),'Referência LC 214'!$N$6:$N$967,0),IFERROR(MATCH(LEFT(T99,7),'Referência LC 214'!$N$6:$N$967,0),IFERROR(MATCH(LEFT(T99,6),'Referência LC 214'!$N$6:$N$967,0),IFERROR(MATCH(LEFT(T99,5),'Referência LC 214'!$N$6:$N$967,0),IFERROR(MATCH(LEFT(T99,4),'Referência LC 214'!$N$6:$N$967,0),IFERROR(MATCH(LEFT(T99,3),'Referência LC 214'!$N$6:$N$967,0),"")))))))))</f>
        <v/>
      </c>
    </row>
    <row r="100" customFormat="false" ht="15" hidden="false" customHeight="false" outlineLevel="0" collapsed="false">
      <c r="A100" s="23"/>
      <c r="B100" s="24"/>
      <c r="C100" s="25"/>
      <c r="D100" s="23"/>
      <c r="E100" s="23"/>
      <c r="F100" s="25"/>
      <c r="G100" s="26" t="str">
        <f aca="false">IF(T100="","",SUMPRODUCT(--(LEFT(T100,LEN('Referência LC 214'!$N$6:$N$967))='Referência LC 214'!$N$6:$N$967)))</f>
        <v/>
      </c>
      <c r="H100" s="27" t="str">
        <f aca="false">IF(T100="","",IF(U100="","000001",INDEX('Referência LC 214'!$I$6:$I$967,U100)))</f>
        <v/>
      </c>
      <c r="I100" s="28" t="str">
        <f aca="false">IF(T100="","",IF(U100="","Sem anexo: tributação integral",INDEX('Referência LC 214'!$H$6:$H$967,U100)))</f>
        <v/>
      </c>
      <c r="J100" s="29" t="str">
        <f aca="false">IF(T100="","",IF(U100="",0,INDEX('Referência LC 214'!$K$6:$K$967,U100)))</f>
        <v/>
      </c>
      <c r="K100" s="28" t="str">
        <f aca="false">IF(OR(T100="",U100=""),"","Anexo "&amp;INDEX('Referência LC 214'!$E$6:$E$967,U100)&amp;", item "&amp;INDEX('Referência LC 214'!$F$6:$F$967,U100)&amp;": "&amp;INDEX('Referência LC 214'!$G$6:$G$967,U100))</f>
        <v/>
      </c>
      <c r="L100" s="28" t="str">
        <f aca="false">IF(OR(T100="",U100=""),"",IF(INDEX('Referência LC 214'!$L$6:$L$967,U100)&amp;""&lt;&gt;"",INDEX('Referência LC 214'!$L$6:$L$967,U100)&amp;"",IF(SUMPRODUCT((LEFT(T100,LEN('Referência LC 214'!$N$6:$N$967))='Referência LC 214'!$N$6:$N$967)*('Referência LC 214'!$L$6:$L$967&lt;&gt;""))&gt;0,"Há outro tratamento só para alguns compradores (ex.: órgão público/SUS) — veja a referência","")))</f>
        <v/>
      </c>
      <c r="M100" s="30" t="str">
        <f aca="false">IF(T100="","",IF(AND(C100&lt;&gt;"Serviço",LEN(T100)-1&lt;&gt;8),"NCM deve ter 8 dígitos",IF(AND(C100="Serviço",LEN(T100)-1&lt;&gt;9),"NBS deve ter 9 dígitos",IF(L100&lt;&gt;"","Benefício depende do comprador: confira a coluna N",IF(G100&gt;1,"Mais de uma regra: confira o item do anexo na referência",IF(G100=0,"Sem redução na LC 214","Confira se o produto é o descrito no item"))))))</f>
        <v/>
      </c>
      <c r="N100" s="25"/>
      <c r="O100" s="23"/>
      <c r="P100" s="25"/>
      <c r="Q100" s="25"/>
      <c r="R100" s="31"/>
      <c r="S100" s="24"/>
      <c r="T100" s="4" t="str">
        <f aca="false">IF(D100="","",IF(C100="Serviço","S","P")&amp;SUBSTITUTE(SUBSTITUTE(SUBSTITUTE(D100,".",""),"-","")," ",""))</f>
        <v/>
      </c>
      <c r="U100" s="4" t="str">
        <f aca="false">IF(T100="","",IFERROR(MATCH(LEFT(T100,10),'Referência LC 214'!$N$6:$N$967,0),IFERROR(MATCH(LEFT(T100,9),'Referência LC 214'!$N$6:$N$967,0),IFERROR(MATCH(LEFT(T100,8),'Referência LC 214'!$N$6:$N$967,0),IFERROR(MATCH(LEFT(T100,7),'Referência LC 214'!$N$6:$N$967,0),IFERROR(MATCH(LEFT(T100,6),'Referência LC 214'!$N$6:$N$967,0),IFERROR(MATCH(LEFT(T100,5),'Referência LC 214'!$N$6:$N$967,0),IFERROR(MATCH(LEFT(T100,4),'Referência LC 214'!$N$6:$N$967,0),IFERROR(MATCH(LEFT(T100,3),'Referência LC 214'!$N$6:$N$967,0),"")))))))))</f>
        <v/>
      </c>
    </row>
    <row r="101" customFormat="false" ht="15" hidden="false" customHeight="false" outlineLevel="0" collapsed="false">
      <c r="A101" s="23"/>
      <c r="B101" s="24"/>
      <c r="C101" s="25"/>
      <c r="D101" s="23"/>
      <c r="E101" s="23"/>
      <c r="F101" s="25"/>
      <c r="G101" s="26" t="str">
        <f aca="false">IF(T101="","",SUMPRODUCT(--(LEFT(T101,LEN('Referência LC 214'!$N$6:$N$967))='Referência LC 214'!$N$6:$N$967)))</f>
        <v/>
      </c>
      <c r="H101" s="27" t="str">
        <f aca="false">IF(T101="","",IF(U101="","000001",INDEX('Referência LC 214'!$I$6:$I$967,U101)))</f>
        <v/>
      </c>
      <c r="I101" s="28" t="str">
        <f aca="false">IF(T101="","",IF(U101="","Sem anexo: tributação integral",INDEX('Referência LC 214'!$H$6:$H$967,U101)))</f>
        <v/>
      </c>
      <c r="J101" s="29" t="str">
        <f aca="false">IF(T101="","",IF(U101="",0,INDEX('Referência LC 214'!$K$6:$K$967,U101)))</f>
        <v/>
      </c>
      <c r="K101" s="28" t="str">
        <f aca="false">IF(OR(T101="",U101=""),"","Anexo "&amp;INDEX('Referência LC 214'!$E$6:$E$967,U101)&amp;", item "&amp;INDEX('Referência LC 214'!$F$6:$F$967,U101)&amp;": "&amp;INDEX('Referência LC 214'!$G$6:$G$967,U101))</f>
        <v/>
      </c>
      <c r="L101" s="28" t="str">
        <f aca="false">IF(OR(T101="",U101=""),"",IF(INDEX('Referência LC 214'!$L$6:$L$967,U101)&amp;""&lt;&gt;"",INDEX('Referência LC 214'!$L$6:$L$967,U101)&amp;"",IF(SUMPRODUCT((LEFT(T101,LEN('Referência LC 214'!$N$6:$N$967))='Referência LC 214'!$N$6:$N$967)*('Referência LC 214'!$L$6:$L$967&lt;&gt;""))&gt;0,"Há outro tratamento só para alguns compradores (ex.: órgão público/SUS) — veja a referência","")))</f>
        <v/>
      </c>
      <c r="M101" s="30" t="str">
        <f aca="false">IF(T101="","",IF(AND(C101&lt;&gt;"Serviço",LEN(T101)-1&lt;&gt;8),"NCM deve ter 8 dígitos",IF(AND(C101="Serviço",LEN(T101)-1&lt;&gt;9),"NBS deve ter 9 dígitos",IF(L101&lt;&gt;"","Benefício depende do comprador: confira a coluna N",IF(G101&gt;1,"Mais de uma regra: confira o item do anexo na referência",IF(G101=0,"Sem redução na LC 214","Confira se o produto é o descrito no item"))))))</f>
        <v/>
      </c>
      <c r="N101" s="25"/>
      <c r="O101" s="23"/>
      <c r="P101" s="25"/>
      <c r="Q101" s="25"/>
      <c r="R101" s="31"/>
      <c r="S101" s="24"/>
      <c r="T101" s="4" t="str">
        <f aca="false">IF(D101="","",IF(C101="Serviço","S","P")&amp;SUBSTITUTE(SUBSTITUTE(SUBSTITUTE(D101,".",""),"-","")," ",""))</f>
        <v/>
      </c>
      <c r="U101" s="4" t="str">
        <f aca="false">IF(T101="","",IFERROR(MATCH(LEFT(T101,10),'Referência LC 214'!$N$6:$N$967,0),IFERROR(MATCH(LEFT(T101,9),'Referência LC 214'!$N$6:$N$967,0),IFERROR(MATCH(LEFT(T101,8),'Referência LC 214'!$N$6:$N$967,0),IFERROR(MATCH(LEFT(T101,7),'Referência LC 214'!$N$6:$N$967,0),IFERROR(MATCH(LEFT(T101,6),'Referência LC 214'!$N$6:$N$967,0),IFERROR(MATCH(LEFT(T101,5),'Referência LC 214'!$N$6:$N$967,0),IFERROR(MATCH(LEFT(T101,4),'Referência LC 214'!$N$6:$N$967,0),IFERROR(MATCH(LEFT(T101,3),'Referência LC 214'!$N$6:$N$967,0),"")))))))))</f>
        <v/>
      </c>
    </row>
    <row r="102" customFormat="false" ht="15" hidden="false" customHeight="false" outlineLevel="0" collapsed="false">
      <c r="A102" s="23"/>
      <c r="B102" s="24"/>
      <c r="C102" s="25"/>
      <c r="D102" s="23"/>
      <c r="E102" s="23"/>
      <c r="F102" s="25"/>
      <c r="G102" s="26" t="str">
        <f aca="false">IF(T102="","",SUMPRODUCT(--(LEFT(T102,LEN('Referência LC 214'!$N$6:$N$967))='Referência LC 214'!$N$6:$N$967)))</f>
        <v/>
      </c>
      <c r="H102" s="27" t="str">
        <f aca="false">IF(T102="","",IF(U102="","000001",INDEX('Referência LC 214'!$I$6:$I$967,U102)))</f>
        <v/>
      </c>
      <c r="I102" s="28" t="str">
        <f aca="false">IF(T102="","",IF(U102="","Sem anexo: tributação integral",INDEX('Referência LC 214'!$H$6:$H$967,U102)))</f>
        <v/>
      </c>
      <c r="J102" s="29" t="str">
        <f aca="false">IF(T102="","",IF(U102="",0,INDEX('Referência LC 214'!$K$6:$K$967,U102)))</f>
        <v/>
      </c>
      <c r="K102" s="28" t="str">
        <f aca="false">IF(OR(T102="",U102=""),"","Anexo "&amp;INDEX('Referência LC 214'!$E$6:$E$967,U102)&amp;", item "&amp;INDEX('Referência LC 214'!$F$6:$F$967,U102)&amp;": "&amp;INDEX('Referência LC 214'!$G$6:$G$967,U102))</f>
        <v/>
      </c>
      <c r="L102" s="28" t="str">
        <f aca="false">IF(OR(T102="",U102=""),"",IF(INDEX('Referência LC 214'!$L$6:$L$967,U102)&amp;""&lt;&gt;"",INDEX('Referência LC 214'!$L$6:$L$967,U102)&amp;"",IF(SUMPRODUCT((LEFT(T102,LEN('Referência LC 214'!$N$6:$N$967))='Referência LC 214'!$N$6:$N$967)*('Referência LC 214'!$L$6:$L$967&lt;&gt;""))&gt;0,"Há outro tratamento só para alguns compradores (ex.: órgão público/SUS) — veja a referência","")))</f>
        <v/>
      </c>
      <c r="M102" s="30" t="str">
        <f aca="false">IF(T102="","",IF(AND(C102&lt;&gt;"Serviço",LEN(T102)-1&lt;&gt;8),"NCM deve ter 8 dígitos",IF(AND(C102="Serviço",LEN(T102)-1&lt;&gt;9),"NBS deve ter 9 dígitos",IF(L102&lt;&gt;"","Benefício depende do comprador: confira a coluna N",IF(G102&gt;1,"Mais de uma regra: confira o item do anexo na referência",IF(G102=0,"Sem redução na LC 214","Confira se o produto é o descrito no item"))))))</f>
        <v/>
      </c>
      <c r="N102" s="25"/>
      <c r="O102" s="23"/>
      <c r="P102" s="25"/>
      <c r="Q102" s="25"/>
      <c r="R102" s="31"/>
      <c r="S102" s="24"/>
      <c r="T102" s="4" t="str">
        <f aca="false">IF(D102="","",IF(C102="Serviço","S","P")&amp;SUBSTITUTE(SUBSTITUTE(SUBSTITUTE(D102,".",""),"-","")," ",""))</f>
        <v/>
      </c>
      <c r="U102" s="4" t="str">
        <f aca="false">IF(T102="","",IFERROR(MATCH(LEFT(T102,10),'Referência LC 214'!$N$6:$N$967,0),IFERROR(MATCH(LEFT(T102,9),'Referência LC 214'!$N$6:$N$967,0),IFERROR(MATCH(LEFT(T102,8),'Referência LC 214'!$N$6:$N$967,0),IFERROR(MATCH(LEFT(T102,7),'Referência LC 214'!$N$6:$N$967,0),IFERROR(MATCH(LEFT(T102,6),'Referência LC 214'!$N$6:$N$967,0),IFERROR(MATCH(LEFT(T102,5),'Referência LC 214'!$N$6:$N$967,0),IFERROR(MATCH(LEFT(T102,4),'Referência LC 214'!$N$6:$N$967,0),IFERROR(MATCH(LEFT(T102,3),'Referência LC 214'!$N$6:$N$967,0),"")))))))))</f>
        <v/>
      </c>
    </row>
    <row r="103" customFormat="false" ht="15" hidden="false" customHeight="false" outlineLevel="0" collapsed="false">
      <c r="A103" s="23"/>
      <c r="B103" s="24"/>
      <c r="C103" s="25"/>
      <c r="D103" s="23"/>
      <c r="E103" s="23"/>
      <c r="F103" s="25"/>
      <c r="G103" s="26" t="str">
        <f aca="false">IF(T103="","",SUMPRODUCT(--(LEFT(T103,LEN('Referência LC 214'!$N$6:$N$967))='Referência LC 214'!$N$6:$N$967)))</f>
        <v/>
      </c>
      <c r="H103" s="27" t="str">
        <f aca="false">IF(T103="","",IF(U103="","000001",INDEX('Referência LC 214'!$I$6:$I$967,U103)))</f>
        <v/>
      </c>
      <c r="I103" s="28" t="str">
        <f aca="false">IF(T103="","",IF(U103="","Sem anexo: tributação integral",INDEX('Referência LC 214'!$H$6:$H$967,U103)))</f>
        <v/>
      </c>
      <c r="J103" s="29" t="str">
        <f aca="false">IF(T103="","",IF(U103="",0,INDEX('Referência LC 214'!$K$6:$K$967,U103)))</f>
        <v/>
      </c>
      <c r="K103" s="28" t="str">
        <f aca="false">IF(OR(T103="",U103=""),"","Anexo "&amp;INDEX('Referência LC 214'!$E$6:$E$967,U103)&amp;", item "&amp;INDEX('Referência LC 214'!$F$6:$F$967,U103)&amp;": "&amp;INDEX('Referência LC 214'!$G$6:$G$967,U103))</f>
        <v/>
      </c>
      <c r="L103" s="28" t="str">
        <f aca="false">IF(OR(T103="",U103=""),"",IF(INDEX('Referência LC 214'!$L$6:$L$967,U103)&amp;""&lt;&gt;"",INDEX('Referência LC 214'!$L$6:$L$967,U103)&amp;"",IF(SUMPRODUCT((LEFT(T103,LEN('Referência LC 214'!$N$6:$N$967))='Referência LC 214'!$N$6:$N$967)*('Referência LC 214'!$L$6:$L$967&lt;&gt;""))&gt;0,"Há outro tratamento só para alguns compradores (ex.: órgão público/SUS) — veja a referência","")))</f>
        <v/>
      </c>
      <c r="M103" s="30" t="str">
        <f aca="false">IF(T103="","",IF(AND(C103&lt;&gt;"Serviço",LEN(T103)-1&lt;&gt;8),"NCM deve ter 8 dígitos",IF(AND(C103="Serviço",LEN(T103)-1&lt;&gt;9),"NBS deve ter 9 dígitos",IF(L103&lt;&gt;"","Benefício depende do comprador: confira a coluna N",IF(G103&gt;1,"Mais de uma regra: confira o item do anexo na referência",IF(G103=0,"Sem redução na LC 214","Confira se o produto é o descrito no item"))))))</f>
        <v/>
      </c>
      <c r="N103" s="25"/>
      <c r="O103" s="23"/>
      <c r="P103" s="25"/>
      <c r="Q103" s="25"/>
      <c r="R103" s="31"/>
      <c r="S103" s="24"/>
      <c r="T103" s="4" t="str">
        <f aca="false">IF(D103="","",IF(C103="Serviço","S","P")&amp;SUBSTITUTE(SUBSTITUTE(SUBSTITUTE(D103,".",""),"-","")," ",""))</f>
        <v/>
      </c>
      <c r="U103" s="4" t="str">
        <f aca="false">IF(T103="","",IFERROR(MATCH(LEFT(T103,10),'Referência LC 214'!$N$6:$N$967,0),IFERROR(MATCH(LEFT(T103,9),'Referência LC 214'!$N$6:$N$967,0),IFERROR(MATCH(LEFT(T103,8),'Referência LC 214'!$N$6:$N$967,0),IFERROR(MATCH(LEFT(T103,7),'Referência LC 214'!$N$6:$N$967,0),IFERROR(MATCH(LEFT(T103,6),'Referência LC 214'!$N$6:$N$967,0),IFERROR(MATCH(LEFT(T103,5),'Referência LC 214'!$N$6:$N$967,0),IFERROR(MATCH(LEFT(T103,4),'Referência LC 214'!$N$6:$N$967,0),IFERROR(MATCH(LEFT(T103,3),'Referência LC 214'!$N$6:$N$967,0),"")))))))))</f>
        <v/>
      </c>
    </row>
    <row r="104" customFormat="false" ht="15" hidden="false" customHeight="false" outlineLevel="0" collapsed="false">
      <c r="A104" s="23"/>
      <c r="B104" s="24"/>
      <c r="C104" s="25"/>
      <c r="D104" s="23"/>
      <c r="E104" s="23"/>
      <c r="F104" s="25"/>
      <c r="G104" s="26" t="str">
        <f aca="false">IF(T104="","",SUMPRODUCT(--(LEFT(T104,LEN('Referência LC 214'!$N$6:$N$967))='Referência LC 214'!$N$6:$N$967)))</f>
        <v/>
      </c>
      <c r="H104" s="27" t="str">
        <f aca="false">IF(T104="","",IF(U104="","000001",INDEX('Referência LC 214'!$I$6:$I$967,U104)))</f>
        <v/>
      </c>
      <c r="I104" s="28" t="str">
        <f aca="false">IF(T104="","",IF(U104="","Sem anexo: tributação integral",INDEX('Referência LC 214'!$H$6:$H$967,U104)))</f>
        <v/>
      </c>
      <c r="J104" s="29" t="str">
        <f aca="false">IF(T104="","",IF(U104="",0,INDEX('Referência LC 214'!$K$6:$K$967,U104)))</f>
        <v/>
      </c>
      <c r="K104" s="28" t="str">
        <f aca="false">IF(OR(T104="",U104=""),"","Anexo "&amp;INDEX('Referência LC 214'!$E$6:$E$967,U104)&amp;", item "&amp;INDEX('Referência LC 214'!$F$6:$F$967,U104)&amp;": "&amp;INDEX('Referência LC 214'!$G$6:$G$967,U104))</f>
        <v/>
      </c>
      <c r="L104" s="28" t="str">
        <f aca="false">IF(OR(T104="",U104=""),"",IF(INDEX('Referência LC 214'!$L$6:$L$967,U104)&amp;""&lt;&gt;"",INDEX('Referência LC 214'!$L$6:$L$967,U104)&amp;"",IF(SUMPRODUCT((LEFT(T104,LEN('Referência LC 214'!$N$6:$N$967))='Referência LC 214'!$N$6:$N$967)*('Referência LC 214'!$L$6:$L$967&lt;&gt;""))&gt;0,"Há outro tratamento só para alguns compradores (ex.: órgão público/SUS) — veja a referência","")))</f>
        <v/>
      </c>
      <c r="M104" s="30" t="str">
        <f aca="false">IF(T104="","",IF(AND(C104&lt;&gt;"Serviço",LEN(T104)-1&lt;&gt;8),"NCM deve ter 8 dígitos",IF(AND(C104="Serviço",LEN(T104)-1&lt;&gt;9),"NBS deve ter 9 dígitos",IF(L104&lt;&gt;"","Benefício depende do comprador: confira a coluna N",IF(G104&gt;1,"Mais de uma regra: confira o item do anexo na referência",IF(G104=0,"Sem redução na LC 214","Confira se o produto é o descrito no item"))))))</f>
        <v/>
      </c>
      <c r="N104" s="25"/>
      <c r="O104" s="23"/>
      <c r="P104" s="25"/>
      <c r="Q104" s="25"/>
      <c r="R104" s="31"/>
      <c r="S104" s="24"/>
      <c r="T104" s="4" t="str">
        <f aca="false">IF(D104="","",IF(C104="Serviço","S","P")&amp;SUBSTITUTE(SUBSTITUTE(SUBSTITUTE(D104,".",""),"-","")," ",""))</f>
        <v/>
      </c>
      <c r="U104" s="4" t="str">
        <f aca="false">IF(T104="","",IFERROR(MATCH(LEFT(T104,10),'Referência LC 214'!$N$6:$N$967,0),IFERROR(MATCH(LEFT(T104,9),'Referência LC 214'!$N$6:$N$967,0),IFERROR(MATCH(LEFT(T104,8),'Referência LC 214'!$N$6:$N$967,0),IFERROR(MATCH(LEFT(T104,7),'Referência LC 214'!$N$6:$N$967,0),IFERROR(MATCH(LEFT(T104,6),'Referência LC 214'!$N$6:$N$967,0),IFERROR(MATCH(LEFT(T104,5),'Referência LC 214'!$N$6:$N$967,0),IFERROR(MATCH(LEFT(T104,4),'Referência LC 214'!$N$6:$N$967,0),IFERROR(MATCH(LEFT(T104,3),'Referência LC 214'!$N$6:$N$967,0),"")))))))))</f>
        <v/>
      </c>
    </row>
    <row r="105" customFormat="false" ht="15" hidden="false" customHeight="false" outlineLevel="0" collapsed="false">
      <c r="A105" s="23"/>
      <c r="B105" s="24"/>
      <c r="C105" s="25"/>
      <c r="D105" s="23"/>
      <c r="E105" s="23"/>
      <c r="F105" s="25"/>
      <c r="G105" s="26" t="str">
        <f aca="false">IF(T105="","",SUMPRODUCT(--(LEFT(T105,LEN('Referência LC 214'!$N$6:$N$967))='Referência LC 214'!$N$6:$N$967)))</f>
        <v/>
      </c>
      <c r="H105" s="27" t="str">
        <f aca="false">IF(T105="","",IF(U105="","000001",INDEX('Referência LC 214'!$I$6:$I$967,U105)))</f>
        <v/>
      </c>
      <c r="I105" s="28" t="str">
        <f aca="false">IF(T105="","",IF(U105="","Sem anexo: tributação integral",INDEX('Referência LC 214'!$H$6:$H$967,U105)))</f>
        <v/>
      </c>
      <c r="J105" s="29" t="str">
        <f aca="false">IF(T105="","",IF(U105="",0,INDEX('Referência LC 214'!$K$6:$K$967,U105)))</f>
        <v/>
      </c>
      <c r="K105" s="28" t="str">
        <f aca="false">IF(OR(T105="",U105=""),"","Anexo "&amp;INDEX('Referência LC 214'!$E$6:$E$967,U105)&amp;", item "&amp;INDEX('Referência LC 214'!$F$6:$F$967,U105)&amp;": "&amp;INDEX('Referência LC 214'!$G$6:$G$967,U105))</f>
        <v/>
      </c>
      <c r="L105" s="28" t="str">
        <f aca="false">IF(OR(T105="",U105=""),"",IF(INDEX('Referência LC 214'!$L$6:$L$967,U105)&amp;""&lt;&gt;"",INDEX('Referência LC 214'!$L$6:$L$967,U105)&amp;"",IF(SUMPRODUCT((LEFT(T105,LEN('Referência LC 214'!$N$6:$N$967))='Referência LC 214'!$N$6:$N$967)*('Referência LC 214'!$L$6:$L$967&lt;&gt;""))&gt;0,"Há outro tratamento só para alguns compradores (ex.: órgão público/SUS) — veja a referência","")))</f>
        <v/>
      </c>
      <c r="M105" s="30" t="str">
        <f aca="false">IF(T105="","",IF(AND(C105&lt;&gt;"Serviço",LEN(T105)-1&lt;&gt;8),"NCM deve ter 8 dígitos",IF(AND(C105="Serviço",LEN(T105)-1&lt;&gt;9),"NBS deve ter 9 dígitos",IF(L105&lt;&gt;"","Benefício depende do comprador: confira a coluna N",IF(G105&gt;1,"Mais de uma regra: confira o item do anexo na referência",IF(G105=0,"Sem redução na LC 214","Confira se o produto é o descrito no item"))))))</f>
        <v/>
      </c>
      <c r="N105" s="25"/>
      <c r="O105" s="23"/>
      <c r="P105" s="25"/>
      <c r="Q105" s="25"/>
      <c r="R105" s="31"/>
      <c r="S105" s="24"/>
      <c r="T105" s="4" t="str">
        <f aca="false">IF(D105="","",IF(C105="Serviço","S","P")&amp;SUBSTITUTE(SUBSTITUTE(SUBSTITUTE(D105,".",""),"-","")," ",""))</f>
        <v/>
      </c>
      <c r="U105" s="4" t="str">
        <f aca="false">IF(T105="","",IFERROR(MATCH(LEFT(T105,10),'Referência LC 214'!$N$6:$N$967,0),IFERROR(MATCH(LEFT(T105,9),'Referência LC 214'!$N$6:$N$967,0),IFERROR(MATCH(LEFT(T105,8),'Referência LC 214'!$N$6:$N$967,0),IFERROR(MATCH(LEFT(T105,7),'Referência LC 214'!$N$6:$N$967,0),IFERROR(MATCH(LEFT(T105,6),'Referência LC 214'!$N$6:$N$967,0),IFERROR(MATCH(LEFT(T105,5),'Referência LC 214'!$N$6:$N$967,0),IFERROR(MATCH(LEFT(T105,4),'Referência LC 214'!$N$6:$N$967,0),IFERROR(MATCH(LEFT(T105,3),'Referência LC 214'!$N$6:$N$967,0),"")))))))))</f>
        <v/>
      </c>
    </row>
    <row r="106" customFormat="false" ht="15" hidden="false" customHeight="false" outlineLevel="0" collapsed="false">
      <c r="A106" s="23"/>
      <c r="B106" s="24"/>
      <c r="C106" s="25"/>
      <c r="D106" s="23"/>
      <c r="E106" s="23"/>
      <c r="F106" s="25"/>
      <c r="G106" s="26" t="str">
        <f aca="false">IF(T106="","",SUMPRODUCT(--(LEFT(T106,LEN('Referência LC 214'!$N$6:$N$967))='Referência LC 214'!$N$6:$N$967)))</f>
        <v/>
      </c>
      <c r="H106" s="27" t="str">
        <f aca="false">IF(T106="","",IF(U106="","000001",INDEX('Referência LC 214'!$I$6:$I$967,U106)))</f>
        <v/>
      </c>
      <c r="I106" s="28" t="str">
        <f aca="false">IF(T106="","",IF(U106="","Sem anexo: tributação integral",INDEX('Referência LC 214'!$H$6:$H$967,U106)))</f>
        <v/>
      </c>
      <c r="J106" s="29" t="str">
        <f aca="false">IF(T106="","",IF(U106="",0,INDEX('Referência LC 214'!$K$6:$K$967,U106)))</f>
        <v/>
      </c>
      <c r="K106" s="28" t="str">
        <f aca="false">IF(OR(T106="",U106=""),"","Anexo "&amp;INDEX('Referência LC 214'!$E$6:$E$967,U106)&amp;", item "&amp;INDEX('Referência LC 214'!$F$6:$F$967,U106)&amp;": "&amp;INDEX('Referência LC 214'!$G$6:$G$967,U106))</f>
        <v/>
      </c>
      <c r="L106" s="28" t="str">
        <f aca="false">IF(OR(T106="",U106=""),"",IF(INDEX('Referência LC 214'!$L$6:$L$967,U106)&amp;""&lt;&gt;"",INDEX('Referência LC 214'!$L$6:$L$967,U106)&amp;"",IF(SUMPRODUCT((LEFT(T106,LEN('Referência LC 214'!$N$6:$N$967))='Referência LC 214'!$N$6:$N$967)*('Referência LC 214'!$L$6:$L$967&lt;&gt;""))&gt;0,"Há outro tratamento só para alguns compradores (ex.: órgão público/SUS) — veja a referência","")))</f>
        <v/>
      </c>
      <c r="M106" s="30" t="str">
        <f aca="false">IF(T106="","",IF(AND(C106&lt;&gt;"Serviço",LEN(T106)-1&lt;&gt;8),"NCM deve ter 8 dígitos",IF(AND(C106="Serviço",LEN(T106)-1&lt;&gt;9),"NBS deve ter 9 dígitos",IF(L106&lt;&gt;"","Benefício depende do comprador: confira a coluna N",IF(G106&gt;1,"Mais de uma regra: confira o item do anexo na referência",IF(G106=0,"Sem redução na LC 214","Confira se o produto é o descrito no item"))))))</f>
        <v/>
      </c>
      <c r="N106" s="25"/>
      <c r="O106" s="23"/>
      <c r="P106" s="25"/>
      <c r="Q106" s="25"/>
      <c r="R106" s="31"/>
      <c r="S106" s="24"/>
      <c r="T106" s="4" t="str">
        <f aca="false">IF(D106="","",IF(C106="Serviço","S","P")&amp;SUBSTITUTE(SUBSTITUTE(SUBSTITUTE(D106,".",""),"-","")," ",""))</f>
        <v/>
      </c>
      <c r="U106" s="4" t="str">
        <f aca="false">IF(T106="","",IFERROR(MATCH(LEFT(T106,10),'Referência LC 214'!$N$6:$N$967,0),IFERROR(MATCH(LEFT(T106,9),'Referência LC 214'!$N$6:$N$967,0),IFERROR(MATCH(LEFT(T106,8),'Referência LC 214'!$N$6:$N$967,0),IFERROR(MATCH(LEFT(T106,7),'Referência LC 214'!$N$6:$N$967,0),IFERROR(MATCH(LEFT(T106,6),'Referência LC 214'!$N$6:$N$967,0),IFERROR(MATCH(LEFT(T106,5),'Referência LC 214'!$N$6:$N$967,0),IFERROR(MATCH(LEFT(T106,4),'Referência LC 214'!$N$6:$N$967,0),IFERROR(MATCH(LEFT(T106,3),'Referência LC 214'!$N$6:$N$967,0),"")))))))))</f>
        <v/>
      </c>
    </row>
    <row r="107" customFormat="false" ht="15" hidden="false" customHeight="false" outlineLevel="0" collapsed="false">
      <c r="A107" s="23"/>
      <c r="B107" s="24"/>
      <c r="C107" s="25"/>
      <c r="D107" s="23"/>
      <c r="E107" s="23"/>
      <c r="F107" s="25"/>
      <c r="G107" s="26" t="str">
        <f aca="false">IF(T107="","",SUMPRODUCT(--(LEFT(T107,LEN('Referência LC 214'!$N$6:$N$967))='Referência LC 214'!$N$6:$N$967)))</f>
        <v/>
      </c>
      <c r="H107" s="27" t="str">
        <f aca="false">IF(T107="","",IF(U107="","000001",INDEX('Referência LC 214'!$I$6:$I$967,U107)))</f>
        <v/>
      </c>
      <c r="I107" s="28" t="str">
        <f aca="false">IF(T107="","",IF(U107="","Sem anexo: tributação integral",INDEX('Referência LC 214'!$H$6:$H$967,U107)))</f>
        <v/>
      </c>
      <c r="J107" s="29" t="str">
        <f aca="false">IF(T107="","",IF(U107="",0,INDEX('Referência LC 214'!$K$6:$K$967,U107)))</f>
        <v/>
      </c>
      <c r="K107" s="28" t="str">
        <f aca="false">IF(OR(T107="",U107=""),"","Anexo "&amp;INDEX('Referência LC 214'!$E$6:$E$967,U107)&amp;", item "&amp;INDEX('Referência LC 214'!$F$6:$F$967,U107)&amp;": "&amp;INDEX('Referência LC 214'!$G$6:$G$967,U107))</f>
        <v/>
      </c>
      <c r="L107" s="28" t="str">
        <f aca="false">IF(OR(T107="",U107=""),"",IF(INDEX('Referência LC 214'!$L$6:$L$967,U107)&amp;""&lt;&gt;"",INDEX('Referência LC 214'!$L$6:$L$967,U107)&amp;"",IF(SUMPRODUCT((LEFT(T107,LEN('Referência LC 214'!$N$6:$N$967))='Referência LC 214'!$N$6:$N$967)*('Referência LC 214'!$L$6:$L$967&lt;&gt;""))&gt;0,"Há outro tratamento só para alguns compradores (ex.: órgão público/SUS) — veja a referência","")))</f>
        <v/>
      </c>
      <c r="M107" s="30" t="str">
        <f aca="false">IF(T107="","",IF(AND(C107&lt;&gt;"Serviço",LEN(T107)-1&lt;&gt;8),"NCM deve ter 8 dígitos",IF(AND(C107="Serviço",LEN(T107)-1&lt;&gt;9),"NBS deve ter 9 dígitos",IF(L107&lt;&gt;"","Benefício depende do comprador: confira a coluna N",IF(G107&gt;1,"Mais de uma regra: confira o item do anexo na referência",IF(G107=0,"Sem redução na LC 214","Confira se o produto é o descrito no item"))))))</f>
        <v/>
      </c>
      <c r="N107" s="25"/>
      <c r="O107" s="23"/>
      <c r="P107" s="25"/>
      <c r="Q107" s="25"/>
      <c r="R107" s="31"/>
      <c r="S107" s="24"/>
      <c r="T107" s="4" t="str">
        <f aca="false">IF(D107="","",IF(C107="Serviço","S","P")&amp;SUBSTITUTE(SUBSTITUTE(SUBSTITUTE(D107,".",""),"-","")," ",""))</f>
        <v/>
      </c>
      <c r="U107" s="4" t="str">
        <f aca="false">IF(T107="","",IFERROR(MATCH(LEFT(T107,10),'Referência LC 214'!$N$6:$N$967,0),IFERROR(MATCH(LEFT(T107,9),'Referência LC 214'!$N$6:$N$967,0),IFERROR(MATCH(LEFT(T107,8),'Referência LC 214'!$N$6:$N$967,0),IFERROR(MATCH(LEFT(T107,7),'Referência LC 214'!$N$6:$N$967,0),IFERROR(MATCH(LEFT(T107,6),'Referência LC 214'!$N$6:$N$967,0),IFERROR(MATCH(LEFT(T107,5),'Referência LC 214'!$N$6:$N$967,0),IFERROR(MATCH(LEFT(T107,4),'Referência LC 214'!$N$6:$N$967,0),IFERROR(MATCH(LEFT(T107,3),'Referência LC 214'!$N$6:$N$967,0),"")))))))))</f>
        <v/>
      </c>
    </row>
    <row r="108" customFormat="false" ht="15" hidden="false" customHeight="false" outlineLevel="0" collapsed="false">
      <c r="A108" s="23"/>
      <c r="B108" s="24"/>
      <c r="C108" s="25"/>
      <c r="D108" s="23"/>
      <c r="E108" s="23"/>
      <c r="F108" s="25"/>
      <c r="G108" s="26" t="str">
        <f aca="false">IF(T108="","",SUMPRODUCT(--(LEFT(T108,LEN('Referência LC 214'!$N$6:$N$967))='Referência LC 214'!$N$6:$N$967)))</f>
        <v/>
      </c>
      <c r="H108" s="27" t="str">
        <f aca="false">IF(T108="","",IF(U108="","000001",INDEX('Referência LC 214'!$I$6:$I$967,U108)))</f>
        <v/>
      </c>
      <c r="I108" s="28" t="str">
        <f aca="false">IF(T108="","",IF(U108="","Sem anexo: tributação integral",INDEX('Referência LC 214'!$H$6:$H$967,U108)))</f>
        <v/>
      </c>
      <c r="J108" s="29" t="str">
        <f aca="false">IF(T108="","",IF(U108="",0,INDEX('Referência LC 214'!$K$6:$K$967,U108)))</f>
        <v/>
      </c>
      <c r="K108" s="28" t="str">
        <f aca="false">IF(OR(T108="",U108=""),"","Anexo "&amp;INDEX('Referência LC 214'!$E$6:$E$967,U108)&amp;", item "&amp;INDEX('Referência LC 214'!$F$6:$F$967,U108)&amp;": "&amp;INDEX('Referência LC 214'!$G$6:$G$967,U108))</f>
        <v/>
      </c>
      <c r="L108" s="28" t="str">
        <f aca="false">IF(OR(T108="",U108=""),"",IF(INDEX('Referência LC 214'!$L$6:$L$967,U108)&amp;""&lt;&gt;"",INDEX('Referência LC 214'!$L$6:$L$967,U108)&amp;"",IF(SUMPRODUCT((LEFT(T108,LEN('Referência LC 214'!$N$6:$N$967))='Referência LC 214'!$N$6:$N$967)*('Referência LC 214'!$L$6:$L$967&lt;&gt;""))&gt;0,"Há outro tratamento só para alguns compradores (ex.: órgão público/SUS) — veja a referência","")))</f>
        <v/>
      </c>
      <c r="M108" s="30" t="str">
        <f aca="false">IF(T108="","",IF(AND(C108&lt;&gt;"Serviço",LEN(T108)-1&lt;&gt;8),"NCM deve ter 8 dígitos",IF(AND(C108="Serviço",LEN(T108)-1&lt;&gt;9),"NBS deve ter 9 dígitos",IF(L108&lt;&gt;"","Benefício depende do comprador: confira a coluna N",IF(G108&gt;1,"Mais de uma regra: confira o item do anexo na referência",IF(G108=0,"Sem redução na LC 214","Confira se o produto é o descrito no item"))))))</f>
        <v/>
      </c>
      <c r="N108" s="25"/>
      <c r="O108" s="23"/>
      <c r="P108" s="25"/>
      <c r="Q108" s="25"/>
      <c r="R108" s="31"/>
      <c r="S108" s="24"/>
      <c r="T108" s="4" t="str">
        <f aca="false">IF(D108="","",IF(C108="Serviço","S","P")&amp;SUBSTITUTE(SUBSTITUTE(SUBSTITUTE(D108,".",""),"-","")," ",""))</f>
        <v/>
      </c>
      <c r="U108" s="4" t="str">
        <f aca="false">IF(T108="","",IFERROR(MATCH(LEFT(T108,10),'Referência LC 214'!$N$6:$N$967,0),IFERROR(MATCH(LEFT(T108,9),'Referência LC 214'!$N$6:$N$967,0),IFERROR(MATCH(LEFT(T108,8),'Referência LC 214'!$N$6:$N$967,0),IFERROR(MATCH(LEFT(T108,7),'Referência LC 214'!$N$6:$N$967,0),IFERROR(MATCH(LEFT(T108,6),'Referência LC 214'!$N$6:$N$967,0),IFERROR(MATCH(LEFT(T108,5),'Referência LC 214'!$N$6:$N$967,0),IFERROR(MATCH(LEFT(T108,4),'Referência LC 214'!$N$6:$N$967,0),IFERROR(MATCH(LEFT(T108,3),'Referência LC 214'!$N$6:$N$967,0),"")))))))))</f>
        <v/>
      </c>
    </row>
    <row r="109" customFormat="false" ht="15" hidden="false" customHeight="false" outlineLevel="0" collapsed="false">
      <c r="A109" s="23"/>
      <c r="B109" s="24"/>
      <c r="C109" s="25"/>
      <c r="D109" s="23"/>
      <c r="E109" s="23"/>
      <c r="F109" s="25"/>
      <c r="G109" s="26" t="str">
        <f aca="false">IF(T109="","",SUMPRODUCT(--(LEFT(T109,LEN('Referência LC 214'!$N$6:$N$967))='Referência LC 214'!$N$6:$N$967)))</f>
        <v/>
      </c>
      <c r="H109" s="27" t="str">
        <f aca="false">IF(T109="","",IF(U109="","000001",INDEX('Referência LC 214'!$I$6:$I$967,U109)))</f>
        <v/>
      </c>
      <c r="I109" s="28" t="str">
        <f aca="false">IF(T109="","",IF(U109="","Sem anexo: tributação integral",INDEX('Referência LC 214'!$H$6:$H$967,U109)))</f>
        <v/>
      </c>
      <c r="J109" s="29" t="str">
        <f aca="false">IF(T109="","",IF(U109="",0,INDEX('Referência LC 214'!$K$6:$K$967,U109)))</f>
        <v/>
      </c>
      <c r="K109" s="28" t="str">
        <f aca="false">IF(OR(T109="",U109=""),"","Anexo "&amp;INDEX('Referência LC 214'!$E$6:$E$967,U109)&amp;", item "&amp;INDEX('Referência LC 214'!$F$6:$F$967,U109)&amp;": "&amp;INDEX('Referência LC 214'!$G$6:$G$967,U109))</f>
        <v/>
      </c>
      <c r="L109" s="28" t="str">
        <f aca="false">IF(OR(T109="",U109=""),"",IF(INDEX('Referência LC 214'!$L$6:$L$967,U109)&amp;""&lt;&gt;"",INDEX('Referência LC 214'!$L$6:$L$967,U109)&amp;"",IF(SUMPRODUCT((LEFT(T109,LEN('Referência LC 214'!$N$6:$N$967))='Referência LC 214'!$N$6:$N$967)*('Referência LC 214'!$L$6:$L$967&lt;&gt;""))&gt;0,"Há outro tratamento só para alguns compradores (ex.: órgão público/SUS) — veja a referência","")))</f>
        <v/>
      </c>
      <c r="M109" s="30" t="str">
        <f aca="false">IF(T109="","",IF(AND(C109&lt;&gt;"Serviço",LEN(T109)-1&lt;&gt;8),"NCM deve ter 8 dígitos",IF(AND(C109="Serviço",LEN(T109)-1&lt;&gt;9),"NBS deve ter 9 dígitos",IF(L109&lt;&gt;"","Benefício depende do comprador: confira a coluna N",IF(G109&gt;1,"Mais de uma regra: confira o item do anexo na referência",IF(G109=0,"Sem redução na LC 214","Confira se o produto é o descrito no item"))))))</f>
        <v/>
      </c>
      <c r="N109" s="25"/>
      <c r="O109" s="23"/>
      <c r="P109" s="25"/>
      <c r="Q109" s="25"/>
      <c r="R109" s="31"/>
      <c r="S109" s="24"/>
      <c r="T109" s="4" t="str">
        <f aca="false">IF(D109="","",IF(C109="Serviço","S","P")&amp;SUBSTITUTE(SUBSTITUTE(SUBSTITUTE(D109,".",""),"-","")," ",""))</f>
        <v/>
      </c>
      <c r="U109" s="4" t="str">
        <f aca="false">IF(T109="","",IFERROR(MATCH(LEFT(T109,10),'Referência LC 214'!$N$6:$N$967,0),IFERROR(MATCH(LEFT(T109,9),'Referência LC 214'!$N$6:$N$967,0),IFERROR(MATCH(LEFT(T109,8),'Referência LC 214'!$N$6:$N$967,0),IFERROR(MATCH(LEFT(T109,7),'Referência LC 214'!$N$6:$N$967,0),IFERROR(MATCH(LEFT(T109,6),'Referência LC 214'!$N$6:$N$967,0),IFERROR(MATCH(LEFT(T109,5),'Referência LC 214'!$N$6:$N$967,0),IFERROR(MATCH(LEFT(T109,4),'Referência LC 214'!$N$6:$N$967,0),IFERROR(MATCH(LEFT(T109,3),'Referência LC 214'!$N$6:$N$967,0),"")))))))))</f>
        <v/>
      </c>
    </row>
    <row r="110" customFormat="false" ht="15" hidden="false" customHeight="false" outlineLevel="0" collapsed="false">
      <c r="A110" s="23"/>
      <c r="B110" s="24"/>
      <c r="C110" s="25"/>
      <c r="D110" s="23"/>
      <c r="E110" s="23"/>
      <c r="F110" s="25"/>
      <c r="G110" s="26" t="str">
        <f aca="false">IF(T110="","",SUMPRODUCT(--(LEFT(T110,LEN('Referência LC 214'!$N$6:$N$967))='Referência LC 214'!$N$6:$N$967)))</f>
        <v/>
      </c>
      <c r="H110" s="27" t="str">
        <f aca="false">IF(T110="","",IF(U110="","000001",INDEX('Referência LC 214'!$I$6:$I$967,U110)))</f>
        <v/>
      </c>
      <c r="I110" s="28" t="str">
        <f aca="false">IF(T110="","",IF(U110="","Sem anexo: tributação integral",INDEX('Referência LC 214'!$H$6:$H$967,U110)))</f>
        <v/>
      </c>
      <c r="J110" s="29" t="str">
        <f aca="false">IF(T110="","",IF(U110="",0,INDEX('Referência LC 214'!$K$6:$K$967,U110)))</f>
        <v/>
      </c>
      <c r="K110" s="28" t="str">
        <f aca="false">IF(OR(T110="",U110=""),"","Anexo "&amp;INDEX('Referência LC 214'!$E$6:$E$967,U110)&amp;", item "&amp;INDEX('Referência LC 214'!$F$6:$F$967,U110)&amp;": "&amp;INDEX('Referência LC 214'!$G$6:$G$967,U110))</f>
        <v/>
      </c>
      <c r="L110" s="28" t="str">
        <f aca="false">IF(OR(T110="",U110=""),"",IF(INDEX('Referência LC 214'!$L$6:$L$967,U110)&amp;""&lt;&gt;"",INDEX('Referência LC 214'!$L$6:$L$967,U110)&amp;"",IF(SUMPRODUCT((LEFT(T110,LEN('Referência LC 214'!$N$6:$N$967))='Referência LC 214'!$N$6:$N$967)*('Referência LC 214'!$L$6:$L$967&lt;&gt;""))&gt;0,"Há outro tratamento só para alguns compradores (ex.: órgão público/SUS) — veja a referência","")))</f>
        <v/>
      </c>
      <c r="M110" s="30" t="str">
        <f aca="false">IF(T110="","",IF(AND(C110&lt;&gt;"Serviço",LEN(T110)-1&lt;&gt;8),"NCM deve ter 8 dígitos",IF(AND(C110="Serviço",LEN(T110)-1&lt;&gt;9),"NBS deve ter 9 dígitos",IF(L110&lt;&gt;"","Benefício depende do comprador: confira a coluna N",IF(G110&gt;1,"Mais de uma regra: confira o item do anexo na referência",IF(G110=0,"Sem redução na LC 214","Confira se o produto é o descrito no item"))))))</f>
        <v/>
      </c>
      <c r="N110" s="25"/>
      <c r="O110" s="23"/>
      <c r="P110" s="25"/>
      <c r="Q110" s="25"/>
      <c r="R110" s="31"/>
      <c r="S110" s="24"/>
      <c r="T110" s="4" t="str">
        <f aca="false">IF(D110="","",IF(C110="Serviço","S","P")&amp;SUBSTITUTE(SUBSTITUTE(SUBSTITUTE(D110,".",""),"-","")," ",""))</f>
        <v/>
      </c>
      <c r="U110" s="4" t="str">
        <f aca="false">IF(T110="","",IFERROR(MATCH(LEFT(T110,10),'Referência LC 214'!$N$6:$N$967,0),IFERROR(MATCH(LEFT(T110,9),'Referência LC 214'!$N$6:$N$967,0),IFERROR(MATCH(LEFT(T110,8),'Referência LC 214'!$N$6:$N$967,0),IFERROR(MATCH(LEFT(T110,7),'Referência LC 214'!$N$6:$N$967,0),IFERROR(MATCH(LEFT(T110,6),'Referência LC 214'!$N$6:$N$967,0),IFERROR(MATCH(LEFT(T110,5),'Referência LC 214'!$N$6:$N$967,0),IFERROR(MATCH(LEFT(T110,4),'Referência LC 214'!$N$6:$N$967,0),IFERROR(MATCH(LEFT(T110,3),'Referência LC 214'!$N$6:$N$967,0),"")))))))))</f>
        <v/>
      </c>
    </row>
    <row r="111" customFormat="false" ht="15" hidden="false" customHeight="false" outlineLevel="0" collapsed="false">
      <c r="A111" s="23"/>
      <c r="B111" s="24"/>
      <c r="C111" s="25"/>
      <c r="D111" s="23"/>
      <c r="E111" s="23"/>
      <c r="F111" s="25"/>
      <c r="G111" s="26" t="str">
        <f aca="false">IF(T111="","",SUMPRODUCT(--(LEFT(T111,LEN('Referência LC 214'!$N$6:$N$967))='Referência LC 214'!$N$6:$N$967)))</f>
        <v/>
      </c>
      <c r="H111" s="27" t="str">
        <f aca="false">IF(T111="","",IF(U111="","000001",INDEX('Referência LC 214'!$I$6:$I$967,U111)))</f>
        <v/>
      </c>
      <c r="I111" s="28" t="str">
        <f aca="false">IF(T111="","",IF(U111="","Sem anexo: tributação integral",INDEX('Referência LC 214'!$H$6:$H$967,U111)))</f>
        <v/>
      </c>
      <c r="J111" s="29" t="str">
        <f aca="false">IF(T111="","",IF(U111="",0,INDEX('Referência LC 214'!$K$6:$K$967,U111)))</f>
        <v/>
      </c>
      <c r="K111" s="28" t="str">
        <f aca="false">IF(OR(T111="",U111=""),"","Anexo "&amp;INDEX('Referência LC 214'!$E$6:$E$967,U111)&amp;", item "&amp;INDEX('Referência LC 214'!$F$6:$F$967,U111)&amp;": "&amp;INDEX('Referência LC 214'!$G$6:$G$967,U111))</f>
        <v/>
      </c>
      <c r="L111" s="28" t="str">
        <f aca="false">IF(OR(T111="",U111=""),"",IF(INDEX('Referência LC 214'!$L$6:$L$967,U111)&amp;""&lt;&gt;"",INDEX('Referência LC 214'!$L$6:$L$967,U111)&amp;"",IF(SUMPRODUCT((LEFT(T111,LEN('Referência LC 214'!$N$6:$N$967))='Referência LC 214'!$N$6:$N$967)*('Referência LC 214'!$L$6:$L$967&lt;&gt;""))&gt;0,"Há outro tratamento só para alguns compradores (ex.: órgão público/SUS) — veja a referência","")))</f>
        <v/>
      </c>
      <c r="M111" s="30" t="str">
        <f aca="false">IF(T111="","",IF(AND(C111&lt;&gt;"Serviço",LEN(T111)-1&lt;&gt;8),"NCM deve ter 8 dígitos",IF(AND(C111="Serviço",LEN(T111)-1&lt;&gt;9),"NBS deve ter 9 dígitos",IF(L111&lt;&gt;"","Benefício depende do comprador: confira a coluna N",IF(G111&gt;1,"Mais de uma regra: confira o item do anexo na referência",IF(G111=0,"Sem redução na LC 214","Confira se o produto é o descrito no item"))))))</f>
        <v/>
      </c>
      <c r="N111" s="25"/>
      <c r="O111" s="23"/>
      <c r="P111" s="25"/>
      <c r="Q111" s="25"/>
      <c r="R111" s="31"/>
      <c r="S111" s="24"/>
      <c r="T111" s="4" t="str">
        <f aca="false">IF(D111="","",IF(C111="Serviço","S","P")&amp;SUBSTITUTE(SUBSTITUTE(SUBSTITUTE(D111,".",""),"-","")," ",""))</f>
        <v/>
      </c>
      <c r="U111" s="4" t="str">
        <f aca="false">IF(T111="","",IFERROR(MATCH(LEFT(T111,10),'Referência LC 214'!$N$6:$N$967,0),IFERROR(MATCH(LEFT(T111,9),'Referência LC 214'!$N$6:$N$967,0),IFERROR(MATCH(LEFT(T111,8),'Referência LC 214'!$N$6:$N$967,0),IFERROR(MATCH(LEFT(T111,7),'Referência LC 214'!$N$6:$N$967,0),IFERROR(MATCH(LEFT(T111,6),'Referência LC 214'!$N$6:$N$967,0),IFERROR(MATCH(LEFT(T111,5),'Referência LC 214'!$N$6:$N$967,0),IFERROR(MATCH(LEFT(T111,4),'Referência LC 214'!$N$6:$N$967,0),IFERROR(MATCH(LEFT(T111,3),'Referência LC 214'!$N$6:$N$967,0),"")))))))))</f>
        <v/>
      </c>
    </row>
    <row r="112" customFormat="false" ht="15" hidden="false" customHeight="false" outlineLevel="0" collapsed="false">
      <c r="A112" s="23"/>
      <c r="B112" s="24"/>
      <c r="C112" s="25"/>
      <c r="D112" s="23"/>
      <c r="E112" s="23"/>
      <c r="F112" s="25"/>
      <c r="G112" s="26" t="str">
        <f aca="false">IF(T112="","",SUMPRODUCT(--(LEFT(T112,LEN('Referência LC 214'!$N$6:$N$967))='Referência LC 214'!$N$6:$N$967)))</f>
        <v/>
      </c>
      <c r="H112" s="27" t="str">
        <f aca="false">IF(T112="","",IF(U112="","000001",INDEX('Referência LC 214'!$I$6:$I$967,U112)))</f>
        <v/>
      </c>
      <c r="I112" s="28" t="str">
        <f aca="false">IF(T112="","",IF(U112="","Sem anexo: tributação integral",INDEX('Referência LC 214'!$H$6:$H$967,U112)))</f>
        <v/>
      </c>
      <c r="J112" s="29" t="str">
        <f aca="false">IF(T112="","",IF(U112="",0,INDEX('Referência LC 214'!$K$6:$K$967,U112)))</f>
        <v/>
      </c>
      <c r="K112" s="28" t="str">
        <f aca="false">IF(OR(T112="",U112=""),"","Anexo "&amp;INDEX('Referência LC 214'!$E$6:$E$967,U112)&amp;", item "&amp;INDEX('Referência LC 214'!$F$6:$F$967,U112)&amp;": "&amp;INDEX('Referência LC 214'!$G$6:$G$967,U112))</f>
        <v/>
      </c>
      <c r="L112" s="28" t="str">
        <f aca="false">IF(OR(T112="",U112=""),"",IF(INDEX('Referência LC 214'!$L$6:$L$967,U112)&amp;""&lt;&gt;"",INDEX('Referência LC 214'!$L$6:$L$967,U112)&amp;"",IF(SUMPRODUCT((LEFT(T112,LEN('Referência LC 214'!$N$6:$N$967))='Referência LC 214'!$N$6:$N$967)*('Referência LC 214'!$L$6:$L$967&lt;&gt;""))&gt;0,"Há outro tratamento só para alguns compradores (ex.: órgão público/SUS) — veja a referência","")))</f>
        <v/>
      </c>
      <c r="M112" s="30" t="str">
        <f aca="false">IF(T112="","",IF(AND(C112&lt;&gt;"Serviço",LEN(T112)-1&lt;&gt;8),"NCM deve ter 8 dígitos",IF(AND(C112="Serviço",LEN(T112)-1&lt;&gt;9),"NBS deve ter 9 dígitos",IF(L112&lt;&gt;"","Benefício depende do comprador: confira a coluna N",IF(G112&gt;1,"Mais de uma regra: confira o item do anexo na referência",IF(G112=0,"Sem redução na LC 214","Confira se o produto é o descrito no item"))))))</f>
        <v/>
      </c>
      <c r="N112" s="25"/>
      <c r="O112" s="23"/>
      <c r="P112" s="25"/>
      <c r="Q112" s="25"/>
      <c r="R112" s="31"/>
      <c r="S112" s="24"/>
      <c r="T112" s="4" t="str">
        <f aca="false">IF(D112="","",IF(C112="Serviço","S","P")&amp;SUBSTITUTE(SUBSTITUTE(SUBSTITUTE(D112,".",""),"-","")," ",""))</f>
        <v/>
      </c>
      <c r="U112" s="4" t="str">
        <f aca="false">IF(T112="","",IFERROR(MATCH(LEFT(T112,10),'Referência LC 214'!$N$6:$N$967,0),IFERROR(MATCH(LEFT(T112,9),'Referência LC 214'!$N$6:$N$967,0),IFERROR(MATCH(LEFT(T112,8),'Referência LC 214'!$N$6:$N$967,0),IFERROR(MATCH(LEFT(T112,7),'Referência LC 214'!$N$6:$N$967,0),IFERROR(MATCH(LEFT(T112,6),'Referência LC 214'!$N$6:$N$967,0),IFERROR(MATCH(LEFT(T112,5),'Referência LC 214'!$N$6:$N$967,0),IFERROR(MATCH(LEFT(T112,4),'Referência LC 214'!$N$6:$N$967,0),IFERROR(MATCH(LEFT(T112,3),'Referência LC 214'!$N$6:$N$967,0),"")))))))))</f>
        <v/>
      </c>
    </row>
    <row r="113" customFormat="false" ht="15" hidden="false" customHeight="false" outlineLevel="0" collapsed="false">
      <c r="A113" s="23"/>
      <c r="B113" s="24"/>
      <c r="C113" s="25"/>
      <c r="D113" s="23"/>
      <c r="E113" s="23"/>
      <c r="F113" s="25"/>
      <c r="G113" s="26" t="str">
        <f aca="false">IF(T113="","",SUMPRODUCT(--(LEFT(T113,LEN('Referência LC 214'!$N$6:$N$967))='Referência LC 214'!$N$6:$N$967)))</f>
        <v/>
      </c>
      <c r="H113" s="27" t="str">
        <f aca="false">IF(T113="","",IF(U113="","000001",INDEX('Referência LC 214'!$I$6:$I$967,U113)))</f>
        <v/>
      </c>
      <c r="I113" s="28" t="str">
        <f aca="false">IF(T113="","",IF(U113="","Sem anexo: tributação integral",INDEX('Referência LC 214'!$H$6:$H$967,U113)))</f>
        <v/>
      </c>
      <c r="J113" s="29" t="str">
        <f aca="false">IF(T113="","",IF(U113="",0,INDEX('Referência LC 214'!$K$6:$K$967,U113)))</f>
        <v/>
      </c>
      <c r="K113" s="28" t="str">
        <f aca="false">IF(OR(T113="",U113=""),"","Anexo "&amp;INDEX('Referência LC 214'!$E$6:$E$967,U113)&amp;", item "&amp;INDEX('Referência LC 214'!$F$6:$F$967,U113)&amp;": "&amp;INDEX('Referência LC 214'!$G$6:$G$967,U113))</f>
        <v/>
      </c>
      <c r="L113" s="28" t="str">
        <f aca="false">IF(OR(T113="",U113=""),"",IF(INDEX('Referência LC 214'!$L$6:$L$967,U113)&amp;""&lt;&gt;"",INDEX('Referência LC 214'!$L$6:$L$967,U113)&amp;"",IF(SUMPRODUCT((LEFT(T113,LEN('Referência LC 214'!$N$6:$N$967))='Referência LC 214'!$N$6:$N$967)*('Referência LC 214'!$L$6:$L$967&lt;&gt;""))&gt;0,"Há outro tratamento só para alguns compradores (ex.: órgão público/SUS) — veja a referência","")))</f>
        <v/>
      </c>
      <c r="M113" s="30" t="str">
        <f aca="false">IF(T113="","",IF(AND(C113&lt;&gt;"Serviço",LEN(T113)-1&lt;&gt;8),"NCM deve ter 8 dígitos",IF(AND(C113="Serviço",LEN(T113)-1&lt;&gt;9),"NBS deve ter 9 dígitos",IF(L113&lt;&gt;"","Benefício depende do comprador: confira a coluna N",IF(G113&gt;1,"Mais de uma regra: confira o item do anexo na referência",IF(G113=0,"Sem redução na LC 214","Confira se o produto é o descrito no item"))))))</f>
        <v/>
      </c>
      <c r="N113" s="25"/>
      <c r="O113" s="23"/>
      <c r="P113" s="25"/>
      <c r="Q113" s="25"/>
      <c r="R113" s="31"/>
      <c r="S113" s="24"/>
      <c r="T113" s="4" t="str">
        <f aca="false">IF(D113="","",IF(C113="Serviço","S","P")&amp;SUBSTITUTE(SUBSTITUTE(SUBSTITUTE(D113,".",""),"-","")," ",""))</f>
        <v/>
      </c>
      <c r="U113" s="4" t="str">
        <f aca="false">IF(T113="","",IFERROR(MATCH(LEFT(T113,10),'Referência LC 214'!$N$6:$N$967,0),IFERROR(MATCH(LEFT(T113,9),'Referência LC 214'!$N$6:$N$967,0),IFERROR(MATCH(LEFT(T113,8),'Referência LC 214'!$N$6:$N$967,0),IFERROR(MATCH(LEFT(T113,7),'Referência LC 214'!$N$6:$N$967,0),IFERROR(MATCH(LEFT(T113,6),'Referência LC 214'!$N$6:$N$967,0),IFERROR(MATCH(LEFT(T113,5),'Referência LC 214'!$N$6:$N$967,0),IFERROR(MATCH(LEFT(T113,4),'Referência LC 214'!$N$6:$N$967,0),IFERROR(MATCH(LEFT(T113,3),'Referência LC 214'!$N$6:$N$967,0),"")))))))))</f>
        <v/>
      </c>
    </row>
    <row r="114" customFormat="false" ht="15" hidden="false" customHeight="false" outlineLevel="0" collapsed="false">
      <c r="A114" s="23"/>
      <c r="B114" s="24"/>
      <c r="C114" s="25"/>
      <c r="D114" s="23"/>
      <c r="E114" s="23"/>
      <c r="F114" s="25"/>
      <c r="G114" s="26" t="str">
        <f aca="false">IF(T114="","",SUMPRODUCT(--(LEFT(T114,LEN('Referência LC 214'!$N$6:$N$967))='Referência LC 214'!$N$6:$N$967)))</f>
        <v/>
      </c>
      <c r="H114" s="27" t="str">
        <f aca="false">IF(T114="","",IF(U114="","000001",INDEX('Referência LC 214'!$I$6:$I$967,U114)))</f>
        <v/>
      </c>
      <c r="I114" s="28" t="str">
        <f aca="false">IF(T114="","",IF(U114="","Sem anexo: tributação integral",INDEX('Referência LC 214'!$H$6:$H$967,U114)))</f>
        <v/>
      </c>
      <c r="J114" s="29" t="str">
        <f aca="false">IF(T114="","",IF(U114="",0,INDEX('Referência LC 214'!$K$6:$K$967,U114)))</f>
        <v/>
      </c>
      <c r="K114" s="28" t="str">
        <f aca="false">IF(OR(T114="",U114=""),"","Anexo "&amp;INDEX('Referência LC 214'!$E$6:$E$967,U114)&amp;", item "&amp;INDEX('Referência LC 214'!$F$6:$F$967,U114)&amp;": "&amp;INDEX('Referência LC 214'!$G$6:$G$967,U114))</f>
        <v/>
      </c>
      <c r="L114" s="28" t="str">
        <f aca="false">IF(OR(T114="",U114=""),"",IF(INDEX('Referência LC 214'!$L$6:$L$967,U114)&amp;""&lt;&gt;"",INDEX('Referência LC 214'!$L$6:$L$967,U114)&amp;"",IF(SUMPRODUCT((LEFT(T114,LEN('Referência LC 214'!$N$6:$N$967))='Referência LC 214'!$N$6:$N$967)*('Referência LC 214'!$L$6:$L$967&lt;&gt;""))&gt;0,"Há outro tratamento só para alguns compradores (ex.: órgão público/SUS) — veja a referência","")))</f>
        <v/>
      </c>
      <c r="M114" s="30" t="str">
        <f aca="false">IF(T114="","",IF(AND(C114&lt;&gt;"Serviço",LEN(T114)-1&lt;&gt;8),"NCM deve ter 8 dígitos",IF(AND(C114="Serviço",LEN(T114)-1&lt;&gt;9),"NBS deve ter 9 dígitos",IF(L114&lt;&gt;"","Benefício depende do comprador: confira a coluna N",IF(G114&gt;1,"Mais de uma regra: confira o item do anexo na referência",IF(G114=0,"Sem redução na LC 214","Confira se o produto é o descrito no item"))))))</f>
        <v/>
      </c>
      <c r="N114" s="25"/>
      <c r="O114" s="23"/>
      <c r="P114" s="25"/>
      <c r="Q114" s="25"/>
      <c r="R114" s="31"/>
      <c r="S114" s="24"/>
      <c r="T114" s="4" t="str">
        <f aca="false">IF(D114="","",IF(C114="Serviço","S","P")&amp;SUBSTITUTE(SUBSTITUTE(SUBSTITUTE(D114,".",""),"-","")," ",""))</f>
        <v/>
      </c>
      <c r="U114" s="4" t="str">
        <f aca="false">IF(T114="","",IFERROR(MATCH(LEFT(T114,10),'Referência LC 214'!$N$6:$N$967,0),IFERROR(MATCH(LEFT(T114,9),'Referência LC 214'!$N$6:$N$967,0),IFERROR(MATCH(LEFT(T114,8),'Referência LC 214'!$N$6:$N$967,0),IFERROR(MATCH(LEFT(T114,7),'Referência LC 214'!$N$6:$N$967,0),IFERROR(MATCH(LEFT(T114,6),'Referência LC 214'!$N$6:$N$967,0),IFERROR(MATCH(LEFT(T114,5),'Referência LC 214'!$N$6:$N$967,0),IFERROR(MATCH(LEFT(T114,4),'Referência LC 214'!$N$6:$N$967,0),IFERROR(MATCH(LEFT(T114,3),'Referência LC 214'!$N$6:$N$967,0),"")))))))))</f>
        <v/>
      </c>
    </row>
    <row r="115" customFormat="false" ht="15" hidden="false" customHeight="false" outlineLevel="0" collapsed="false">
      <c r="A115" s="23"/>
      <c r="B115" s="24"/>
      <c r="C115" s="25"/>
      <c r="D115" s="23"/>
      <c r="E115" s="23"/>
      <c r="F115" s="25"/>
      <c r="G115" s="26" t="str">
        <f aca="false">IF(T115="","",SUMPRODUCT(--(LEFT(T115,LEN('Referência LC 214'!$N$6:$N$967))='Referência LC 214'!$N$6:$N$967)))</f>
        <v/>
      </c>
      <c r="H115" s="27" t="str">
        <f aca="false">IF(T115="","",IF(U115="","000001",INDEX('Referência LC 214'!$I$6:$I$967,U115)))</f>
        <v/>
      </c>
      <c r="I115" s="28" t="str">
        <f aca="false">IF(T115="","",IF(U115="","Sem anexo: tributação integral",INDEX('Referência LC 214'!$H$6:$H$967,U115)))</f>
        <v/>
      </c>
      <c r="J115" s="29" t="str">
        <f aca="false">IF(T115="","",IF(U115="",0,INDEX('Referência LC 214'!$K$6:$K$967,U115)))</f>
        <v/>
      </c>
      <c r="K115" s="28" t="str">
        <f aca="false">IF(OR(T115="",U115=""),"","Anexo "&amp;INDEX('Referência LC 214'!$E$6:$E$967,U115)&amp;", item "&amp;INDEX('Referência LC 214'!$F$6:$F$967,U115)&amp;": "&amp;INDEX('Referência LC 214'!$G$6:$G$967,U115))</f>
        <v/>
      </c>
      <c r="L115" s="28" t="str">
        <f aca="false">IF(OR(T115="",U115=""),"",IF(INDEX('Referência LC 214'!$L$6:$L$967,U115)&amp;""&lt;&gt;"",INDEX('Referência LC 214'!$L$6:$L$967,U115)&amp;"",IF(SUMPRODUCT((LEFT(T115,LEN('Referência LC 214'!$N$6:$N$967))='Referência LC 214'!$N$6:$N$967)*('Referência LC 214'!$L$6:$L$967&lt;&gt;""))&gt;0,"Há outro tratamento só para alguns compradores (ex.: órgão público/SUS) — veja a referência","")))</f>
        <v/>
      </c>
      <c r="M115" s="30" t="str">
        <f aca="false">IF(T115="","",IF(AND(C115&lt;&gt;"Serviço",LEN(T115)-1&lt;&gt;8),"NCM deve ter 8 dígitos",IF(AND(C115="Serviço",LEN(T115)-1&lt;&gt;9),"NBS deve ter 9 dígitos",IF(L115&lt;&gt;"","Benefício depende do comprador: confira a coluna N",IF(G115&gt;1,"Mais de uma regra: confira o item do anexo na referência",IF(G115=0,"Sem redução na LC 214","Confira se o produto é o descrito no item"))))))</f>
        <v/>
      </c>
      <c r="N115" s="25"/>
      <c r="O115" s="23"/>
      <c r="P115" s="25"/>
      <c r="Q115" s="25"/>
      <c r="R115" s="31"/>
      <c r="S115" s="24"/>
      <c r="T115" s="4" t="str">
        <f aca="false">IF(D115="","",IF(C115="Serviço","S","P")&amp;SUBSTITUTE(SUBSTITUTE(SUBSTITUTE(D115,".",""),"-","")," ",""))</f>
        <v/>
      </c>
      <c r="U115" s="4" t="str">
        <f aca="false">IF(T115="","",IFERROR(MATCH(LEFT(T115,10),'Referência LC 214'!$N$6:$N$967,0),IFERROR(MATCH(LEFT(T115,9),'Referência LC 214'!$N$6:$N$967,0),IFERROR(MATCH(LEFT(T115,8),'Referência LC 214'!$N$6:$N$967,0),IFERROR(MATCH(LEFT(T115,7),'Referência LC 214'!$N$6:$N$967,0),IFERROR(MATCH(LEFT(T115,6),'Referência LC 214'!$N$6:$N$967,0),IFERROR(MATCH(LEFT(T115,5),'Referência LC 214'!$N$6:$N$967,0),IFERROR(MATCH(LEFT(T115,4),'Referência LC 214'!$N$6:$N$967,0),IFERROR(MATCH(LEFT(T115,3),'Referência LC 214'!$N$6:$N$967,0),"")))))))))</f>
        <v/>
      </c>
    </row>
    <row r="116" customFormat="false" ht="15" hidden="false" customHeight="false" outlineLevel="0" collapsed="false">
      <c r="A116" s="23"/>
      <c r="B116" s="24"/>
      <c r="C116" s="25"/>
      <c r="D116" s="23"/>
      <c r="E116" s="23"/>
      <c r="F116" s="25"/>
      <c r="G116" s="26" t="str">
        <f aca="false">IF(T116="","",SUMPRODUCT(--(LEFT(T116,LEN('Referência LC 214'!$N$6:$N$967))='Referência LC 214'!$N$6:$N$967)))</f>
        <v/>
      </c>
      <c r="H116" s="27" t="str">
        <f aca="false">IF(T116="","",IF(U116="","000001",INDEX('Referência LC 214'!$I$6:$I$967,U116)))</f>
        <v/>
      </c>
      <c r="I116" s="28" t="str">
        <f aca="false">IF(T116="","",IF(U116="","Sem anexo: tributação integral",INDEX('Referência LC 214'!$H$6:$H$967,U116)))</f>
        <v/>
      </c>
      <c r="J116" s="29" t="str">
        <f aca="false">IF(T116="","",IF(U116="",0,INDEX('Referência LC 214'!$K$6:$K$967,U116)))</f>
        <v/>
      </c>
      <c r="K116" s="28" t="str">
        <f aca="false">IF(OR(T116="",U116=""),"","Anexo "&amp;INDEX('Referência LC 214'!$E$6:$E$967,U116)&amp;", item "&amp;INDEX('Referência LC 214'!$F$6:$F$967,U116)&amp;": "&amp;INDEX('Referência LC 214'!$G$6:$G$967,U116))</f>
        <v/>
      </c>
      <c r="L116" s="28" t="str">
        <f aca="false">IF(OR(T116="",U116=""),"",IF(INDEX('Referência LC 214'!$L$6:$L$967,U116)&amp;""&lt;&gt;"",INDEX('Referência LC 214'!$L$6:$L$967,U116)&amp;"",IF(SUMPRODUCT((LEFT(T116,LEN('Referência LC 214'!$N$6:$N$967))='Referência LC 214'!$N$6:$N$967)*('Referência LC 214'!$L$6:$L$967&lt;&gt;""))&gt;0,"Há outro tratamento só para alguns compradores (ex.: órgão público/SUS) — veja a referência","")))</f>
        <v/>
      </c>
      <c r="M116" s="30" t="str">
        <f aca="false">IF(T116="","",IF(AND(C116&lt;&gt;"Serviço",LEN(T116)-1&lt;&gt;8),"NCM deve ter 8 dígitos",IF(AND(C116="Serviço",LEN(T116)-1&lt;&gt;9),"NBS deve ter 9 dígitos",IF(L116&lt;&gt;"","Benefício depende do comprador: confira a coluna N",IF(G116&gt;1,"Mais de uma regra: confira o item do anexo na referência",IF(G116=0,"Sem redução na LC 214","Confira se o produto é o descrito no item"))))))</f>
        <v/>
      </c>
      <c r="N116" s="25"/>
      <c r="O116" s="23"/>
      <c r="P116" s="25"/>
      <c r="Q116" s="25"/>
      <c r="R116" s="31"/>
      <c r="S116" s="24"/>
      <c r="T116" s="4" t="str">
        <f aca="false">IF(D116="","",IF(C116="Serviço","S","P")&amp;SUBSTITUTE(SUBSTITUTE(SUBSTITUTE(D116,".",""),"-","")," ",""))</f>
        <v/>
      </c>
      <c r="U116" s="4" t="str">
        <f aca="false">IF(T116="","",IFERROR(MATCH(LEFT(T116,10),'Referência LC 214'!$N$6:$N$967,0),IFERROR(MATCH(LEFT(T116,9),'Referência LC 214'!$N$6:$N$967,0),IFERROR(MATCH(LEFT(T116,8),'Referência LC 214'!$N$6:$N$967,0),IFERROR(MATCH(LEFT(T116,7),'Referência LC 214'!$N$6:$N$967,0),IFERROR(MATCH(LEFT(T116,6),'Referência LC 214'!$N$6:$N$967,0),IFERROR(MATCH(LEFT(T116,5),'Referência LC 214'!$N$6:$N$967,0),IFERROR(MATCH(LEFT(T116,4),'Referência LC 214'!$N$6:$N$967,0),IFERROR(MATCH(LEFT(T116,3),'Referência LC 214'!$N$6:$N$967,0),"")))))))))</f>
        <v/>
      </c>
    </row>
    <row r="117" customFormat="false" ht="15" hidden="false" customHeight="false" outlineLevel="0" collapsed="false">
      <c r="A117" s="23"/>
      <c r="B117" s="24"/>
      <c r="C117" s="25"/>
      <c r="D117" s="23"/>
      <c r="E117" s="23"/>
      <c r="F117" s="25"/>
      <c r="G117" s="26" t="str">
        <f aca="false">IF(T117="","",SUMPRODUCT(--(LEFT(T117,LEN('Referência LC 214'!$N$6:$N$967))='Referência LC 214'!$N$6:$N$967)))</f>
        <v/>
      </c>
      <c r="H117" s="27" t="str">
        <f aca="false">IF(T117="","",IF(U117="","000001",INDEX('Referência LC 214'!$I$6:$I$967,U117)))</f>
        <v/>
      </c>
      <c r="I117" s="28" t="str">
        <f aca="false">IF(T117="","",IF(U117="","Sem anexo: tributação integral",INDEX('Referência LC 214'!$H$6:$H$967,U117)))</f>
        <v/>
      </c>
      <c r="J117" s="29" t="str">
        <f aca="false">IF(T117="","",IF(U117="",0,INDEX('Referência LC 214'!$K$6:$K$967,U117)))</f>
        <v/>
      </c>
      <c r="K117" s="28" t="str">
        <f aca="false">IF(OR(T117="",U117=""),"","Anexo "&amp;INDEX('Referência LC 214'!$E$6:$E$967,U117)&amp;", item "&amp;INDEX('Referência LC 214'!$F$6:$F$967,U117)&amp;": "&amp;INDEX('Referência LC 214'!$G$6:$G$967,U117))</f>
        <v/>
      </c>
      <c r="L117" s="28" t="str">
        <f aca="false">IF(OR(T117="",U117=""),"",IF(INDEX('Referência LC 214'!$L$6:$L$967,U117)&amp;""&lt;&gt;"",INDEX('Referência LC 214'!$L$6:$L$967,U117)&amp;"",IF(SUMPRODUCT((LEFT(T117,LEN('Referência LC 214'!$N$6:$N$967))='Referência LC 214'!$N$6:$N$967)*('Referência LC 214'!$L$6:$L$967&lt;&gt;""))&gt;0,"Há outro tratamento só para alguns compradores (ex.: órgão público/SUS) — veja a referência","")))</f>
        <v/>
      </c>
      <c r="M117" s="30" t="str">
        <f aca="false">IF(T117="","",IF(AND(C117&lt;&gt;"Serviço",LEN(T117)-1&lt;&gt;8),"NCM deve ter 8 dígitos",IF(AND(C117="Serviço",LEN(T117)-1&lt;&gt;9),"NBS deve ter 9 dígitos",IF(L117&lt;&gt;"","Benefício depende do comprador: confira a coluna N",IF(G117&gt;1,"Mais de uma regra: confira o item do anexo na referência",IF(G117=0,"Sem redução na LC 214","Confira se o produto é o descrito no item"))))))</f>
        <v/>
      </c>
      <c r="N117" s="25"/>
      <c r="O117" s="23"/>
      <c r="P117" s="25"/>
      <c r="Q117" s="25"/>
      <c r="R117" s="31"/>
      <c r="S117" s="24"/>
      <c r="T117" s="4" t="str">
        <f aca="false">IF(D117="","",IF(C117="Serviço","S","P")&amp;SUBSTITUTE(SUBSTITUTE(SUBSTITUTE(D117,".",""),"-","")," ",""))</f>
        <v/>
      </c>
      <c r="U117" s="4" t="str">
        <f aca="false">IF(T117="","",IFERROR(MATCH(LEFT(T117,10),'Referência LC 214'!$N$6:$N$967,0),IFERROR(MATCH(LEFT(T117,9),'Referência LC 214'!$N$6:$N$967,0),IFERROR(MATCH(LEFT(T117,8),'Referência LC 214'!$N$6:$N$967,0),IFERROR(MATCH(LEFT(T117,7),'Referência LC 214'!$N$6:$N$967,0),IFERROR(MATCH(LEFT(T117,6),'Referência LC 214'!$N$6:$N$967,0),IFERROR(MATCH(LEFT(T117,5),'Referência LC 214'!$N$6:$N$967,0),IFERROR(MATCH(LEFT(T117,4),'Referência LC 214'!$N$6:$N$967,0),IFERROR(MATCH(LEFT(T117,3),'Referência LC 214'!$N$6:$N$967,0),"")))))))))</f>
        <v/>
      </c>
    </row>
    <row r="118" customFormat="false" ht="15" hidden="false" customHeight="false" outlineLevel="0" collapsed="false">
      <c r="A118" s="23"/>
      <c r="B118" s="24"/>
      <c r="C118" s="25"/>
      <c r="D118" s="23"/>
      <c r="E118" s="23"/>
      <c r="F118" s="25"/>
      <c r="G118" s="26" t="str">
        <f aca="false">IF(T118="","",SUMPRODUCT(--(LEFT(T118,LEN('Referência LC 214'!$N$6:$N$967))='Referência LC 214'!$N$6:$N$967)))</f>
        <v/>
      </c>
      <c r="H118" s="27" t="str">
        <f aca="false">IF(T118="","",IF(U118="","000001",INDEX('Referência LC 214'!$I$6:$I$967,U118)))</f>
        <v/>
      </c>
      <c r="I118" s="28" t="str">
        <f aca="false">IF(T118="","",IF(U118="","Sem anexo: tributação integral",INDEX('Referência LC 214'!$H$6:$H$967,U118)))</f>
        <v/>
      </c>
      <c r="J118" s="29" t="str">
        <f aca="false">IF(T118="","",IF(U118="",0,INDEX('Referência LC 214'!$K$6:$K$967,U118)))</f>
        <v/>
      </c>
      <c r="K118" s="28" t="str">
        <f aca="false">IF(OR(T118="",U118=""),"","Anexo "&amp;INDEX('Referência LC 214'!$E$6:$E$967,U118)&amp;", item "&amp;INDEX('Referência LC 214'!$F$6:$F$967,U118)&amp;": "&amp;INDEX('Referência LC 214'!$G$6:$G$967,U118))</f>
        <v/>
      </c>
      <c r="L118" s="28" t="str">
        <f aca="false">IF(OR(T118="",U118=""),"",IF(INDEX('Referência LC 214'!$L$6:$L$967,U118)&amp;""&lt;&gt;"",INDEX('Referência LC 214'!$L$6:$L$967,U118)&amp;"",IF(SUMPRODUCT((LEFT(T118,LEN('Referência LC 214'!$N$6:$N$967))='Referência LC 214'!$N$6:$N$967)*('Referência LC 214'!$L$6:$L$967&lt;&gt;""))&gt;0,"Há outro tratamento só para alguns compradores (ex.: órgão público/SUS) — veja a referência","")))</f>
        <v/>
      </c>
      <c r="M118" s="30" t="str">
        <f aca="false">IF(T118="","",IF(AND(C118&lt;&gt;"Serviço",LEN(T118)-1&lt;&gt;8),"NCM deve ter 8 dígitos",IF(AND(C118="Serviço",LEN(T118)-1&lt;&gt;9),"NBS deve ter 9 dígitos",IF(L118&lt;&gt;"","Benefício depende do comprador: confira a coluna N",IF(G118&gt;1,"Mais de uma regra: confira o item do anexo na referência",IF(G118=0,"Sem redução na LC 214","Confira se o produto é o descrito no item"))))))</f>
        <v/>
      </c>
      <c r="N118" s="25"/>
      <c r="O118" s="23"/>
      <c r="P118" s="25"/>
      <c r="Q118" s="25"/>
      <c r="R118" s="31"/>
      <c r="S118" s="24"/>
      <c r="T118" s="4" t="str">
        <f aca="false">IF(D118="","",IF(C118="Serviço","S","P")&amp;SUBSTITUTE(SUBSTITUTE(SUBSTITUTE(D118,".",""),"-","")," ",""))</f>
        <v/>
      </c>
      <c r="U118" s="4" t="str">
        <f aca="false">IF(T118="","",IFERROR(MATCH(LEFT(T118,10),'Referência LC 214'!$N$6:$N$967,0),IFERROR(MATCH(LEFT(T118,9),'Referência LC 214'!$N$6:$N$967,0),IFERROR(MATCH(LEFT(T118,8),'Referência LC 214'!$N$6:$N$967,0),IFERROR(MATCH(LEFT(T118,7),'Referência LC 214'!$N$6:$N$967,0),IFERROR(MATCH(LEFT(T118,6),'Referência LC 214'!$N$6:$N$967,0),IFERROR(MATCH(LEFT(T118,5),'Referência LC 214'!$N$6:$N$967,0),IFERROR(MATCH(LEFT(T118,4),'Referência LC 214'!$N$6:$N$967,0),IFERROR(MATCH(LEFT(T118,3),'Referência LC 214'!$N$6:$N$967,0),"")))))))))</f>
        <v/>
      </c>
    </row>
    <row r="119" customFormat="false" ht="15" hidden="false" customHeight="false" outlineLevel="0" collapsed="false">
      <c r="A119" s="23"/>
      <c r="B119" s="24"/>
      <c r="C119" s="25"/>
      <c r="D119" s="23"/>
      <c r="E119" s="23"/>
      <c r="F119" s="25"/>
      <c r="G119" s="26" t="str">
        <f aca="false">IF(T119="","",SUMPRODUCT(--(LEFT(T119,LEN('Referência LC 214'!$N$6:$N$967))='Referência LC 214'!$N$6:$N$967)))</f>
        <v/>
      </c>
      <c r="H119" s="27" t="str">
        <f aca="false">IF(T119="","",IF(U119="","000001",INDEX('Referência LC 214'!$I$6:$I$967,U119)))</f>
        <v/>
      </c>
      <c r="I119" s="28" t="str">
        <f aca="false">IF(T119="","",IF(U119="","Sem anexo: tributação integral",INDEX('Referência LC 214'!$H$6:$H$967,U119)))</f>
        <v/>
      </c>
      <c r="J119" s="29" t="str">
        <f aca="false">IF(T119="","",IF(U119="",0,INDEX('Referência LC 214'!$K$6:$K$967,U119)))</f>
        <v/>
      </c>
      <c r="K119" s="28" t="str">
        <f aca="false">IF(OR(T119="",U119=""),"","Anexo "&amp;INDEX('Referência LC 214'!$E$6:$E$967,U119)&amp;", item "&amp;INDEX('Referência LC 214'!$F$6:$F$967,U119)&amp;": "&amp;INDEX('Referência LC 214'!$G$6:$G$967,U119))</f>
        <v/>
      </c>
      <c r="L119" s="28" t="str">
        <f aca="false">IF(OR(T119="",U119=""),"",IF(INDEX('Referência LC 214'!$L$6:$L$967,U119)&amp;""&lt;&gt;"",INDEX('Referência LC 214'!$L$6:$L$967,U119)&amp;"",IF(SUMPRODUCT((LEFT(T119,LEN('Referência LC 214'!$N$6:$N$967))='Referência LC 214'!$N$6:$N$967)*('Referência LC 214'!$L$6:$L$967&lt;&gt;""))&gt;0,"Há outro tratamento só para alguns compradores (ex.: órgão público/SUS) — veja a referência","")))</f>
        <v/>
      </c>
      <c r="M119" s="30" t="str">
        <f aca="false">IF(T119="","",IF(AND(C119&lt;&gt;"Serviço",LEN(T119)-1&lt;&gt;8),"NCM deve ter 8 dígitos",IF(AND(C119="Serviço",LEN(T119)-1&lt;&gt;9),"NBS deve ter 9 dígitos",IF(L119&lt;&gt;"","Benefício depende do comprador: confira a coluna N",IF(G119&gt;1,"Mais de uma regra: confira o item do anexo na referência",IF(G119=0,"Sem redução na LC 214","Confira se o produto é o descrito no item"))))))</f>
        <v/>
      </c>
      <c r="N119" s="25"/>
      <c r="O119" s="23"/>
      <c r="P119" s="25"/>
      <c r="Q119" s="25"/>
      <c r="R119" s="31"/>
      <c r="S119" s="24"/>
      <c r="T119" s="4" t="str">
        <f aca="false">IF(D119="","",IF(C119="Serviço","S","P")&amp;SUBSTITUTE(SUBSTITUTE(SUBSTITUTE(D119,".",""),"-","")," ",""))</f>
        <v/>
      </c>
      <c r="U119" s="4" t="str">
        <f aca="false">IF(T119="","",IFERROR(MATCH(LEFT(T119,10),'Referência LC 214'!$N$6:$N$967,0),IFERROR(MATCH(LEFT(T119,9),'Referência LC 214'!$N$6:$N$967,0),IFERROR(MATCH(LEFT(T119,8),'Referência LC 214'!$N$6:$N$967,0),IFERROR(MATCH(LEFT(T119,7),'Referência LC 214'!$N$6:$N$967,0),IFERROR(MATCH(LEFT(T119,6),'Referência LC 214'!$N$6:$N$967,0),IFERROR(MATCH(LEFT(T119,5),'Referência LC 214'!$N$6:$N$967,0),IFERROR(MATCH(LEFT(T119,4),'Referência LC 214'!$N$6:$N$967,0),IFERROR(MATCH(LEFT(T119,3),'Referência LC 214'!$N$6:$N$967,0),"")))))))))</f>
        <v/>
      </c>
    </row>
    <row r="120" customFormat="false" ht="15" hidden="false" customHeight="false" outlineLevel="0" collapsed="false">
      <c r="A120" s="23"/>
      <c r="B120" s="24"/>
      <c r="C120" s="25"/>
      <c r="D120" s="23"/>
      <c r="E120" s="23"/>
      <c r="F120" s="25"/>
      <c r="G120" s="26" t="str">
        <f aca="false">IF(T120="","",SUMPRODUCT(--(LEFT(T120,LEN('Referência LC 214'!$N$6:$N$967))='Referência LC 214'!$N$6:$N$967)))</f>
        <v/>
      </c>
      <c r="H120" s="27" t="str">
        <f aca="false">IF(T120="","",IF(U120="","000001",INDEX('Referência LC 214'!$I$6:$I$967,U120)))</f>
        <v/>
      </c>
      <c r="I120" s="28" t="str">
        <f aca="false">IF(T120="","",IF(U120="","Sem anexo: tributação integral",INDEX('Referência LC 214'!$H$6:$H$967,U120)))</f>
        <v/>
      </c>
      <c r="J120" s="29" t="str">
        <f aca="false">IF(T120="","",IF(U120="",0,INDEX('Referência LC 214'!$K$6:$K$967,U120)))</f>
        <v/>
      </c>
      <c r="K120" s="28" t="str">
        <f aca="false">IF(OR(T120="",U120=""),"","Anexo "&amp;INDEX('Referência LC 214'!$E$6:$E$967,U120)&amp;", item "&amp;INDEX('Referência LC 214'!$F$6:$F$967,U120)&amp;": "&amp;INDEX('Referência LC 214'!$G$6:$G$967,U120))</f>
        <v/>
      </c>
      <c r="L120" s="28" t="str">
        <f aca="false">IF(OR(T120="",U120=""),"",IF(INDEX('Referência LC 214'!$L$6:$L$967,U120)&amp;""&lt;&gt;"",INDEX('Referência LC 214'!$L$6:$L$967,U120)&amp;"",IF(SUMPRODUCT((LEFT(T120,LEN('Referência LC 214'!$N$6:$N$967))='Referência LC 214'!$N$6:$N$967)*('Referência LC 214'!$L$6:$L$967&lt;&gt;""))&gt;0,"Há outro tratamento só para alguns compradores (ex.: órgão público/SUS) — veja a referência","")))</f>
        <v/>
      </c>
      <c r="M120" s="30" t="str">
        <f aca="false">IF(T120="","",IF(AND(C120&lt;&gt;"Serviço",LEN(T120)-1&lt;&gt;8),"NCM deve ter 8 dígitos",IF(AND(C120="Serviço",LEN(T120)-1&lt;&gt;9),"NBS deve ter 9 dígitos",IF(L120&lt;&gt;"","Benefício depende do comprador: confira a coluna N",IF(G120&gt;1,"Mais de uma regra: confira o item do anexo na referência",IF(G120=0,"Sem redução na LC 214","Confira se o produto é o descrito no item"))))))</f>
        <v/>
      </c>
      <c r="N120" s="25"/>
      <c r="O120" s="23"/>
      <c r="P120" s="25"/>
      <c r="Q120" s="25"/>
      <c r="R120" s="31"/>
      <c r="S120" s="24"/>
      <c r="T120" s="4" t="str">
        <f aca="false">IF(D120="","",IF(C120="Serviço","S","P")&amp;SUBSTITUTE(SUBSTITUTE(SUBSTITUTE(D120,".",""),"-","")," ",""))</f>
        <v/>
      </c>
      <c r="U120" s="4" t="str">
        <f aca="false">IF(T120="","",IFERROR(MATCH(LEFT(T120,10),'Referência LC 214'!$N$6:$N$967,0),IFERROR(MATCH(LEFT(T120,9),'Referência LC 214'!$N$6:$N$967,0),IFERROR(MATCH(LEFT(T120,8),'Referência LC 214'!$N$6:$N$967,0),IFERROR(MATCH(LEFT(T120,7),'Referência LC 214'!$N$6:$N$967,0),IFERROR(MATCH(LEFT(T120,6),'Referência LC 214'!$N$6:$N$967,0),IFERROR(MATCH(LEFT(T120,5),'Referência LC 214'!$N$6:$N$967,0),IFERROR(MATCH(LEFT(T120,4),'Referência LC 214'!$N$6:$N$967,0),IFERROR(MATCH(LEFT(T120,3),'Referência LC 214'!$N$6:$N$967,0),"")))))))))</f>
        <v/>
      </c>
    </row>
    <row r="121" customFormat="false" ht="15" hidden="false" customHeight="false" outlineLevel="0" collapsed="false">
      <c r="A121" s="23"/>
      <c r="B121" s="24"/>
      <c r="C121" s="25"/>
      <c r="D121" s="23"/>
      <c r="E121" s="23"/>
      <c r="F121" s="25"/>
      <c r="G121" s="26" t="str">
        <f aca="false">IF(T121="","",SUMPRODUCT(--(LEFT(T121,LEN('Referência LC 214'!$N$6:$N$967))='Referência LC 214'!$N$6:$N$967)))</f>
        <v/>
      </c>
      <c r="H121" s="27" t="str">
        <f aca="false">IF(T121="","",IF(U121="","000001",INDEX('Referência LC 214'!$I$6:$I$967,U121)))</f>
        <v/>
      </c>
      <c r="I121" s="28" t="str">
        <f aca="false">IF(T121="","",IF(U121="","Sem anexo: tributação integral",INDEX('Referência LC 214'!$H$6:$H$967,U121)))</f>
        <v/>
      </c>
      <c r="J121" s="29" t="str">
        <f aca="false">IF(T121="","",IF(U121="",0,INDEX('Referência LC 214'!$K$6:$K$967,U121)))</f>
        <v/>
      </c>
      <c r="K121" s="28" t="str">
        <f aca="false">IF(OR(T121="",U121=""),"","Anexo "&amp;INDEX('Referência LC 214'!$E$6:$E$967,U121)&amp;", item "&amp;INDEX('Referência LC 214'!$F$6:$F$967,U121)&amp;": "&amp;INDEX('Referência LC 214'!$G$6:$G$967,U121))</f>
        <v/>
      </c>
      <c r="L121" s="28" t="str">
        <f aca="false">IF(OR(T121="",U121=""),"",IF(INDEX('Referência LC 214'!$L$6:$L$967,U121)&amp;""&lt;&gt;"",INDEX('Referência LC 214'!$L$6:$L$967,U121)&amp;"",IF(SUMPRODUCT((LEFT(T121,LEN('Referência LC 214'!$N$6:$N$967))='Referência LC 214'!$N$6:$N$967)*('Referência LC 214'!$L$6:$L$967&lt;&gt;""))&gt;0,"Há outro tratamento só para alguns compradores (ex.: órgão público/SUS) — veja a referência","")))</f>
        <v/>
      </c>
      <c r="M121" s="30" t="str">
        <f aca="false">IF(T121="","",IF(AND(C121&lt;&gt;"Serviço",LEN(T121)-1&lt;&gt;8),"NCM deve ter 8 dígitos",IF(AND(C121="Serviço",LEN(T121)-1&lt;&gt;9),"NBS deve ter 9 dígitos",IF(L121&lt;&gt;"","Benefício depende do comprador: confira a coluna N",IF(G121&gt;1,"Mais de uma regra: confira o item do anexo na referência",IF(G121=0,"Sem redução na LC 214","Confira se o produto é o descrito no item"))))))</f>
        <v/>
      </c>
      <c r="N121" s="25"/>
      <c r="O121" s="23"/>
      <c r="P121" s="25"/>
      <c r="Q121" s="25"/>
      <c r="R121" s="31"/>
      <c r="S121" s="24"/>
      <c r="T121" s="4" t="str">
        <f aca="false">IF(D121="","",IF(C121="Serviço","S","P")&amp;SUBSTITUTE(SUBSTITUTE(SUBSTITUTE(D121,".",""),"-","")," ",""))</f>
        <v/>
      </c>
      <c r="U121" s="4" t="str">
        <f aca="false">IF(T121="","",IFERROR(MATCH(LEFT(T121,10),'Referência LC 214'!$N$6:$N$967,0),IFERROR(MATCH(LEFT(T121,9),'Referência LC 214'!$N$6:$N$967,0),IFERROR(MATCH(LEFT(T121,8),'Referência LC 214'!$N$6:$N$967,0),IFERROR(MATCH(LEFT(T121,7),'Referência LC 214'!$N$6:$N$967,0),IFERROR(MATCH(LEFT(T121,6),'Referência LC 214'!$N$6:$N$967,0),IFERROR(MATCH(LEFT(T121,5),'Referência LC 214'!$N$6:$N$967,0),IFERROR(MATCH(LEFT(T121,4),'Referência LC 214'!$N$6:$N$967,0),IFERROR(MATCH(LEFT(T121,3),'Referência LC 214'!$N$6:$N$967,0),"")))))))))</f>
        <v/>
      </c>
    </row>
    <row r="122" customFormat="false" ht="15" hidden="false" customHeight="false" outlineLevel="0" collapsed="false">
      <c r="A122" s="23"/>
      <c r="B122" s="24"/>
      <c r="C122" s="25"/>
      <c r="D122" s="23"/>
      <c r="E122" s="23"/>
      <c r="F122" s="25"/>
      <c r="G122" s="26" t="str">
        <f aca="false">IF(T122="","",SUMPRODUCT(--(LEFT(T122,LEN('Referência LC 214'!$N$6:$N$967))='Referência LC 214'!$N$6:$N$967)))</f>
        <v/>
      </c>
      <c r="H122" s="27" t="str">
        <f aca="false">IF(T122="","",IF(U122="","000001",INDEX('Referência LC 214'!$I$6:$I$967,U122)))</f>
        <v/>
      </c>
      <c r="I122" s="28" t="str">
        <f aca="false">IF(T122="","",IF(U122="","Sem anexo: tributação integral",INDEX('Referência LC 214'!$H$6:$H$967,U122)))</f>
        <v/>
      </c>
      <c r="J122" s="29" t="str">
        <f aca="false">IF(T122="","",IF(U122="",0,INDEX('Referência LC 214'!$K$6:$K$967,U122)))</f>
        <v/>
      </c>
      <c r="K122" s="28" t="str">
        <f aca="false">IF(OR(T122="",U122=""),"","Anexo "&amp;INDEX('Referência LC 214'!$E$6:$E$967,U122)&amp;", item "&amp;INDEX('Referência LC 214'!$F$6:$F$967,U122)&amp;": "&amp;INDEX('Referência LC 214'!$G$6:$G$967,U122))</f>
        <v/>
      </c>
      <c r="L122" s="28" t="str">
        <f aca="false">IF(OR(T122="",U122=""),"",IF(INDEX('Referência LC 214'!$L$6:$L$967,U122)&amp;""&lt;&gt;"",INDEX('Referência LC 214'!$L$6:$L$967,U122)&amp;"",IF(SUMPRODUCT((LEFT(T122,LEN('Referência LC 214'!$N$6:$N$967))='Referência LC 214'!$N$6:$N$967)*('Referência LC 214'!$L$6:$L$967&lt;&gt;""))&gt;0,"Há outro tratamento só para alguns compradores (ex.: órgão público/SUS) — veja a referência","")))</f>
        <v/>
      </c>
      <c r="M122" s="30" t="str">
        <f aca="false">IF(T122="","",IF(AND(C122&lt;&gt;"Serviço",LEN(T122)-1&lt;&gt;8),"NCM deve ter 8 dígitos",IF(AND(C122="Serviço",LEN(T122)-1&lt;&gt;9),"NBS deve ter 9 dígitos",IF(L122&lt;&gt;"","Benefício depende do comprador: confira a coluna N",IF(G122&gt;1,"Mais de uma regra: confira o item do anexo na referência",IF(G122=0,"Sem redução na LC 214","Confira se o produto é o descrito no item"))))))</f>
        <v/>
      </c>
      <c r="N122" s="25"/>
      <c r="O122" s="23"/>
      <c r="P122" s="25"/>
      <c r="Q122" s="25"/>
      <c r="R122" s="31"/>
      <c r="S122" s="24"/>
      <c r="T122" s="4" t="str">
        <f aca="false">IF(D122="","",IF(C122="Serviço","S","P")&amp;SUBSTITUTE(SUBSTITUTE(SUBSTITUTE(D122,".",""),"-","")," ",""))</f>
        <v/>
      </c>
      <c r="U122" s="4" t="str">
        <f aca="false">IF(T122="","",IFERROR(MATCH(LEFT(T122,10),'Referência LC 214'!$N$6:$N$967,0),IFERROR(MATCH(LEFT(T122,9),'Referência LC 214'!$N$6:$N$967,0),IFERROR(MATCH(LEFT(T122,8),'Referência LC 214'!$N$6:$N$967,0),IFERROR(MATCH(LEFT(T122,7),'Referência LC 214'!$N$6:$N$967,0),IFERROR(MATCH(LEFT(T122,6),'Referência LC 214'!$N$6:$N$967,0),IFERROR(MATCH(LEFT(T122,5),'Referência LC 214'!$N$6:$N$967,0),IFERROR(MATCH(LEFT(T122,4),'Referência LC 214'!$N$6:$N$967,0),IFERROR(MATCH(LEFT(T122,3),'Referência LC 214'!$N$6:$N$967,0),"")))))))))</f>
        <v/>
      </c>
    </row>
    <row r="123" customFormat="false" ht="15" hidden="false" customHeight="false" outlineLevel="0" collapsed="false">
      <c r="A123" s="23"/>
      <c r="B123" s="24"/>
      <c r="C123" s="25"/>
      <c r="D123" s="23"/>
      <c r="E123" s="23"/>
      <c r="F123" s="25"/>
      <c r="G123" s="26" t="str">
        <f aca="false">IF(T123="","",SUMPRODUCT(--(LEFT(T123,LEN('Referência LC 214'!$N$6:$N$967))='Referência LC 214'!$N$6:$N$967)))</f>
        <v/>
      </c>
      <c r="H123" s="27" t="str">
        <f aca="false">IF(T123="","",IF(U123="","000001",INDEX('Referência LC 214'!$I$6:$I$967,U123)))</f>
        <v/>
      </c>
      <c r="I123" s="28" t="str">
        <f aca="false">IF(T123="","",IF(U123="","Sem anexo: tributação integral",INDEX('Referência LC 214'!$H$6:$H$967,U123)))</f>
        <v/>
      </c>
      <c r="J123" s="29" t="str">
        <f aca="false">IF(T123="","",IF(U123="",0,INDEX('Referência LC 214'!$K$6:$K$967,U123)))</f>
        <v/>
      </c>
      <c r="K123" s="28" t="str">
        <f aca="false">IF(OR(T123="",U123=""),"","Anexo "&amp;INDEX('Referência LC 214'!$E$6:$E$967,U123)&amp;", item "&amp;INDEX('Referência LC 214'!$F$6:$F$967,U123)&amp;": "&amp;INDEX('Referência LC 214'!$G$6:$G$967,U123))</f>
        <v/>
      </c>
      <c r="L123" s="28" t="str">
        <f aca="false">IF(OR(T123="",U123=""),"",IF(INDEX('Referência LC 214'!$L$6:$L$967,U123)&amp;""&lt;&gt;"",INDEX('Referência LC 214'!$L$6:$L$967,U123)&amp;"",IF(SUMPRODUCT((LEFT(T123,LEN('Referência LC 214'!$N$6:$N$967))='Referência LC 214'!$N$6:$N$967)*('Referência LC 214'!$L$6:$L$967&lt;&gt;""))&gt;0,"Há outro tratamento só para alguns compradores (ex.: órgão público/SUS) — veja a referência","")))</f>
        <v/>
      </c>
      <c r="M123" s="30" t="str">
        <f aca="false">IF(T123="","",IF(AND(C123&lt;&gt;"Serviço",LEN(T123)-1&lt;&gt;8),"NCM deve ter 8 dígitos",IF(AND(C123="Serviço",LEN(T123)-1&lt;&gt;9),"NBS deve ter 9 dígitos",IF(L123&lt;&gt;"","Benefício depende do comprador: confira a coluna N",IF(G123&gt;1,"Mais de uma regra: confira o item do anexo na referência",IF(G123=0,"Sem redução na LC 214","Confira se o produto é o descrito no item"))))))</f>
        <v/>
      </c>
      <c r="N123" s="25"/>
      <c r="O123" s="23"/>
      <c r="P123" s="25"/>
      <c r="Q123" s="25"/>
      <c r="R123" s="31"/>
      <c r="S123" s="24"/>
      <c r="T123" s="4" t="str">
        <f aca="false">IF(D123="","",IF(C123="Serviço","S","P")&amp;SUBSTITUTE(SUBSTITUTE(SUBSTITUTE(D123,".",""),"-","")," ",""))</f>
        <v/>
      </c>
      <c r="U123" s="4" t="str">
        <f aca="false">IF(T123="","",IFERROR(MATCH(LEFT(T123,10),'Referência LC 214'!$N$6:$N$967,0),IFERROR(MATCH(LEFT(T123,9),'Referência LC 214'!$N$6:$N$967,0),IFERROR(MATCH(LEFT(T123,8),'Referência LC 214'!$N$6:$N$967,0),IFERROR(MATCH(LEFT(T123,7),'Referência LC 214'!$N$6:$N$967,0),IFERROR(MATCH(LEFT(T123,6),'Referência LC 214'!$N$6:$N$967,0),IFERROR(MATCH(LEFT(T123,5),'Referência LC 214'!$N$6:$N$967,0),IFERROR(MATCH(LEFT(T123,4),'Referência LC 214'!$N$6:$N$967,0),IFERROR(MATCH(LEFT(T123,3),'Referência LC 214'!$N$6:$N$967,0),"")))))))))</f>
        <v/>
      </c>
    </row>
    <row r="124" customFormat="false" ht="15" hidden="false" customHeight="false" outlineLevel="0" collapsed="false">
      <c r="A124" s="23"/>
      <c r="B124" s="24"/>
      <c r="C124" s="25"/>
      <c r="D124" s="23"/>
      <c r="E124" s="23"/>
      <c r="F124" s="25"/>
      <c r="G124" s="26" t="str">
        <f aca="false">IF(T124="","",SUMPRODUCT(--(LEFT(T124,LEN('Referência LC 214'!$N$6:$N$967))='Referência LC 214'!$N$6:$N$967)))</f>
        <v/>
      </c>
      <c r="H124" s="27" t="str">
        <f aca="false">IF(T124="","",IF(U124="","000001",INDEX('Referência LC 214'!$I$6:$I$967,U124)))</f>
        <v/>
      </c>
      <c r="I124" s="28" t="str">
        <f aca="false">IF(T124="","",IF(U124="","Sem anexo: tributação integral",INDEX('Referência LC 214'!$H$6:$H$967,U124)))</f>
        <v/>
      </c>
      <c r="J124" s="29" t="str">
        <f aca="false">IF(T124="","",IF(U124="",0,INDEX('Referência LC 214'!$K$6:$K$967,U124)))</f>
        <v/>
      </c>
      <c r="K124" s="28" t="str">
        <f aca="false">IF(OR(T124="",U124=""),"","Anexo "&amp;INDEX('Referência LC 214'!$E$6:$E$967,U124)&amp;", item "&amp;INDEX('Referência LC 214'!$F$6:$F$967,U124)&amp;": "&amp;INDEX('Referência LC 214'!$G$6:$G$967,U124))</f>
        <v/>
      </c>
      <c r="L124" s="28" t="str">
        <f aca="false">IF(OR(T124="",U124=""),"",IF(INDEX('Referência LC 214'!$L$6:$L$967,U124)&amp;""&lt;&gt;"",INDEX('Referência LC 214'!$L$6:$L$967,U124)&amp;"",IF(SUMPRODUCT((LEFT(T124,LEN('Referência LC 214'!$N$6:$N$967))='Referência LC 214'!$N$6:$N$967)*('Referência LC 214'!$L$6:$L$967&lt;&gt;""))&gt;0,"Há outro tratamento só para alguns compradores (ex.: órgão público/SUS) — veja a referência","")))</f>
        <v/>
      </c>
      <c r="M124" s="30" t="str">
        <f aca="false">IF(T124="","",IF(AND(C124&lt;&gt;"Serviço",LEN(T124)-1&lt;&gt;8),"NCM deve ter 8 dígitos",IF(AND(C124="Serviço",LEN(T124)-1&lt;&gt;9),"NBS deve ter 9 dígitos",IF(L124&lt;&gt;"","Benefício depende do comprador: confira a coluna N",IF(G124&gt;1,"Mais de uma regra: confira o item do anexo na referência",IF(G124=0,"Sem redução na LC 214","Confira se o produto é o descrito no item"))))))</f>
        <v/>
      </c>
      <c r="N124" s="25"/>
      <c r="O124" s="23"/>
      <c r="P124" s="25"/>
      <c r="Q124" s="25"/>
      <c r="R124" s="31"/>
      <c r="S124" s="24"/>
      <c r="T124" s="4" t="str">
        <f aca="false">IF(D124="","",IF(C124="Serviço","S","P")&amp;SUBSTITUTE(SUBSTITUTE(SUBSTITUTE(D124,".",""),"-","")," ",""))</f>
        <v/>
      </c>
      <c r="U124" s="4" t="str">
        <f aca="false">IF(T124="","",IFERROR(MATCH(LEFT(T124,10),'Referência LC 214'!$N$6:$N$967,0),IFERROR(MATCH(LEFT(T124,9),'Referência LC 214'!$N$6:$N$967,0),IFERROR(MATCH(LEFT(T124,8),'Referência LC 214'!$N$6:$N$967,0),IFERROR(MATCH(LEFT(T124,7),'Referência LC 214'!$N$6:$N$967,0),IFERROR(MATCH(LEFT(T124,6),'Referência LC 214'!$N$6:$N$967,0),IFERROR(MATCH(LEFT(T124,5),'Referência LC 214'!$N$6:$N$967,0),IFERROR(MATCH(LEFT(T124,4),'Referência LC 214'!$N$6:$N$967,0),IFERROR(MATCH(LEFT(T124,3),'Referência LC 214'!$N$6:$N$967,0),"")))))))))</f>
        <v/>
      </c>
    </row>
    <row r="125" customFormat="false" ht="15" hidden="false" customHeight="false" outlineLevel="0" collapsed="false">
      <c r="A125" s="23"/>
      <c r="B125" s="24"/>
      <c r="C125" s="25"/>
      <c r="D125" s="23"/>
      <c r="E125" s="23"/>
      <c r="F125" s="25"/>
      <c r="G125" s="26" t="str">
        <f aca="false">IF(T125="","",SUMPRODUCT(--(LEFT(T125,LEN('Referência LC 214'!$N$6:$N$967))='Referência LC 214'!$N$6:$N$967)))</f>
        <v/>
      </c>
      <c r="H125" s="27" t="str">
        <f aca="false">IF(T125="","",IF(U125="","000001",INDEX('Referência LC 214'!$I$6:$I$967,U125)))</f>
        <v/>
      </c>
      <c r="I125" s="28" t="str">
        <f aca="false">IF(T125="","",IF(U125="","Sem anexo: tributação integral",INDEX('Referência LC 214'!$H$6:$H$967,U125)))</f>
        <v/>
      </c>
      <c r="J125" s="29" t="str">
        <f aca="false">IF(T125="","",IF(U125="",0,INDEX('Referência LC 214'!$K$6:$K$967,U125)))</f>
        <v/>
      </c>
      <c r="K125" s="28" t="str">
        <f aca="false">IF(OR(T125="",U125=""),"","Anexo "&amp;INDEX('Referência LC 214'!$E$6:$E$967,U125)&amp;", item "&amp;INDEX('Referência LC 214'!$F$6:$F$967,U125)&amp;": "&amp;INDEX('Referência LC 214'!$G$6:$G$967,U125))</f>
        <v/>
      </c>
      <c r="L125" s="28" t="str">
        <f aca="false">IF(OR(T125="",U125=""),"",IF(INDEX('Referência LC 214'!$L$6:$L$967,U125)&amp;""&lt;&gt;"",INDEX('Referência LC 214'!$L$6:$L$967,U125)&amp;"",IF(SUMPRODUCT((LEFT(T125,LEN('Referência LC 214'!$N$6:$N$967))='Referência LC 214'!$N$6:$N$967)*('Referência LC 214'!$L$6:$L$967&lt;&gt;""))&gt;0,"Há outro tratamento só para alguns compradores (ex.: órgão público/SUS) — veja a referência","")))</f>
        <v/>
      </c>
      <c r="M125" s="30" t="str">
        <f aca="false">IF(T125="","",IF(AND(C125&lt;&gt;"Serviço",LEN(T125)-1&lt;&gt;8),"NCM deve ter 8 dígitos",IF(AND(C125="Serviço",LEN(T125)-1&lt;&gt;9),"NBS deve ter 9 dígitos",IF(L125&lt;&gt;"","Benefício depende do comprador: confira a coluna N",IF(G125&gt;1,"Mais de uma regra: confira o item do anexo na referência",IF(G125=0,"Sem redução na LC 214","Confira se o produto é o descrito no item"))))))</f>
        <v/>
      </c>
      <c r="N125" s="25"/>
      <c r="O125" s="23"/>
      <c r="P125" s="25"/>
      <c r="Q125" s="25"/>
      <c r="R125" s="31"/>
      <c r="S125" s="24"/>
      <c r="T125" s="4" t="str">
        <f aca="false">IF(D125="","",IF(C125="Serviço","S","P")&amp;SUBSTITUTE(SUBSTITUTE(SUBSTITUTE(D125,".",""),"-","")," ",""))</f>
        <v/>
      </c>
      <c r="U125" s="4" t="str">
        <f aca="false">IF(T125="","",IFERROR(MATCH(LEFT(T125,10),'Referência LC 214'!$N$6:$N$967,0),IFERROR(MATCH(LEFT(T125,9),'Referência LC 214'!$N$6:$N$967,0),IFERROR(MATCH(LEFT(T125,8),'Referência LC 214'!$N$6:$N$967,0),IFERROR(MATCH(LEFT(T125,7),'Referência LC 214'!$N$6:$N$967,0),IFERROR(MATCH(LEFT(T125,6),'Referência LC 214'!$N$6:$N$967,0),IFERROR(MATCH(LEFT(T125,5),'Referência LC 214'!$N$6:$N$967,0),IFERROR(MATCH(LEFT(T125,4),'Referência LC 214'!$N$6:$N$967,0),IFERROR(MATCH(LEFT(T125,3),'Referência LC 214'!$N$6:$N$967,0),"")))))))))</f>
        <v/>
      </c>
    </row>
    <row r="126" customFormat="false" ht="15" hidden="false" customHeight="false" outlineLevel="0" collapsed="false">
      <c r="A126" s="23"/>
      <c r="B126" s="24"/>
      <c r="C126" s="25"/>
      <c r="D126" s="23"/>
      <c r="E126" s="23"/>
      <c r="F126" s="25"/>
      <c r="G126" s="26" t="str">
        <f aca="false">IF(T126="","",SUMPRODUCT(--(LEFT(T126,LEN('Referência LC 214'!$N$6:$N$967))='Referência LC 214'!$N$6:$N$967)))</f>
        <v/>
      </c>
      <c r="H126" s="27" t="str">
        <f aca="false">IF(T126="","",IF(U126="","000001",INDEX('Referência LC 214'!$I$6:$I$967,U126)))</f>
        <v/>
      </c>
      <c r="I126" s="28" t="str">
        <f aca="false">IF(T126="","",IF(U126="","Sem anexo: tributação integral",INDEX('Referência LC 214'!$H$6:$H$967,U126)))</f>
        <v/>
      </c>
      <c r="J126" s="29" t="str">
        <f aca="false">IF(T126="","",IF(U126="",0,INDEX('Referência LC 214'!$K$6:$K$967,U126)))</f>
        <v/>
      </c>
      <c r="K126" s="28" t="str">
        <f aca="false">IF(OR(T126="",U126=""),"","Anexo "&amp;INDEX('Referência LC 214'!$E$6:$E$967,U126)&amp;", item "&amp;INDEX('Referência LC 214'!$F$6:$F$967,U126)&amp;": "&amp;INDEX('Referência LC 214'!$G$6:$G$967,U126))</f>
        <v/>
      </c>
      <c r="L126" s="28" t="str">
        <f aca="false">IF(OR(T126="",U126=""),"",IF(INDEX('Referência LC 214'!$L$6:$L$967,U126)&amp;""&lt;&gt;"",INDEX('Referência LC 214'!$L$6:$L$967,U126)&amp;"",IF(SUMPRODUCT((LEFT(T126,LEN('Referência LC 214'!$N$6:$N$967))='Referência LC 214'!$N$6:$N$967)*('Referência LC 214'!$L$6:$L$967&lt;&gt;""))&gt;0,"Há outro tratamento só para alguns compradores (ex.: órgão público/SUS) — veja a referência","")))</f>
        <v/>
      </c>
      <c r="M126" s="30" t="str">
        <f aca="false">IF(T126="","",IF(AND(C126&lt;&gt;"Serviço",LEN(T126)-1&lt;&gt;8),"NCM deve ter 8 dígitos",IF(AND(C126="Serviço",LEN(T126)-1&lt;&gt;9),"NBS deve ter 9 dígitos",IF(L126&lt;&gt;"","Benefício depende do comprador: confira a coluna N",IF(G126&gt;1,"Mais de uma regra: confira o item do anexo na referência",IF(G126=0,"Sem redução na LC 214","Confira se o produto é o descrito no item"))))))</f>
        <v/>
      </c>
      <c r="N126" s="25"/>
      <c r="O126" s="23"/>
      <c r="P126" s="25"/>
      <c r="Q126" s="25"/>
      <c r="R126" s="31"/>
      <c r="S126" s="24"/>
      <c r="T126" s="4" t="str">
        <f aca="false">IF(D126="","",IF(C126="Serviço","S","P")&amp;SUBSTITUTE(SUBSTITUTE(SUBSTITUTE(D126,".",""),"-","")," ",""))</f>
        <v/>
      </c>
      <c r="U126" s="4" t="str">
        <f aca="false">IF(T126="","",IFERROR(MATCH(LEFT(T126,10),'Referência LC 214'!$N$6:$N$967,0),IFERROR(MATCH(LEFT(T126,9),'Referência LC 214'!$N$6:$N$967,0),IFERROR(MATCH(LEFT(T126,8),'Referência LC 214'!$N$6:$N$967,0),IFERROR(MATCH(LEFT(T126,7),'Referência LC 214'!$N$6:$N$967,0),IFERROR(MATCH(LEFT(T126,6),'Referência LC 214'!$N$6:$N$967,0),IFERROR(MATCH(LEFT(T126,5),'Referência LC 214'!$N$6:$N$967,0),IFERROR(MATCH(LEFT(T126,4),'Referência LC 214'!$N$6:$N$967,0),IFERROR(MATCH(LEFT(T126,3),'Referência LC 214'!$N$6:$N$967,0),"")))))))))</f>
        <v/>
      </c>
    </row>
    <row r="127" customFormat="false" ht="15" hidden="false" customHeight="false" outlineLevel="0" collapsed="false">
      <c r="A127" s="23"/>
      <c r="B127" s="24"/>
      <c r="C127" s="25"/>
      <c r="D127" s="23"/>
      <c r="E127" s="23"/>
      <c r="F127" s="25"/>
      <c r="G127" s="26" t="str">
        <f aca="false">IF(T127="","",SUMPRODUCT(--(LEFT(T127,LEN('Referência LC 214'!$N$6:$N$967))='Referência LC 214'!$N$6:$N$967)))</f>
        <v/>
      </c>
      <c r="H127" s="27" t="str">
        <f aca="false">IF(T127="","",IF(U127="","000001",INDEX('Referência LC 214'!$I$6:$I$967,U127)))</f>
        <v/>
      </c>
      <c r="I127" s="28" t="str">
        <f aca="false">IF(T127="","",IF(U127="","Sem anexo: tributação integral",INDEX('Referência LC 214'!$H$6:$H$967,U127)))</f>
        <v/>
      </c>
      <c r="J127" s="29" t="str">
        <f aca="false">IF(T127="","",IF(U127="",0,INDEX('Referência LC 214'!$K$6:$K$967,U127)))</f>
        <v/>
      </c>
      <c r="K127" s="28" t="str">
        <f aca="false">IF(OR(T127="",U127=""),"","Anexo "&amp;INDEX('Referência LC 214'!$E$6:$E$967,U127)&amp;", item "&amp;INDEX('Referência LC 214'!$F$6:$F$967,U127)&amp;": "&amp;INDEX('Referência LC 214'!$G$6:$G$967,U127))</f>
        <v/>
      </c>
      <c r="L127" s="28" t="str">
        <f aca="false">IF(OR(T127="",U127=""),"",IF(INDEX('Referência LC 214'!$L$6:$L$967,U127)&amp;""&lt;&gt;"",INDEX('Referência LC 214'!$L$6:$L$967,U127)&amp;"",IF(SUMPRODUCT((LEFT(T127,LEN('Referência LC 214'!$N$6:$N$967))='Referência LC 214'!$N$6:$N$967)*('Referência LC 214'!$L$6:$L$967&lt;&gt;""))&gt;0,"Há outro tratamento só para alguns compradores (ex.: órgão público/SUS) — veja a referência","")))</f>
        <v/>
      </c>
      <c r="M127" s="30" t="str">
        <f aca="false">IF(T127="","",IF(AND(C127&lt;&gt;"Serviço",LEN(T127)-1&lt;&gt;8),"NCM deve ter 8 dígitos",IF(AND(C127="Serviço",LEN(T127)-1&lt;&gt;9),"NBS deve ter 9 dígitos",IF(L127&lt;&gt;"","Benefício depende do comprador: confira a coluna N",IF(G127&gt;1,"Mais de uma regra: confira o item do anexo na referência",IF(G127=0,"Sem redução na LC 214","Confira se o produto é o descrito no item"))))))</f>
        <v/>
      </c>
      <c r="N127" s="25"/>
      <c r="O127" s="23"/>
      <c r="P127" s="25"/>
      <c r="Q127" s="25"/>
      <c r="R127" s="31"/>
      <c r="S127" s="24"/>
      <c r="T127" s="4" t="str">
        <f aca="false">IF(D127="","",IF(C127="Serviço","S","P")&amp;SUBSTITUTE(SUBSTITUTE(SUBSTITUTE(D127,".",""),"-","")," ",""))</f>
        <v/>
      </c>
      <c r="U127" s="4" t="str">
        <f aca="false">IF(T127="","",IFERROR(MATCH(LEFT(T127,10),'Referência LC 214'!$N$6:$N$967,0),IFERROR(MATCH(LEFT(T127,9),'Referência LC 214'!$N$6:$N$967,0),IFERROR(MATCH(LEFT(T127,8),'Referência LC 214'!$N$6:$N$967,0),IFERROR(MATCH(LEFT(T127,7),'Referência LC 214'!$N$6:$N$967,0),IFERROR(MATCH(LEFT(T127,6),'Referência LC 214'!$N$6:$N$967,0),IFERROR(MATCH(LEFT(T127,5),'Referência LC 214'!$N$6:$N$967,0),IFERROR(MATCH(LEFT(T127,4),'Referência LC 214'!$N$6:$N$967,0),IFERROR(MATCH(LEFT(T127,3),'Referência LC 214'!$N$6:$N$967,0),"")))))))))</f>
        <v/>
      </c>
    </row>
    <row r="128" customFormat="false" ht="15" hidden="false" customHeight="false" outlineLevel="0" collapsed="false">
      <c r="A128" s="23"/>
      <c r="B128" s="24"/>
      <c r="C128" s="25"/>
      <c r="D128" s="23"/>
      <c r="E128" s="23"/>
      <c r="F128" s="25"/>
      <c r="G128" s="26" t="str">
        <f aca="false">IF(T128="","",SUMPRODUCT(--(LEFT(T128,LEN('Referência LC 214'!$N$6:$N$967))='Referência LC 214'!$N$6:$N$967)))</f>
        <v/>
      </c>
      <c r="H128" s="27" t="str">
        <f aca="false">IF(T128="","",IF(U128="","000001",INDEX('Referência LC 214'!$I$6:$I$967,U128)))</f>
        <v/>
      </c>
      <c r="I128" s="28" t="str">
        <f aca="false">IF(T128="","",IF(U128="","Sem anexo: tributação integral",INDEX('Referência LC 214'!$H$6:$H$967,U128)))</f>
        <v/>
      </c>
      <c r="J128" s="29" t="str">
        <f aca="false">IF(T128="","",IF(U128="",0,INDEX('Referência LC 214'!$K$6:$K$967,U128)))</f>
        <v/>
      </c>
      <c r="K128" s="28" t="str">
        <f aca="false">IF(OR(T128="",U128=""),"","Anexo "&amp;INDEX('Referência LC 214'!$E$6:$E$967,U128)&amp;", item "&amp;INDEX('Referência LC 214'!$F$6:$F$967,U128)&amp;": "&amp;INDEX('Referência LC 214'!$G$6:$G$967,U128))</f>
        <v/>
      </c>
      <c r="L128" s="28" t="str">
        <f aca="false">IF(OR(T128="",U128=""),"",IF(INDEX('Referência LC 214'!$L$6:$L$967,U128)&amp;""&lt;&gt;"",INDEX('Referência LC 214'!$L$6:$L$967,U128)&amp;"",IF(SUMPRODUCT((LEFT(T128,LEN('Referência LC 214'!$N$6:$N$967))='Referência LC 214'!$N$6:$N$967)*('Referência LC 214'!$L$6:$L$967&lt;&gt;""))&gt;0,"Há outro tratamento só para alguns compradores (ex.: órgão público/SUS) — veja a referência","")))</f>
        <v/>
      </c>
      <c r="M128" s="30" t="str">
        <f aca="false">IF(T128="","",IF(AND(C128&lt;&gt;"Serviço",LEN(T128)-1&lt;&gt;8),"NCM deve ter 8 dígitos",IF(AND(C128="Serviço",LEN(T128)-1&lt;&gt;9),"NBS deve ter 9 dígitos",IF(L128&lt;&gt;"","Benefício depende do comprador: confira a coluna N",IF(G128&gt;1,"Mais de uma regra: confira o item do anexo na referência",IF(G128=0,"Sem redução na LC 214","Confira se o produto é o descrito no item"))))))</f>
        <v/>
      </c>
      <c r="N128" s="25"/>
      <c r="O128" s="23"/>
      <c r="P128" s="25"/>
      <c r="Q128" s="25"/>
      <c r="R128" s="31"/>
      <c r="S128" s="24"/>
      <c r="T128" s="4" t="str">
        <f aca="false">IF(D128="","",IF(C128="Serviço","S","P")&amp;SUBSTITUTE(SUBSTITUTE(SUBSTITUTE(D128,".",""),"-","")," ",""))</f>
        <v/>
      </c>
      <c r="U128" s="4" t="str">
        <f aca="false">IF(T128="","",IFERROR(MATCH(LEFT(T128,10),'Referência LC 214'!$N$6:$N$967,0),IFERROR(MATCH(LEFT(T128,9),'Referência LC 214'!$N$6:$N$967,0),IFERROR(MATCH(LEFT(T128,8),'Referência LC 214'!$N$6:$N$967,0),IFERROR(MATCH(LEFT(T128,7),'Referência LC 214'!$N$6:$N$967,0),IFERROR(MATCH(LEFT(T128,6),'Referência LC 214'!$N$6:$N$967,0),IFERROR(MATCH(LEFT(T128,5),'Referência LC 214'!$N$6:$N$967,0),IFERROR(MATCH(LEFT(T128,4),'Referência LC 214'!$N$6:$N$967,0),IFERROR(MATCH(LEFT(T128,3),'Referência LC 214'!$N$6:$N$967,0),"")))))))))</f>
        <v/>
      </c>
    </row>
    <row r="129" customFormat="false" ht="15" hidden="false" customHeight="false" outlineLevel="0" collapsed="false">
      <c r="A129" s="23"/>
      <c r="B129" s="24"/>
      <c r="C129" s="25"/>
      <c r="D129" s="23"/>
      <c r="E129" s="23"/>
      <c r="F129" s="25"/>
      <c r="G129" s="26" t="str">
        <f aca="false">IF(T129="","",SUMPRODUCT(--(LEFT(T129,LEN('Referência LC 214'!$N$6:$N$967))='Referência LC 214'!$N$6:$N$967)))</f>
        <v/>
      </c>
      <c r="H129" s="27" t="str">
        <f aca="false">IF(T129="","",IF(U129="","000001",INDEX('Referência LC 214'!$I$6:$I$967,U129)))</f>
        <v/>
      </c>
      <c r="I129" s="28" t="str">
        <f aca="false">IF(T129="","",IF(U129="","Sem anexo: tributação integral",INDEX('Referência LC 214'!$H$6:$H$967,U129)))</f>
        <v/>
      </c>
      <c r="J129" s="29" t="str">
        <f aca="false">IF(T129="","",IF(U129="",0,INDEX('Referência LC 214'!$K$6:$K$967,U129)))</f>
        <v/>
      </c>
      <c r="K129" s="28" t="str">
        <f aca="false">IF(OR(T129="",U129=""),"","Anexo "&amp;INDEX('Referência LC 214'!$E$6:$E$967,U129)&amp;", item "&amp;INDEX('Referência LC 214'!$F$6:$F$967,U129)&amp;": "&amp;INDEX('Referência LC 214'!$G$6:$G$967,U129))</f>
        <v/>
      </c>
      <c r="L129" s="28" t="str">
        <f aca="false">IF(OR(T129="",U129=""),"",IF(INDEX('Referência LC 214'!$L$6:$L$967,U129)&amp;""&lt;&gt;"",INDEX('Referência LC 214'!$L$6:$L$967,U129)&amp;"",IF(SUMPRODUCT((LEFT(T129,LEN('Referência LC 214'!$N$6:$N$967))='Referência LC 214'!$N$6:$N$967)*('Referência LC 214'!$L$6:$L$967&lt;&gt;""))&gt;0,"Há outro tratamento só para alguns compradores (ex.: órgão público/SUS) — veja a referência","")))</f>
        <v/>
      </c>
      <c r="M129" s="30" t="str">
        <f aca="false">IF(T129="","",IF(AND(C129&lt;&gt;"Serviço",LEN(T129)-1&lt;&gt;8),"NCM deve ter 8 dígitos",IF(AND(C129="Serviço",LEN(T129)-1&lt;&gt;9),"NBS deve ter 9 dígitos",IF(L129&lt;&gt;"","Benefício depende do comprador: confira a coluna N",IF(G129&gt;1,"Mais de uma regra: confira o item do anexo na referência",IF(G129=0,"Sem redução na LC 214","Confira se o produto é o descrito no item"))))))</f>
        <v/>
      </c>
      <c r="N129" s="25"/>
      <c r="O129" s="23"/>
      <c r="P129" s="25"/>
      <c r="Q129" s="25"/>
      <c r="R129" s="31"/>
      <c r="S129" s="24"/>
      <c r="T129" s="4" t="str">
        <f aca="false">IF(D129="","",IF(C129="Serviço","S","P")&amp;SUBSTITUTE(SUBSTITUTE(SUBSTITUTE(D129,".",""),"-","")," ",""))</f>
        <v/>
      </c>
      <c r="U129" s="4" t="str">
        <f aca="false">IF(T129="","",IFERROR(MATCH(LEFT(T129,10),'Referência LC 214'!$N$6:$N$967,0),IFERROR(MATCH(LEFT(T129,9),'Referência LC 214'!$N$6:$N$967,0),IFERROR(MATCH(LEFT(T129,8),'Referência LC 214'!$N$6:$N$967,0),IFERROR(MATCH(LEFT(T129,7),'Referência LC 214'!$N$6:$N$967,0),IFERROR(MATCH(LEFT(T129,6),'Referência LC 214'!$N$6:$N$967,0),IFERROR(MATCH(LEFT(T129,5),'Referência LC 214'!$N$6:$N$967,0),IFERROR(MATCH(LEFT(T129,4),'Referência LC 214'!$N$6:$N$967,0),IFERROR(MATCH(LEFT(T129,3),'Referência LC 214'!$N$6:$N$967,0),"")))))))))</f>
        <v/>
      </c>
    </row>
    <row r="130" customFormat="false" ht="15" hidden="false" customHeight="false" outlineLevel="0" collapsed="false">
      <c r="A130" s="23"/>
      <c r="B130" s="24"/>
      <c r="C130" s="25"/>
      <c r="D130" s="23"/>
      <c r="E130" s="23"/>
      <c r="F130" s="25"/>
      <c r="G130" s="26" t="str">
        <f aca="false">IF(T130="","",SUMPRODUCT(--(LEFT(T130,LEN('Referência LC 214'!$N$6:$N$967))='Referência LC 214'!$N$6:$N$967)))</f>
        <v/>
      </c>
      <c r="H130" s="27" t="str">
        <f aca="false">IF(T130="","",IF(U130="","000001",INDEX('Referência LC 214'!$I$6:$I$967,U130)))</f>
        <v/>
      </c>
      <c r="I130" s="28" t="str">
        <f aca="false">IF(T130="","",IF(U130="","Sem anexo: tributação integral",INDEX('Referência LC 214'!$H$6:$H$967,U130)))</f>
        <v/>
      </c>
      <c r="J130" s="29" t="str">
        <f aca="false">IF(T130="","",IF(U130="",0,INDEX('Referência LC 214'!$K$6:$K$967,U130)))</f>
        <v/>
      </c>
      <c r="K130" s="28" t="str">
        <f aca="false">IF(OR(T130="",U130=""),"","Anexo "&amp;INDEX('Referência LC 214'!$E$6:$E$967,U130)&amp;", item "&amp;INDEX('Referência LC 214'!$F$6:$F$967,U130)&amp;": "&amp;INDEX('Referência LC 214'!$G$6:$G$967,U130))</f>
        <v/>
      </c>
      <c r="L130" s="28" t="str">
        <f aca="false">IF(OR(T130="",U130=""),"",IF(INDEX('Referência LC 214'!$L$6:$L$967,U130)&amp;""&lt;&gt;"",INDEX('Referência LC 214'!$L$6:$L$967,U130)&amp;"",IF(SUMPRODUCT((LEFT(T130,LEN('Referência LC 214'!$N$6:$N$967))='Referência LC 214'!$N$6:$N$967)*('Referência LC 214'!$L$6:$L$967&lt;&gt;""))&gt;0,"Há outro tratamento só para alguns compradores (ex.: órgão público/SUS) — veja a referência","")))</f>
        <v/>
      </c>
      <c r="M130" s="30" t="str">
        <f aca="false">IF(T130="","",IF(AND(C130&lt;&gt;"Serviço",LEN(T130)-1&lt;&gt;8),"NCM deve ter 8 dígitos",IF(AND(C130="Serviço",LEN(T130)-1&lt;&gt;9),"NBS deve ter 9 dígitos",IF(L130&lt;&gt;"","Benefício depende do comprador: confira a coluna N",IF(G130&gt;1,"Mais de uma regra: confira o item do anexo na referência",IF(G130=0,"Sem redução na LC 214","Confira se o produto é o descrito no item"))))))</f>
        <v/>
      </c>
      <c r="N130" s="25"/>
      <c r="O130" s="23"/>
      <c r="P130" s="25"/>
      <c r="Q130" s="25"/>
      <c r="R130" s="31"/>
      <c r="S130" s="24"/>
      <c r="T130" s="4" t="str">
        <f aca="false">IF(D130="","",IF(C130="Serviço","S","P")&amp;SUBSTITUTE(SUBSTITUTE(SUBSTITUTE(D130,".",""),"-","")," ",""))</f>
        <v/>
      </c>
      <c r="U130" s="4" t="str">
        <f aca="false">IF(T130="","",IFERROR(MATCH(LEFT(T130,10),'Referência LC 214'!$N$6:$N$967,0),IFERROR(MATCH(LEFT(T130,9),'Referência LC 214'!$N$6:$N$967,0),IFERROR(MATCH(LEFT(T130,8),'Referência LC 214'!$N$6:$N$967,0),IFERROR(MATCH(LEFT(T130,7),'Referência LC 214'!$N$6:$N$967,0),IFERROR(MATCH(LEFT(T130,6),'Referência LC 214'!$N$6:$N$967,0),IFERROR(MATCH(LEFT(T130,5),'Referência LC 214'!$N$6:$N$967,0),IFERROR(MATCH(LEFT(T130,4),'Referência LC 214'!$N$6:$N$967,0),IFERROR(MATCH(LEFT(T130,3),'Referência LC 214'!$N$6:$N$967,0),"")))))))))</f>
        <v/>
      </c>
    </row>
    <row r="131" customFormat="false" ht="15" hidden="false" customHeight="false" outlineLevel="0" collapsed="false">
      <c r="A131" s="23"/>
      <c r="B131" s="24"/>
      <c r="C131" s="25"/>
      <c r="D131" s="23"/>
      <c r="E131" s="23"/>
      <c r="F131" s="25"/>
      <c r="G131" s="26" t="str">
        <f aca="false">IF(T131="","",SUMPRODUCT(--(LEFT(T131,LEN('Referência LC 214'!$N$6:$N$967))='Referência LC 214'!$N$6:$N$967)))</f>
        <v/>
      </c>
      <c r="H131" s="27" t="str">
        <f aca="false">IF(T131="","",IF(U131="","000001",INDEX('Referência LC 214'!$I$6:$I$967,U131)))</f>
        <v/>
      </c>
      <c r="I131" s="28" t="str">
        <f aca="false">IF(T131="","",IF(U131="","Sem anexo: tributação integral",INDEX('Referência LC 214'!$H$6:$H$967,U131)))</f>
        <v/>
      </c>
      <c r="J131" s="29" t="str">
        <f aca="false">IF(T131="","",IF(U131="",0,INDEX('Referência LC 214'!$K$6:$K$967,U131)))</f>
        <v/>
      </c>
      <c r="K131" s="28" t="str">
        <f aca="false">IF(OR(T131="",U131=""),"","Anexo "&amp;INDEX('Referência LC 214'!$E$6:$E$967,U131)&amp;", item "&amp;INDEX('Referência LC 214'!$F$6:$F$967,U131)&amp;": "&amp;INDEX('Referência LC 214'!$G$6:$G$967,U131))</f>
        <v/>
      </c>
      <c r="L131" s="28" t="str">
        <f aca="false">IF(OR(T131="",U131=""),"",IF(INDEX('Referência LC 214'!$L$6:$L$967,U131)&amp;""&lt;&gt;"",INDEX('Referência LC 214'!$L$6:$L$967,U131)&amp;"",IF(SUMPRODUCT((LEFT(T131,LEN('Referência LC 214'!$N$6:$N$967))='Referência LC 214'!$N$6:$N$967)*('Referência LC 214'!$L$6:$L$967&lt;&gt;""))&gt;0,"Há outro tratamento só para alguns compradores (ex.: órgão público/SUS) — veja a referência","")))</f>
        <v/>
      </c>
      <c r="M131" s="30" t="str">
        <f aca="false">IF(T131="","",IF(AND(C131&lt;&gt;"Serviço",LEN(T131)-1&lt;&gt;8),"NCM deve ter 8 dígitos",IF(AND(C131="Serviço",LEN(T131)-1&lt;&gt;9),"NBS deve ter 9 dígitos",IF(L131&lt;&gt;"","Benefício depende do comprador: confira a coluna N",IF(G131&gt;1,"Mais de uma regra: confira o item do anexo na referência",IF(G131=0,"Sem redução na LC 214","Confira se o produto é o descrito no item"))))))</f>
        <v/>
      </c>
      <c r="N131" s="25"/>
      <c r="O131" s="23"/>
      <c r="P131" s="25"/>
      <c r="Q131" s="25"/>
      <c r="R131" s="31"/>
      <c r="S131" s="24"/>
      <c r="T131" s="4" t="str">
        <f aca="false">IF(D131="","",IF(C131="Serviço","S","P")&amp;SUBSTITUTE(SUBSTITUTE(SUBSTITUTE(D131,".",""),"-","")," ",""))</f>
        <v/>
      </c>
      <c r="U131" s="4" t="str">
        <f aca="false">IF(T131="","",IFERROR(MATCH(LEFT(T131,10),'Referência LC 214'!$N$6:$N$967,0),IFERROR(MATCH(LEFT(T131,9),'Referência LC 214'!$N$6:$N$967,0),IFERROR(MATCH(LEFT(T131,8),'Referência LC 214'!$N$6:$N$967,0),IFERROR(MATCH(LEFT(T131,7),'Referência LC 214'!$N$6:$N$967,0),IFERROR(MATCH(LEFT(T131,6),'Referência LC 214'!$N$6:$N$967,0),IFERROR(MATCH(LEFT(T131,5),'Referência LC 214'!$N$6:$N$967,0),IFERROR(MATCH(LEFT(T131,4),'Referência LC 214'!$N$6:$N$967,0),IFERROR(MATCH(LEFT(T131,3),'Referência LC 214'!$N$6:$N$967,0),"")))))))))</f>
        <v/>
      </c>
    </row>
    <row r="132" customFormat="false" ht="15" hidden="false" customHeight="false" outlineLevel="0" collapsed="false">
      <c r="A132" s="23"/>
      <c r="B132" s="24"/>
      <c r="C132" s="25"/>
      <c r="D132" s="23"/>
      <c r="E132" s="23"/>
      <c r="F132" s="25"/>
      <c r="G132" s="26" t="str">
        <f aca="false">IF(T132="","",SUMPRODUCT(--(LEFT(T132,LEN('Referência LC 214'!$N$6:$N$967))='Referência LC 214'!$N$6:$N$967)))</f>
        <v/>
      </c>
      <c r="H132" s="27" t="str">
        <f aca="false">IF(T132="","",IF(U132="","000001",INDEX('Referência LC 214'!$I$6:$I$967,U132)))</f>
        <v/>
      </c>
      <c r="I132" s="28" t="str">
        <f aca="false">IF(T132="","",IF(U132="","Sem anexo: tributação integral",INDEX('Referência LC 214'!$H$6:$H$967,U132)))</f>
        <v/>
      </c>
      <c r="J132" s="29" t="str">
        <f aca="false">IF(T132="","",IF(U132="",0,INDEX('Referência LC 214'!$K$6:$K$967,U132)))</f>
        <v/>
      </c>
      <c r="K132" s="28" t="str">
        <f aca="false">IF(OR(T132="",U132=""),"","Anexo "&amp;INDEX('Referência LC 214'!$E$6:$E$967,U132)&amp;", item "&amp;INDEX('Referência LC 214'!$F$6:$F$967,U132)&amp;": "&amp;INDEX('Referência LC 214'!$G$6:$G$967,U132))</f>
        <v/>
      </c>
      <c r="L132" s="28" t="str">
        <f aca="false">IF(OR(T132="",U132=""),"",IF(INDEX('Referência LC 214'!$L$6:$L$967,U132)&amp;""&lt;&gt;"",INDEX('Referência LC 214'!$L$6:$L$967,U132)&amp;"",IF(SUMPRODUCT((LEFT(T132,LEN('Referência LC 214'!$N$6:$N$967))='Referência LC 214'!$N$6:$N$967)*('Referência LC 214'!$L$6:$L$967&lt;&gt;""))&gt;0,"Há outro tratamento só para alguns compradores (ex.: órgão público/SUS) — veja a referência","")))</f>
        <v/>
      </c>
      <c r="M132" s="30" t="str">
        <f aca="false">IF(T132="","",IF(AND(C132&lt;&gt;"Serviço",LEN(T132)-1&lt;&gt;8),"NCM deve ter 8 dígitos",IF(AND(C132="Serviço",LEN(T132)-1&lt;&gt;9),"NBS deve ter 9 dígitos",IF(L132&lt;&gt;"","Benefício depende do comprador: confira a coluna N",IF(G132&gt;1,"Mais de uma regra: confira o item do anexo na referência",IF(G132=0,"Sem redução na LC 214","Confira se o produto é o descrito no item"))))))</f>
        <v/>
      </c>
      <c r="N132" s="25"/>
      <c r="O132" s="23"/>
      <c r="P132" s="25"/>
      <c r="Q132" s="25"/>
      <c r="R132" s="31"/>
      <c r="S132" s="24"/>
      <c r="T132" s="4" t="str">
        <f aca="false">IF(D132="","",IF(C132="Serviço","S","P")&amp;SUBSTITUTE(SUBSTITUTE(SUBSTITUTE(D132,".",""),"-","")," ",""))</f>
        <v/>
      </c>
      <c r="U132" s="4" t="str">
        <f aca="false">IF(T132="","",IFERROR(MATCH(LEFT(T132,10),'Referência LC 214'!$N$6:$N$967,0),IFERROR(MATCH(LEFT(T132,9),'Referência LC 214'!$N$6:$N$967,0),IFERROR(MATCH(LEFT(T132,8),'Referência LC 214'!$N$6:$N$967,0),IFERROR(MATCH(LEFT(T132,7),'Referência LC 214'!$N$6:$N$967,0),IFERROR(MATCH(LEFT(T132,6),'Referência LC 214'!$N$6:$N$967,0),IFERROR(MATCH(LEFT(T132,5),'Referência LC 214'!$N$6:$N$967,0),IFERROR(MATCH(LEFT(T132,4),'Referência LC 214'!$N$6:$N$967,0),IFERROR(MATCH(LEFT(T132,3),'Referência LC 214'!$N$6:$N$967,0),"")))))))))</f>
        <v/>
      </c>
    </row>
    <row r="133" customFormat="false" ht="15" hidden="false" customHeight="false" outlineLevel="0" collapsed="false">
      <c r="A133" s="23"/>
      <c r="B133" s="24"/>
      <c r="C133" s="25"/>
      <c r="D133" s="23"/>
      <c r="E133" s="23"/>
      <c r="F133" s="25"/>
      <c r="G133" s="26" t="str">
        <f aca="false">IF(T133="","",SUMPRODUCT(--(LEFT(T133,LEN('Referência LC 214'!$N$6:$N$967))='Referência LC 214'!$N$6:$N$967)))</f>
        <v/>
      </c>
      <c r="H133" s="27" t="str">
        <f aca="false">IF(T133="","",IF(U133="","000001",INDEX('Referência LC 214'!$I$6:$I$967,U133)))</f>
        <v/>
      </c>
      <c r="I133" s="28" t="str">
        <f aca="false">IF(T133="","",IF(U133="","Sem anexo: tributação integral",INDEX('Referência LC 214'!$H$6:$H$967,U133)))</f>
        <v/>
      </c>
      <c r="J133" s="29" t="str">
        <f aca="false">IF(T133="","",IF(U133="",0,INDEX('Referência LC 214'!$K$6:$K$967,U133)))</f>
        <v/>
      </c>
      <c r="K133" s="28" t="str">
        <f aca="false">IF(OR(T133="",U133=""),"","Anexo "&amp;INDEX('Referência LC 214'!$E$6:$E$967,U133)&amp;", item "&amp;INDEX('Referência LC 214'!$F$6:$F$967,U133)&amp;": "&amp;INDEX('Referência LC 214'!$G$6:$G$967,U133))</f>
        <v/>
      </c>
      <c r="L133" s="28" t="str">
        <f aca="false">IF(OR(T133="",U133=""),"",IF(INDEX('Referência LC 214'!$L$6:$L$967,U133)&amp;""&lt;&gt;"",INDEX('Referência LC 214'!$L$6:$L$967,U133)&amp;"",IF(SUMPRODUCT((LEFT(T133,LEN('Referência LC 214'!$N$6:$N$967))='Referência LC 214'!$N$6:$N$967)*('Referência LC 214'!$L$6:$L$967&lt;&gt;""))&gt;0,"Há outro tratamento só para alguns compradores (ex.: órgão público/SUS) — veja a referência","")))</f>
        <v/>
      </c>
      <c r="M133" s="30" t="str">
        <f aca="false">IF(T133="","",IF(AND(C133&lt;&gt;"Serviço",LEN(T133)-1&lt;&gt;8),"NCM deve ter 8 dígitos",IF(AND(C133="Serviço",LEN(T133)-1&lt;&gt;9),"NBS deve ter 9 dígitos",IF(L133&lt;&gt;"","Benefício depende do comprador: confira a coluna N",IF(G133&gt;1,"Mais de uma regra: confira o item do anexo na referência",IF(G133=0,"Sem redução na LC 214","Confira se o produto é o descrito no item"))))))</f>
        <v/>
      </c>
      <c r="N133" s="25"/>
      <c r="O133" s="23"/>
      <c r="P133" s="25"/>
      <c r="Q133" s="25"/>
      <c r="R133" s="31"/>
      <c r="S133" s="24"/>
      <c r="T133" s="4" t="str">
        <f aca="false">IF(D133="","",IF(C133="Serviço","S","P")&amp;SUBSTITUTE(SUBSTITUTE(SUBSTITUTE(D133,".",""),"-","")," ",""))</f>
        <v/>
      </c>
      <c r="U133" s="4" t="str">
        <f aca="false">IF(T133="","",IFERROR(MATCH(LEFT(T133,10),'Referência LC 214'!$N$6:$N$967,0),IFERROR(MATCH(LEFT(T133,9),'Referência LC 214'!$N$6:$N$967,0),IFERROR(MATCH(LEFT(T133,8),'Referência LC 214'!$N$6:$N$967,0),IFERROR(MATCH(LEFT(T133,7),'Referência LC 214'!$N$6:$N$967,0),IFERROR(MATCH(LEFT(T133,6),'Referência LC 214'!$N$6:$N$967,0),IFERROR(MATCH(LEFT(T133,5),'Referência LC 214'!$N$6:$N$967,0),IFERROR(MATCH(LEFT(T133,4),'Referência LC 214'!$N$6:$N$967,0),IFERROR(MATCH(LEFT(T133,3),'Referência LC 214'!$N$6:$N$967,0),"")))))))))</f>
        <v/>
      </c>
    </row>
    <row r="134" customFormat="false" ht="15" hidden="false" customHeight="false" outlineLevel="0" collapsed="false">
      <c r="A134" s="23"/>
      <c r="B134" s="24"/>
      <c r="C134" s="25"/>
      <c r="D134" s="23"/>
      <c r="E134" s="23"/>
      <c r="F134" s="25"/>
      <c r="G134" s="26" t="str">
        <f aca="false">IF(T134="","",SUMPRODUCT(--(LEFT(T134,LEN('Referência LC 214'!$N$6:$N$967))='Referência LC 214'!$N$6:$N$967)))</f>
        <v/>
      </c>
      <c r="H134" s="27" t="str">
        <f aca="false">IF(T134="","",IF(U134="","000001",INDEX('Referência LC 214'!$I$6:$I$967,U134)))</f>
        <v/>
      </c>
      <c r="I134" s="28" t="str">
        <f aca="false">IF(T134="","",IF(U134="","Sem anexo: tributação integral",INDEX('Referência LC 214'!$H$6:$H$967,U134)))</f>
        <v/>
      </c>
      <c r="J134" s="29" t="str">
        <f aca="false">IF(T134="","",IF(U134="",0,INDEX('Referência LC 214'!$K$6:$K$967,U134)))</f>
        <v/>
      </c>
      <c r="K134" s="28" t="str">
        <f aca="false">IF(OR(T134="",U134=""),"","Anexo "&amp;INDEX('Referência LC 214'!$E$6:$E$967,U134)&amp;", item "&amp;INDEX('Referência LC 214'!$F$6:$F$967,U134)&amp;": "&amp;INDEX('Referência LC 214'!$G$6:$G$967,U134))</f>
        <v/>
      </c>
      <c r="L134" s="28" t="str">
        <f aca="false">IF(OR(T134="",U134=""),"",IF(INDEX('Referência LC 214'!$L$6:$L$967,U134)&amp;""&lt;&gt;"",INDEX('Referência LC 214'!$L$6:$L$967,U134)&amp;"",IF(SUMPRODUCT((LEFT(T134,LEN('Referência LC 214'!$N$6:$N$967))='Referência LC 214'!$N$6:$N$967)*('Referência LC 214'!$L$6:$L$967&lt;&gt;""))&gt;0,"Há outro tratamento só para alguns compradores (ex.: órgão público/SUS) — veja a referência","")))</f>
        <v/>
      </c>
      <c r="M134" s="30" t="str">
        <f aca="false">IF(T134="","",IF(AND(C134&lt;&gt;"Serviço",LEN(T134)-1&lt;&gt;8),"NCM deve ter 8 dígitos",IF(AND(C134="Serviço",LEN(T134)-1&lt;&gt;9),"NBS deve ter 9 dígitos",IF(L134&lt;&gt;"","Benefício depende do comprador: confira a coluna N",IF(G134&gt;1,"Mais de uma regra: confira o item do anexo na referência",IF(G134=0,"Sem redução na LC 214","Confira se o produto é o descrito no item"))))))</f>
        <v/>
      </c>
      <c r="N134" s="25"/>
      <c r="O134" s="23"/>
      <c r="P134" s="25"/>
      <c r="Q134" s="25"/>
      <c r="R134" s="31"/>
      <c r="S134" s="24"/>
      <c r="T134" s="4" t="str">
        <f aca="false">IF(D134="","",IF(C134="Serviço","S","P")&amp;SUBSTITUTE(SUBSTITUTE(SUBSTITUTE(D134,".",""),"-","")," ",""))</f>
        <v/>
      </c>
      <c r="U134" s="4" t="str">
        <f aca="false">IF(T134="","",IFERROR(MATCH(LEFT(T134,10),'Referência LC 214'!$N$6:$N$967,0),IFERROR(MATCH(LEFT(T134,9),'Referência LC 214'!$N$6:$N$967,0),IFERROR(MATCH(LEFT(T134,8),'Referência LC 214'!$N$6:$N$967,0),IFERROR(MATCH(LEFT(T134,7),'Referência LC 214'!$N$6:$N$967,0),IFERROR(MATCH(LEFT(T134,6),'Referência LC 214'!$N$6:$N$967,0),IFERROR(MATCH(LEFT(T134,5),'Referência LC 214'!$N$6:$N$967,0),IFERROR(MATCH(LEFT(T134,4),'Referência LC 214'!$N$6:$N$967,0),IFERROR(MATCH(LEFT(T134,3),'Referência LC 214'!$N$6:$N$967,0),"")))))))))</f>
        <v/>
      </c>
    </row>
    <row r="135" customFormat="false" ht="15" hidden="false" customHeight="false" outlineLevel="0" collapsed="false">
      <c r="A135" s="23"/>
      <c r="B135" s="24"/>
      <c r="C135" s="25"/>
      <c r="D135" s="23"/>
      <c r="E135" s="23"/>
      <c r="F135" s="25"/>
      <c r="G135" s="26" t="str">
        <f aca="false">IF(T135="","",SUMPRODUCT(--(LEFT(T135,LEN('Referência LC 214'!$N$6:$N$967))='Referência LC 214'!$N$6:$N$967)))</f>
        <v/>
      </c>
      <c r="H135" s="27" t="str">
        <f aca="false">IF(T135="","",IF(U135="","000001",INDEX('Referência LC 214'!$I$6:$I$967,U135)))</f>
        <v/>
      </c>
      <c r="I135" s="28" t="str">
        <f aca="false">IF(T135="","",IF(U135="","Sem anexo: tributação integral",INDEX('Referência LC 214'!$H$6:$H$967,U135)))</f>
        <v/>
      </c>
      <c r="J135" s="29" t="str">
        <f aca="false">IF(T135="","",IF(U135="",0,INDEX('Referência LC 214'!$K$6:$K$967,U135)))</f>
        <v/>
      </c>
      <c r="K135" s="28" t="str">
        <f aca="false">IF(OR(T135="",U135=""),"","Anexo "&amp;INDEX('Referência LC 214'!$E$6:$E$967,U135)&amp;", item "&amp;INDEX('Referência LC 214'!$F$6:$F$967,U135)&amp;": "&amp;INDEX('Referência LC 214'!$G$6:$G$967,U135))</f>
        <v/>
      </c>
      <c r="L135" s="28" t="str">
        <f aca="false">IF(OR(T135="",U135=""),"",IF(INDEX('Referência LC 214'!$L$6:$L$967,U135)&amp;""&lt;&gt;"",INDEX('Referência LC 214'!$L$6:$L$967,U135)&amp;"",IF(SUMPRODUCT((LEFT(T135,LEN('Referência LC 214'!$N$6:$N$967))='Referência LC 214'!$N$6:$N$967)*('Referência LC 214'!$L$6:$L$967&lt;&gt;""))&gt;0,"Há outro tratamento só para alguns compradores (ex.: órgão público/SUS) — veja a referência","")))</f>
        <v/>
      </c>
      <c r="M135" s="30" t="str">
        <f aca="false">IF(T135="","",IF(AND(C135&lt;&gt;"Serviço",LEN(T135)-1&lt;&gt;8),"NCM deve ter 8 dígitos",IF(AND(C135="Serviço",LEN(T135)-1&lt;&gt;9),"NBS deve ter 9 dígitos",IF(L135&lt;&gt;"","Benefício depende do comprador: confira a coluna N",IF(G135&gt;1,"Mais de uma regra: confira o item do anexo na referência",IF(G135=0,"Sem redução na LC 214","Confira se o produto é o descrito no item"))))))</f>
        <v/>
      </c>
      <c r="N135" s="25"/>
      <c r="O135" s="23"/>
      <c r="P135" s="25"/>
      <c r="Q135" s="25"/>
      <c r="R135" s="31"/>
      <c r="S135" s="24"/>
      <c r="T135" s="4" t="str">
        <f aca="false">IF(D135="","",IF(C135="Serviço","S","P")&amp;SUBSTITUTE(SUBSTITUTE(SUBSTITUTE(D135,".",""),"-","")," ",""))</f>
        <v/>
      </c>
      <c r="U135" s="4" t="str">
        <f aca="false">IF(T135="","",IFERROR(MATCH(LEFT(T135,10),'Referência LC 214'!$N$6:$N$967,0),IFERROR(MATCH(LEFT(T135,9),'Referência LC 214'!$N$6:$N$967,0),IFERROR(MATCH(LEFT(T135,8),'Referência LC 214'!$N$6:$N$967,0),IFERROR(MATCH(LEFT(T135,7),'Referência LC 214'!$N$6:$N$967,0),IFERROR(MATCH(LEFT(T135,6),'Referência LC 214'!$N$6:$N$967,0),IFERROR(MATCH(LEFT(T135,5),'Referência LC 214'!$N$6:$N$967,0),IFERROR(MATCH(LEFT(T135,4),'Referência LC 214'!$N$6:$N$967,0),IFERROR(MATCH(LEFT(T135,3),'Referência LC 214'!$N$6:$N$967,0),"")))))))))</f>
        <v/>
      </c>
    </row>
    <row r="136" customFormat="false" ht="15" hidden="false" customHeight="false" outlineLevel="0" collapsed="false">
      <c r="A136" s="23"/>
      <c r="B136" s="24"/>
      <c r="C136" s="25"/>
      <c r="D136" s="23"/>
      <c r="E136" s="23"/>
      <c r="F136" s="25"/>
      <c r="G136" s="26" t="str">
        <f aca="false">IF(T136="","",SUMPRODUCT(--(LEFT(T136,LEN('Referência LC 214'!$N$6:$N$967))='Referência LC 214'!$N$6:$N$967)))</f>
        <v/>
      </c>
      <c r="H136" s="27" t="str">
        <f aca="false">IF(T136="","",IF(U136="","000001",INDEX('Referência LC 214'!$I$6:$I$967,U136)))</f>
        <v/>
      </c>
      <c r="I136" s="28" t="str">
        <f aca="false">IF(T136="","",IF(U136="","Sem anexo: tributação integral",INDEX('Referência LC 214'!$H$6:$H$967,U136)))</f>
        <v/>
      </c>
      <c r="J136" s="29" t="str">
        <f aca="false">IF(T136="","",IF(U136="",0,INDEX('Referência LC 214'!$K$6:$K$967,U136)))</f>
        <v/>
      </c>
      <c r="K136" s="28" t="str">
        <f aca="false">IF(OR(T136="",U136=""),"","Anexo "&amp;INDEX('Referência LC 214'!$E$6:$E$967,U136)&amp;", item "&amp;INDEX('Referência LC 214'!$F$6:$F$967,U136)&amp;": "&amp;INDEX('Referência LC 214'!$G$6:$G$967,U136))</f>
        <v/>
      </c>
      <c r="L136" s="28" t="str">
        <f aca="false">IF(OR(T136="",U136=""),"",IF(INDEX('Referência LC 214'!$L$6:$L$967,U136)&amp;""&lt;&gt;"",INDEX('Referência LC 214'!$L$6:$L$967,U136)&amp;"",IF(SUMPRODUCT((LEFT(T136,LEN('Referência LC 214'!$N$6:$N$967))='Referência LC 214'!$N$6:$N$967)*('Referência LC 214'!$L$6:$L$967&lt;&gt;""))&gt;0,"Há outro tratamento só para alguns compradores (ex.: órgão público/SUS) — veja a referência","")))</f>
        <v/>
      </c>
      <c r="M136" s="30" t="str">
        <f aca="false">IF(T136="","",IF(AND(C136&lt;&gt;"Serviço",LEN(T136)-1&lt;&gt;8),"NCM deve ter 8 dígitos",IF(AND(C136="Serviço",LEN(T136)-1&lt;&gt;9),"NBS deve ter 9 dígitos",IF(L136&lt;&gt;"","Benefício depende do comprador: confira a coluna N",IF(G136&gt;1,"Mais de uma regra: confira o item do anexo na referência",IF(G136=0,"Sem redução na LC 214","Confira se o produto é o descrito no item"))))))</f>
        <v/>
      </c>
      <c r="N136" s="25"/>
      <c r="O136" s="23"/>
      <c r="P136" s="25"/>
      <c r="Q136" s="25"/>
      <c r="R136" s="31"/>
      <c r="S136" s="24"/>
      <c r="T136" s="4" t="str">
        <f aca="false">IF(D136="","",IF(C136="Serviço","S","P")&amp;SUBSTITUTE(SUBSTITUTE(SUBSTITUTE(D136,".",""),"-","")," ",""))</f>
        <v/>
      </c>
      <c r="U136" s="4" t="str">
        <f aca="false">IF(T136="","",IFERROR(MATCH(LEFT(T136,10),'Referência LC 214'!$N$6:$N$967,0),IFERROR(MATCH(LEFT(T136,9),'Referência LC 214'!$N$6:$N$967,0),IFERROR(MATCH(LEFT(T136,8),'Referência LC 214'!$N$6:$N$967,0),IFERROR(MATCH(LEFT(T136,7),'Referência LC 214'!$N$6:$N$967,0),IFERROR(MATCH(LEFT(T136,6),'Referência LC 214'!$N$6:$N$967,0),IFERROR(MATCH(LEFT(T136,5),'Referência LC 214'!$N$6:$N$967,0),IFERROR(MATCH(LEFT(T136,4),'Referência LC 214'!$N$6:$N$967,0),IFERROR(MATCH(LEFT(T136,3),'Referência LC 214'!$N$6:$N$967,0),"")))))))))</f>
        <v/>
      </c>
    </row>
    <row r="137" customFormat="false" ht="15" hidden="false" customHeight="false" outlineLevel="0" collapsed="false">
      <c r="A137" s="23"/>
      <c r="B137" s="24"/>
      <c r="C137" s="25"/>
      <c r="D137" s="23"/>
      <c r="E137" s="23"/>
      <c r="F137" s="25"/>
      <c r="G137" s="26" t="str">
        <f aca="false">IF(T137="","",SUMPRODUCT(--(LEFT(T137,LEN('Referência LC 214'!$N$6:$N$967))='Referência LC 214'!$N$6:$N$967)))</f>
        <v/>
      </c>
      <c r="H137" s="27" t="str">
        <f aca="false">IF(T137="","",IF(U137="","000001",INDEX('Referência LC 214'!$I$6:$I$967,U137)))</f>
        <v/>
      </c>
      <c r="I137" s="28" t="str">
        <f aca="false">IF(T137="","",IF(U137="","Sem anexo: tributação integral",INDEX('Referência LC 214'!$H$6:$H$967,U137)))</f>
        <v/>
      </c>
      <c r="J137" s="29" t="str">
        <f aca="false">IF(T137="","",IF(U137="",0,INDEX('Referência LC 214'!$K$6:$K$967,U137)))</f>
        <v/>
      </c>
      <c r="K137" s="28" t="str">
        <f aca="false">IF(OR(T137="",U137=""),"","Anexo "&amp;INDEX('Referência LC 214'!$E$6:$E$967,U137)&amp;", item "&amp;INDEX('Referência LC 214'!$F$6:$F$967,U137)&amp;": "&amp;INDEX('Referência LC 214'!$G$6:$G$967,U137))</f>
        <v/>
      </c>
      <c r="L137" s="28" t="str">
        <f aca="false">IF(OR(T137="",U137=""),"",IF(INDEX('Referência LC 214'!$L$6:$L$967,U137)&amp;""&lt;&gt;"",INDEX('Referência LC 214'!$L$6:$L$967,U137)&amp;"",IF(SUMPRODUCT((LEFT(T137,LEN('Referência LC 214'!$N$6:$N$967))='Referência LC 214'!$N$6:$N$967)*('Referência LC 214'!$L$6:$L$967&lt;&gt;""))&gt;0,"Há outro tratamento só para alguns compradores (ex.: órgão público/SUS) — veja a referência","")))</f>
        <v/>
      </c>
      <c r="M137" s="30" t="str">
        <f aca="false">IF(T137="","",IF(AND(C137&lt;&gt;"Serviço",LEN(T137)-1&lt;&gt;8),"NCM deve ter 8 dígitos",IF(AND(C137="Serviço",LEN(T137)-1&lt;&gt;9),"NBS deve ter 9 dígitos",IF(L137&lt;&gt;"","Benefício depende do comprador: confira a coluna N",IF(G137&gt;1,"Mais de uma regra: confira o item do anexo na referência",IF(G137=0,"Sem redução na LC 214","Confira se o produto é o descrito no item"))))))</f>
        <v/>
      </c>
      <c r="N137" s="25"/>
      <c r="O137" s="23"/>
      <c r="P137" s="25"/>
      <c r="Q137" s="25"/>
      <c r="R137" s="31"/>
      <c r="S137" s="24"/>
      <c r="T137" s="4" t="str">
        <f aca="false">IF(D137="","",IF(C137="Serviço","S","P")&amp;SUBSTITUTE(SUBSTITUTE(SUBSTITUTE(D137,".",""),"-","")," ",""))</f>
        <v/>
      </c>
      <c r="U137" s="4" t="str">
        <f aca="false">IF(T137="","",IFERROR(MATCH(LEFT(T137,10),'Referência LC 214'!$N$6:$N$967,0),IFERROR(MATCH(LEFT(T137,9),'Referência LC 214'!$N$6:$N$967,0),IFERROR(MATCH(LEFT(T137,8),'Referência LC 214'!$N$6:$N$967,0),IFERROR(MATCH(LEFT(T137,7),'Referência LC 214'!$N$6:$N$967,0),IFERROR(MATCH(LEFT(T137,6),'Referência LC 214'!$N$6:$N$967,0),IFERROR(MATCH(LEFT(T137,5),'Referência LC 214'!$N$6:$N$967,0),IFERROR(MATCH(LEFT(T137,4),'Referência LC 214'!$N$6:$N$967,0),IFERROR(MATCH(LEFT(T137,3),'Referência LC 214'!$N$6:$N$967,0),"")))))))))</f>
        <v/>
      </c>
    </row>
    <row r="138" customFormat="false" ht="15" hidden="false" customHeight="false" outlineLevel="0" collapsed="false">
      <c r="A138" s="23"/>
      <c r="B138" s="24"/>
      <c r="C138" s="25"/>
      <c r="D138" s="23"/>
      <c r="E138" s="23"/>
      <c r="F138" s="25"/>
      <c r="G138" s="26" t="str">
        <f aca="false">IF(T138="","",SUMPRODUCT(--(LEFT(T138,LEN('Referência LC 214'!$N$6:$N$967))='Referência LC 214'!$N$6:$N$967)))</f>
        <v/>
      </c>
      <c r="H138" s="27" t="str">
        <f aca="false">IF(T138="","",IF(U138="","000001",INDEX('Referência LC 214'!$I$6:$I$967,U138)))</f>
        <v/>
      </c>
      <c r="I138" s="28" t="str">
        <f aca="false">IF(T138="","",IF(U138="","Sem anexo: tributação integral",INDEX('Referência LC 214'!$H$6:$H$967,U138)))</f>
        <v/>
      </c>
      <c r="J138" s="29" t="str">
        <f aca="false">IF(T138="","",IF(U138="",0,INDEX('Referência LC 214'!$K$6:$K$967,U138)))</f>
        <v/>
      </c>
      <c r="K138" s="28" t="str">
        <f aca="false">IF(OR(T138="",U138=""),"","Anexo "&amp;INDEX('Referência LC 214'!$E$6:$E$967,U138)&amp;", item "&amp;INDEX('Referência LC 214'!$F$6:$F$967,U138)&amp;": "&amp;INDEX('Referência LC 214'!$G$6:$G$967,U138))</f>
        <v/>
      </c>
      <c r="L138" s="28" t="str">
        <f aca="false">IF(OR(T138="",U138=""),"",IF(INDEX('Referência LC 214'!$L$6:$L$967,U138)&amp;""&lt;&gt;"",INDEX('Referência LC 214'!$L$6:$L$967,U138)&amp;"",IF(SUMPRODUCT((LEFT(T138,LEN('Referência LC 214'!$N$6:$N$967))='Referência LC 214'!$N$6:$N$967)*('Referência LC 214'!$L$6:$L$967&lt;&gt;""))&gt;0,"Há outro tratamento só para alguns compradores (ex.: órgão público/SUS) — veja a referência","")))</f>
        <v/>
      </c>
      <c r="M138" s="30" t="str">
        <f aca="false">IF(T138="","",IF(AND(C138&lt;&gt;"Serviço",LEN(T138)-1&lt;&gt;8),"NCM deve ter 8 dígitos",IF(AND(C138="Serviço",LEN(T138)-1&lt;&gt;9),"NBS deve ter 9 dígitos",IF(L138&lt;&gt;"","Benefício depende do comprador: confira a coluna N",IF(G138&gt;1,"Mais de uma regra: confira o item do anexo na referência",IF(G138=0,"Sem redução na LC 214","Confira se o produto é o descrito no item"))))))</f>
        <v/>
      </c>
      <c r="N138" s="25"/>
      <c r="O138" s="23"/>
      <c r="P138" s="25"/>
      <c r="Q138" s="25"/>
      <c r="R138" s="31"/>
      <c r="S138" s="24"/>
      <c r="T138" s="4" t="str">
        <f aca="false">IF(D138="","",IF(C138="Serviço","S","P")&amp;SUBSTITUTE(SUBSTITUTE(SUBSTITUTE(D138,".",""),"-","")," ",""))</f>
        <v/>
      </c>
      <c r="U138" s="4" t="str">
        <f aca="false">IF(T138="","",IFERROR(MATCH(LEFT(T138,10),'Referência LC 214'!$N$6:$N$967,0),IFERROR(MATCH(LEFT(T138,9),'Referência LC 214'!$N$6:$N$967,0),IFERROR(MATCH(LEFT(T138,8),'Referência LC 214'!$N$6:$N$967,0),IFERROR(MATCH(LEFT(T138,7),'Referência LC 214'!$N$6:$N$967,0),IFERROR(MATCH(LEFT(T138,6),'Referência LC 214'!$N$6:$N$967,0),IFERROR(MATCH(LEFT(T138,5),'Referência LC 214'!$N$6:$N$967,0),IFERROR(MATCH(LEFT(T138,4),'Referência LC 214'!$N$6:$N$967,0),IFERROR(MATCH(LEFT(T138,3),'Referência LC 214'!$N$6:$N$967,0),"")))))))))</f>
        <v/>
      </c>
    </row>
    <row r="139" customFormat="false" ht="15" hidden="false" customHeight="false" outlineLevel="0" collapsed="false">
      <c r="A139" s="23"/>
      <c r="B139" s="24"/>
      <c r="C139" s="25"/>
      <c r="D139" s="23"/>
      <c r="E139" s="23"/>
      <c r="F139" s="25"/>
      <c r="G139" s="26" t="str">
        <f aca="false">IF(T139="","",SUMPRODUCT(--(LEFT(T139,LEN('Referência LC 214'!$N$6:$N$967))='Referência LC 214'!$N$6:$N$967)))</f>
        <v/>
      </c>
      <c r="H139" s="27" t="str">
        <f aca="false">IF(T139="","",IF(U139="","000001",INDEX('Referência LC 214'!$I$6:$I$967,U139)))</f>
        <v/>
      </c>
      <c r="I139" s="28" t="str">
        <f aca="false">IF(T139="","",IF(U139="","Sem anexo: tributação integral",INDEX('Referência LC 214'!$H$6:$H$967,U139)))</f>
        <v/>
      </c>
      <c r="J139" s="29" t="str">
        <f aca="false">IF(T139="","",IF(U139="",0,INDEX('Referência LC 214'!$K$6:$K$967,U139)))</f>
        <v/>
      </c>
      <c r="K139" s="28" t="str">
        <f aca="false">IF(OR(T139="",U139=""),"","Anexo "&amp;INDEX('Referência LC 214'!$E$6:$E$967,U139)&amp;", item "&amp;INDEX('Referência LC 214'!$F$6:$F$967,U139)&amp;": "&amp;INDEX('Referência LC 214'!$G$6:$G$967,U139))</f>
        <v/>
      </c>
      <c r="L139" s="28" t="str">
        <f aca="false">IF(OR(T139="",U139=""),"",IF(INDEX('Referência LC 214'!$L$6:$L$967,U139)&amp;""&lt;&gt;"",INDEX('Referência LC 214'!$L$6:$L$967,U139)&amp;"",IF(SUMPRODUCT((LEFT(T139,LEN('Referência LC 214'!$N$6:$N$967))='Referência LC 214'!$N$6:$N$967)*('Referência LC 214'!$L$6:$L$967&lt;&gt;""))&gt;0,"Há outro tratamento só para alguns compradores (ex.: órgão público/SUS) — veja a referência","")))</f>
        <v/>
      </c>
      <c r="M139" s="30" t="str">
        <f aca="false">IF(T139="","",IF(AND(C139&lt;&gt;"Serviço",LEN(T139)-1&lt;&gt;8),"NCM deve ter 8 dígitos",IF(AND(C139="Serviço",LEN(T139)-1&lt;&gt;9),"NBS deve ter 9 dígitos",IF(L139&lt;&gt;"","Benefício depende do comprador: confira a coluna N",IF(G139&gt;1,"Mais de uma regra: confira o item do anexo na referência",IF(G139=0,"Sem redução na LC 214","Confira se o produto é o descrito no item"))))))</f>
        <v/>
      </c>
      <c r="N139" s="25"/>
      <c r="O139" s="23"/>
      <c r="P139" s="25"/>
      <c r="Q139" s="25"/>
      <c r="R139" s="31"/>
      <c r="S139" s="24"/>
      <c r="T139" s="4" t="str">
        <f aca="false">IF(D139="","",IF(C139="Serviço","S","P")&amp;SUBSTITUTE(SUBSTITUTE(SUBSTITUTE(D139,".",""),"-","")," ",""))</f>
        <v/>
      </c>
      <c r="U139" s="4" t="str">
        <f aca="false">IF(T139="","",IFERROR(MATCH(LEFT(T139,10),'Referência LC 214'!$N$6:$N$967,0),IFERROR(MATCH(LEFT(T139,9),'Referência LC 214'!$N$6:$N$967,0),IFERROR(MATCH(LEFT(T139,8),'Referência LC 214'!$N$6:$N$967,0),IFERROR(MATCH(LEFT(T139,7),'Referência LC 214'!$N$6:$N$967,0),IFERROR(MATCH(LEFT(T139,6),'Referência LC 214'!$N$6:$N$967,0),IFERROR(MATCH(LEFT(T139,5),'Referência LC 214'!$N$6:$N$967,0),IFERROR(MATCH(LEFT(T139,4),'Referência LC 214'!$N$6:$N$967,0),IFERROR(MATCH(LEFT(T139,3),'Referência LC 214'!$N$6:$N$967,0),"")))))))))</f>
        <v/>
      </c>
    </row>
    <row r="140" customFormat="false" ht="15" hidden="false" customHeight="false" outlineLevel="0" collapsed="false">
      <c r="A140" s="23"/>
      <c r="B140" s="24"/>
      <c r="C140" s="25"/>
      <c r="D140" s="23"/>
      <c r="E140" s="23"/>
      <c r="F140" s="25"/>
      <c r="G140" s="26" t="str">
        <f aca="false">IF(T140="","",SUMPRODUCT(--(LEFT(T140,LEN('Referência LC 214'!$N$6:$N$967))='Referência LC 214'!$N$6:$N$967)))</f>
        <v/>
      </c>
      <c r="H140" s="27" t="str">
        <f aca="false">IF(T140="","",IF(U140="","000001",INDEX('Referência LC 214'!$I$6:$I$967,U140)))</f>
        <v/>
      </c>
      <c r="I140" s="28" t="str">
        <f aca="false">IF(T140="","",IF(U140="","Sem anexo: tributação integral",INDEX('Referência LC 214'!$H$6:$H$967,U140)))</f>
        <v/>
      </c>
      <c r="J140" s="29" t="str">
        <f aca="false">IF(T140="","",IF(U140="",0,INDEX('Referência LC 214'!$K$6:$K$967,U140)))</f>
        <v/>
      </c>
      <c r="K140" s="28" t="str">
        <f aca="false">IF(OR(T140="",U140=""),"","Anexo "&amp;INDEX('Referência LC 214'!$E$6:$E$967,U140)&amp;", item "&amp;INDEX('Referência LC 214'!$F$6:$F$967,U140)&amp;": "&amp;INDEX('Referência LC 214'!$G$6:$G$967,U140))</f>
        <v/>
      </c>
      <c r="L140" s="28" t="str">
        <f aca="false">IF(OR(T140="",U140=""),"",IF(INDEX('Referência LC 214'!$L$6:$L$967,U140)&amp;""&lt;&gt;"",INDEX('Referência LC 214'!$L$6:$L$967,U140)&amp;"",IF(SUMPRODUCT((LEFT(T140,LEN('Referência LC 214'!$N$6:$N$967))='Referência LC 214'!$N$6:$N$967)*('Referência LC 214'!$L$6:$L$967&lt;&gt;""))&gt;0,"Há outro tratamento só para alguns compradores (ex.: órgão público/SUS) — veja a referência","")))</f>
        <v/>
      </c>
      <c r="M140" s="30" t="str">
        <f aca="false">IF(T140="","",IF(AND(C140&lt;&gt;"Serviço",LEN(T140)-1&lt;&gt;8),"NCM deve ter 8 dígitos",IF(AND(C140="Serviço",LEN(T140)-1&lt;&gt;9),"NBS deve ter 9 dígitos",IF(L140&lt;&gt;"","Benefício depende do comprador: confira a coluna N",IF(G140&gt;1,"Mais de uma regra: confira o item do anexo na referência",IF(G140=0,"Sem redução na LC 214","Confira se o produto é o descrito no item"))))))</f>
        <v/>
      </c>
      <c r="N140" s="25"/>
      <c r="O140" s="23"/>
      <c r="P140" s="25"/>
      <c r="Q140" s="25"/>
      <c r="R140" s="31"/>
      <c r="S140" s="24"/>
      <c r="T140" s="4" t="str">
        <f aca="false">IF(D140="","",IF(C140="Serviço","S","P")&amp;SUBSTITUTE(SUBSTITUTE(SUBSTITUTE(D140,".",""),"-","")," ",""))</f>
        <v/>
      </c>
      <c r="U140" s="4" t="str">
        <f aca="false">IF(T140="","",IFERROR(MATCH(LEFT(T140,10),'Referência LC 214'!$N$6:$N$967,0),IFERROR(MATCH(LEFT(T140,9),'Referência LC 214'!$N$6:$N$967,0),IFERROR(MATCH(LEFT(T140,8),'Referência LC 214'!$N$6:$N$967,0),IFERROR(MATCH(LEFT(T140,7),'Referência LC 214'!$N$6:$N$967,0),IFERROR(MATCH(LEFT(T140,6),'Referência LC 214'!$N$6:$N$967,0),IFERROR(MATCH(LEFT(T140,5),'Referência LC 214'!$N$6:$N$967,0),IFERROR(MATCH(LEFT(T140,4),'Referência LC 214'!$N$6:$N$967,0),IFERROR(MATCH(LEFT(T140,3),'Referência LC 214'!$N$6:$N$967,0),"")))))))))</f>
        <v/>
      </c>
    </row>
    <row r="141" customFormat="false" ht="15" hidden="false" customHeight="false" outlineLevel="0" collapsed="false">
      <c r="A141" s="23"/>
      <c r="B141" s="24"/>
      <c r="C141" s="25"/>
      <c r="D141" s="23"/>
      <c r="E141" s="23"/>
      <c r="F141" s="25"/>
      <c r="G141" s="26" t="str">
        <f aca="false">IF(T141="","",SUMPRODUCT(--(LEFT(T141,LEN('Referência LC 214'!$N$6:$N$967))='Referência LC 214'!$N$6:$N$967)))</f>
        <v/>
      </c>
      <c r="H141" s="27" t="str">
        <f aca="false">IF(T141="","",IF(U141="","000001",INDEX('Referência LC 214'!$I$6:$I$967,U141)))</f>
        <v/>
      </c>
      <c r="I141" s="28" t="str">
        <f aca="false">IF(T141="","",IF(U141="","Sem anexo: tributação integral",INDEX('Referência LC 214'!$H$6:$H$967,U141)))</f>
        <v/>
      </c>
      <c r="J141" s="29" t="str">
        <f aca="false">IF(T141="","",IF(U141="",0,INDEX('Referência LC 214'!$K$6:$K$967,U141)))</f>
        <v/>
      </c>
      <c r="K141" s="28" t="str">
        <f aca="false">IF(OR(T141="",U141=""),"","Anexo "&amp;INDEX('Referência LC 214'!$E$6:$E$967,U141)&amp;", item "&amp;INDEX('Referência LC 214'!$F$6:$F$967,U141)&amp;": "&amp;INDEX('Referência LC 214'!$G$6:$G$967,U141))</f>
        <v/>
      </c>
      <c r="L141" s="28" t="str">
        <f aca="false">IF(OR(T141="",U141=""),"",IF(INDEX('Referência LC 214'!$L$6:$L$967,U141)&amp;""&lt;&gt;"",INDEX('Referência LC 214'!$L$6:$L$967,U141)&amp;"",IF(SUMPRODUCT((LEFT(T141,LEN('Referência LC 214'!$N$6:$N$967))='Referência LC 214'!$N$6:$N$967)*('Referência LC 214'!$L$6:$L$967&lt;&gt;""))&gt;0,"Há outro tratamento só para alguns compradores (ex.: órgão público/SUS) — veja a referência","")))</f>
        <v/>
      </c>
      <c r="M141" s="30" t="str">
        <f aca="false">IF(T141="","",IF(AND(C141&lt;&gt;"Serviço",LEN(T141)-1&lt;&gt;8),"NCM deve ter 8 dígitos",IF(AND(C141="Serviço",LEN(T141)-1&lt;&gt;9),"NBS deve ter 9 dígitos",IF(L141&lt;&gt;"","Benefício depende do comprador: confira a coluna N",IF(G141&gt;1,"Mais de uma regra: confira o item do anexo na referência",IF(G141=0,"Sem redução na LC 214","Confira se o produto é o descrito no item"))))))</f>
        <v/>
      </c>
      <c r="N141" s="25"/>
      <c r="O141" s="23"/>
      <c r="P141" s="25"/>
      <c r="Q141" s="25"/>
      <c r="R141" s="31"/>
      <c r="S141" s="24"/>
      <c r="T141" s="4" t="str">
        <f aca="false">IF(D141="","",IF(C141="Serviço","S","P")&amp;SUBSTITUTE(SUBSTITUTE(SUBSTITUTE(D141,".",""),"-","")," ",""))</f>
        <v/>
      </c>
      <c r="U141" s="4" t="str">
        <f aca="false">IF(T141="","",IFERROR(MATCH(LEFT(T141,10),'Referência LC 214'!$N$6:$N$967,0),IFERROR(MATCH(LEFT(T141,9),'Referência LC 214'!$N$6:$N$967,0),IFERROR(MATCH(LEFT(T141,8),'Referência LC 214'!$N$6:$N$967,0),IFERROR(MATCH(LEFT(T141,7),'Referência LC 214'!$N$6:$N$967,0),IFERROR(MATCH(LEFT(T141,6),'Referência LC 214'!$N$6:$N$967,0),IFERROR(MATCH(LEFT(T141,5),'Referência LC 214'!$N$6:$N$967,0),IFERROR(MATCH(LEFT(T141,4),'Referência LC 214'!$N$6:$N$967,0),IFERROR(MATCH(LEFT(T141,3),'Referência LC 214'!$N$6:$N$967,0),"")))))))))</f>
        <v/>
      </c>
    </row>
    <row r="142" customFormat="false" ht="15" hidden="false" customHeight="false" outlineLevel="0" collapsed="false">
      <c r="A142" s="23"/>
      <c r="B142" s="24"/>
      <c r="C142" s="25"/>
      <c r="D142" s="23"/>
      <c r="E142" s="23"/>
      <c r="F142" s="25"/>
      <c r="G142" s="26" t="str">
        <f aca="false">IF(T142="","",SUMPRODUCT(--(LEFT(T142,LEN('Referência LC 214'!$N$6:$N$967))='Referência LC 214'!$N$6:$N$967)))</f>
        <v/>
      </c>
      <c r="H142" s="27" t="str">
        <f aca="false">IF(T142="","",IF(U142="","000001",INDEX('Referência LC 214'!$I$6:$I$967,U142)))</f>
        <v/>
      </c>
      <c r="I142" s="28" t="str">
        <f aca="false">IF(T142="","",IF(U142="","Sem anexo: tributação integral",INDEX('Referência LC 214'!$H$6:$H$967,U142)))</f>
        <v/>
      </c>
      <c r="J142" s="29" t="str">
        <f aca="false">IF(T142="","",IF(U142="",0,INDEX('Referência LC 214'!$K$6:$K$967,U142)))</f>
        <v/>
      </c>
      <c r="K142" s="28" t="str">
        <f aca="false">IF(OR(T142="",U142=""),"","Anexo "&amp;INDEX('Referência LC 214'!$E$6:$E$967,U142)&amp;", item "&amp;INDEX('Referência LC 214'!$F$6:$F$967,U142)&amp;": "&amp;INDEX('Referência LC 214'!$G$6:$G$967,U142))</f>
        <v/>
      </c>
      <c r="L142" s="28" t="str">
        <f aca="false">IF(OR(T142="",U142=""),"",IF(INDEX('Referência LC 214'!$L$6:$L$967,U142)&amp;""&lt;&gt;"",INDEX('Referência LC 214'!$L$6:$L$967,U142)&amp;"",IF(SUMPRODUCT((LEFT(T142,LEN('Referência LC 214'!$N$6:$N$967))='Referência LC 214'!$N$6:$N$967)*('Referência LC 214'!$L$6:$L$967&lt;&gt;""))&gt;0,"Há outro tratamento só para alguns compradores (ex.: órgão público/SUS) — veja a referência","")))</f>
        <v/>
      </c>
      <c r="M142" s="30" t="str">
        <f aca="false">IF(T142="","",IF(AND(C142&lt;&gt;"Serviço",LEN(T142)-1&lt;&gt;8),"NCM deve ter 8 dígitos",IF(AND(C142="Serviço",LEN(T142)-1&lt;&gt;9),"NBS deve ter 9 dígitos",IF(L142&lt;&gt;"","Benefício depende do comprador: confira a coluna N",IF(G142&gt;1,"Mais de uma regra: confira o item do anexo na referência",IF(G142=0,"Sem redução na LC 214","Confira se o produto é o descrito no item"))))))</f>
        <v/>
      </c>
      <c r="N142" s="25"/>
      <c r="O142" s="23"/>
      <c r="P142" s="25"/>
      <c r="Q142" s="25"/>
      <c r="R142" s="31"/>
      <c r="S142" s="24"/>
      <c r="T142" s="4" t="str">
        <f aca="false">IF(D142="","",IF(C142="Serviço","S","P")&amp;SUBSTITUTE(SUBSTITUTE(SUBSTITUTE(D142,".",""),"-","")," ",""))</f>
        <v/>
      </c>
      <c r="U142" s="4" t="str">
        <f aca="false">IF(T142="","",IFERROR(MATCH(LEFT(T142,10),'Referência LC 214'!$N$6:$N$967,0),IFERROR(MATCH(LEFT(T142,9),'Referência LC 214'!$N$6:$N$967,0),IFERROR(MATCH(LEFT(T142,8),'Referência LC 214'!$N$6:$N$967,0),IFERROR(MATCH(LEFT(T142,7),'Referência LC 214'!$N$6:$N$967,0),IFERROR(MATCH(LEFT(T142,6),'Referência LC 214'!$N$6:$N$967,0),IFERROR(MATCH(LEFT(T142,5),'Referência LC 214'!$N$6:$N$967,0),IFERROR(MATCH(LEFT(T142,4),'Referência LC 214'!$N$6:$N$967,0),IFERROR(MATCH(LEFT(T142,3),'Referência LC 214'!$N$6:$N$967,0),"")))))))))</f>
        <v/>
      </c>
    </row>
    <row r="143" customFormat="false" ht="15" hidden="false" customHeight="false" outlineLevel="0" collapsed="false">
      <c r="A143" s="23"/>
      <c r="B143" s="24"/>
      <c r="C143" s="25"/>
      <c r="D143" s="23"/>
      <c r="E143" s="23"/>
      <c r="F143" s="25"/>
      <c r="G143" s="26" t="str">
        <f aca="false">IF(T143="","",SUMPRODUCT(--(LEFT(T143,LEN('Referência LC 214'!$N$6:$N$967))='Referência LC 214'!$N$6:$N$967)))</f>
        <v/>
      </c>
      <c r="H143" s="27" t="str">
        <f aca="false">IF(T143="","",IF(U143="","000001",INDEX('Referência LC 214'!$I$6:$I$967,U143)))</f>
        <v/>
      </c>
      <c r="I143" s="28" t="str">
        <f aca="false">IF(T143="","",IF(U143="","Sem anexo: tributação integral",INDEX('Referência LC 214'!$H$6:$H$967,U143)))</f>
        <v/>
      </c>
      <c r="J143" s="29" t="str">
        <f aca="false">IF(T143="","",IF(U143="",0,INDEX('Referência LC 214'!$K$6:$K$967,U143)))</f>
        <v/>
      </c>
      <c r="K143" s="28" t="str">
        <f aca="false">IF(OR(T143="",U143=""),"","Anexo "&amp;INDEX('Referência LC 214'!$E$6:$E$967,U143)&amp;", item "&amp;INDEX('Referência LC 214'!$F$6:$F$967,U143)&amp;": "&amp;INDEX('Referência LC 214'!$G$6:$G$967,U143))</f>
        <v/>
      </c>
      <c r="L143" s="28" t="str">
        <f aca="false">IF(OR(T143="",U143=""),"",IF(INDEX('Referência LC 214'!$L$6:$L$967,U143)&amp;""&lt;&gt;"",INDEX('Referência LC 214'!$L$6:$L$967,U143)&amp;"",IF(SUMPRODUCT((LEFT(T143,LEN('Referência LC 214'!$N$6:$N$967))='Referência LC 214'!$N$6:$N$967)*('Referência LC 214'!$L$6:$L$967&lt;&gt;""))&gt;0,"Há outro tratamento só para alguns compradores (ex.: órgão público/SUS) — veja a referência","")))</f>
        <v/>
      </c>
      <c r="M143" s="30" t="str">
        <f aca="false">IF(T143="","",IF(AND(C143&lt;&gt;"Serviço",LEN(T143)-1&lt;&gt;8),"NCM deve ter 8 dígitos",IF(AND(C143="Serviço",LEN(T143)-1&lt;&gt;9),"NBS deve ter 9 dígitos",IF(L143&lt;&gt;"","Benefício depende do comprador: confira a coluna N",IF(G143&gt;1,"Mais de uma regra: confira o item do anexo na referência",IF(G143=0,"Sem redução na LC 214","Confira se o produto é o descrito no item"))))))</f>
        <v/>
      </c>
      <c r="N143" s="25"/>
      <c r="O143" s="23"/>
      <c r="P143" s="25"/>
      <c r="Q143" s="25"/>
      <c r="R143" s="31"/>
      <c r="S143" s="24"/>
      <c r="T143" s="4" t="str">
        <f aca="false">IF(D143="","",IF(C143="Serviço","S","P")&amp;SUBSTITUTE(SUBSTITUTE(SUBSTITUTE(D143,".",""),"-","")," ",""))</f>
        <v/>
      </c>
      <c r="U143" s="4" t="str">
        <f aca="false">IF(T143="","",IFERROR(MATCH(LEFT(T143,10),'Referência LC 214'!$N$6:$N$967,0),IFERROR(MATCH(LEFT(T143,9),'Referência LC 214'!$N$6:$N$967,0),IFERROR(MATCH(LEFT(T143,8),'Referência LC 214'!$N$6:$N$967,0),IFERROR(MATCH(LEFT(T143,7),'Referência LC 214'!$N$6:$N$967,0),IFERROR(MATCH(LEFT(T143,6),'Referência LC 214'!$N$6:$N$967,0),IFERROR(MATCH(LEFT(T143,5),'Referência LC 214'!$N$6:$N$967,0),IFERROR(MATCH(LEFT(T143,4),'Referência LC 214'!$N$6:$N$967,0),IFERROR(MATCH(LEFT(T143,3),'Referência LC 214'!$N$6:$N$967,0),"")))))))))</f>
        <v/>
      </c>
    </row>
    <row r="144" customFormat="false" ht="15" hidden="false" customHeight="false" outlineLevel="0" collapsed="false">
      <c r="A144" s="23"/>
      <c r="B144" s="24"/>
      <c r="C144" s="25"/>
      <c r="D144" s="23"/>
      <c r="E144" s="23"/>
      <c r="F144" s="25"/>
      <c r="G144" s="26" t="str">
        <f aca="false">IF(T144="","",SUMPRODUCT(--(LEFT(T144,LEN('Referência LC 214'!$N$6:$N$967))='Referência LC 214'!$N$6:$N$967)))</f>
        <v/>
      </c>
      <c r="H144" s="27" t="str">
        <f aca="false">IF(T144="","",IF(U144="","000001",INDEX('Referência LC 214'!$I$6:$I$967,U144)))</f>
        <v/>
      </c>
      <c r="I144" s="28" t="str">
        <f aca="false">IF(T144="","",IF(U144="","Sem anexo: tributação integral",INDEX('Referência LC 214'!$H$6:$H$967,U144)))</f>
        <v/>
      </c>
      <c r="J144" s="29" t="str">
        <f aca="false">IF(T144="","",IF(U144="",0,INDEX('Referência LC 214'!$K$6:$K$967,U144)))</f>
        <v/>
      </c>
      <c r="K144" s="28" t="str">
        <f aca="false">IF(OR(T144="",U144=""),"","Anexo "&amp;INDEX('Referência LC 214'!$E$6:$E$967,U144)&amp;", item "&amp;INDEX('Referência LC 214'!$F$6:$F$967,U144)&amp;": "&amp;INDEX('Referência LC 214'!$G$6:$G$967,U144))</f>
        <v/>
      </c>
      <c r="L144" s="28" t="str">
        <f aca="false">IF(OR(T144="",U144=""),"",IF(INDEX('Referência LC 214'!$L$6:$L$967,U144)&amp;""&lt;&gt;"",INDEX('Referência LC 214'!$L$6:$L$967,U144)&amp;"",IF(SUMPRODUCT((LEFT(T144,LEN('Referência LC 214'!$N$6:$N$967))='Referência LC 214'!$N$6:$N$967)*('Referência LC 214'!$L$6:$L$967&lt;&gt;""))&gt;0,"Há outro tratamento só para alguns compradores (ex.: órgão público/SUS) — veja a referência","")))</f>
        <v/>
      </c>
      <c r="M144" s="30" t="str">
        <f aca="false">IF(T144="","",IF(AND(C144&lt;&gt;"Serviço",LEN(T144)-1&lt;&gt;8),"NCM deve ter 8 dígitos",IF(AND(C144="Serviço",LEN(T144)-1&lt;&gt;9),"NBS deve ter 9 dígitos",IF(L144&lt;&gt;"","Benefício depende do comprador: confira a coluna N",IF(G144&gt;1,"Mais de uma regra: confira o item do anexo na referência",IF(G144=0,"Sem redução na LC 214","Confira se o produto é o descrito no item"))))))</f>
        <v/>
      </c>
      <c r="N144" s="25"/>
      <c r="O144" s="23"/>
      <c r="P144" s="25"/>
      <c r="Q144" s="25"/>
      <c r="R144" s="31"/>
      <c r="S144" s="24"/>
      <c r="T144" s="4" t="str">
        <f aca="false">IF(D144="","",IF(C144="Serviço","S","P")&amp;SUBSTITUTE(SUBSTITUTE(SUBSTITUTE(D144,".",""),"-","")," ",""))</f>
        <v/>
      </c>
      <c r="U144" s="4" t="str">
        <f aca="false">IF(T144="","",IFERROR(MATCH(LEFT(T144,10),'Referência LC 214'!$N$6:$N$967,0),IFERROR(MATCH(LEFT(T144,9),'Referência LC 214'!$N$6:$N$967,0),IFERROR(MATCH(LEFT(T144,8),'Referência LC 214'!$N$6:$N$967,0),IFERROR(MATCH(LEFT(T144,7),'Referência LC 214'!$N$6:$N$967,0),IFERROR(MATCH(LEFT(T144,6),'Referência LC 214'!$N$6:$N$967,0),IFERROR(MATCH(LEFT(T144,5),'Referência LC 214'!$N$6:$N$967,0),IFERROR(MATCH(LEFT(T144,4),'Referência LC 214'!$N$6:$N$967,0),IFERROR(MATCH(LEFT(T144,3),'Referência LC 214'!$N$6:$N$967,0),"")))))))))</f>
        <v/>
      </c>
    </row>
    <row r="145" customFormat="false" ht="15" hidden="false" customHeight="false" outlineLevel="0" collapsed="false">
      <c r="A145" s="23"/>
      <c r="B145" s="24"/>
      <c r="C145" s="25"/>
      <c r="D145" s="23"/>
      <c r="E145" s="23"/>
      <c r="F145" s="25"/>
      <c r="G145" s="26" t="str">
        <f aca="false">IF(T145="","",SUMPRODUCT(--(LEFT(T145,LEN('Referência LC 214'!$N$6:$N$967))='Referência LC 214'!$N$6:$N$967)))</f>
        <v/>
      </c>
      <c r="H145" s="27" t="str">
        <f aca="false">IF(T145="","",IF(U145="","000001",INDEX('Referência LC 214'!$I$6:$I$967,U145)))</f>
        <v/>
      </c>
      <c r="I145" s="28" t="str">
        <f aca="false">IF(T145="","",IF(U145="","Sem anexo: tributação integral",INDEX('Referência LC 214'!$H$6:$H$967,U145)))</f>
        <v/>
      </c>
      <c r="J145" s="29" t="str">
        <f aca="false">IF(T145="","",IF(U145="",0,INDEX('Referência LC 214'!$K$6:$K$967,U145)))</f>
        <v/>
      </c>
      <c r="K145" s="28" t="str">
        <f aca="false">IF(OR(T145="",U145=""),"","Anexo "&amp;INDEX('Referência LC 214'!$E$6:$E$967,U145)&amp;", item "&amp;INDEX('Referência LC 214'!$F$6:$F$967,U145)&amp;": "&amp;INDEX('Referência LC 214'!$G$6:$G$967,U145))</f>
        <v/>
      </c>
      <c r="L145" s="28" t="str">
        <f aca="false">IF(OR(T145="",U145=""),"",IF(INDEX('Referência LC 214'!$L$6:$L$967,U145)&amp;""&lt;&gt;"",INDEX('Referência LC 214'!$L$6:$L$967,U145)&amp;"",IF(SUMPRODUCT((LEFT(T145,LEN('Referência LC 214'!$N$6:$N$967))='Referência LC 214'!$N$6:$N$967)*('Referência LC 214'!$L$6:$L$967&lt;&gt;""))&gt;0,"Há outro tratamento só para alguns compradores (ex.: órgão público/SUS) — veja a referência","")))</f>
        <v/>
      </c>
      <c r="M145" s="30" t="str">
        <f aca="false">IF(T145="","",IF(AND(C145&lt;&gt;"Serviço",LEN(T145)-1&lt;&gt;8),"NCM deve ter 8 dígitos",IF(AND(C145="Serviço",LEN(T145)-1&lt;&gt;9),"NBS deve ter 9 dígitos",IF(L145&lt;&gt;"","Benefício depende do comprador: confira a coluna N",IF(G145&gt;1,"Mais de uma regra: confira o item do anexo na referência",IF(G145=0,"Sem redução na LC 214","Confira se o produto é o descrito no item"))))))</f>
        <v/>
      </c>
      <c r="N145" s="25"/>
      <c r="O145" s="23"/>
      <c r="P145" s="25"/>
      <c r="Q145" s="25"/>
      <c r="R145" s="31"/>
      <c r="S145" s="24"/>
      <c r="T145" s="4" t="str">
        <f aca="false">IF(D145="","",IF(C145="Serviço","S","P")&amp;SUBSTITUTE(SUBSTITUTE(SUBSTITUTE(D145,".",""),"-","")," ",""))</f>
        <v/>
      </c>
      <c r="U145" s="4" t="str">
        <f aca="false">IF(T145="","",IFERROR(MATCH(LEFT(T145,10),'Referência LC 214'!$N$6:$N$967,0),IFERROR(MATCH(LEFT(T145,9),'Referência LC 214'!$N$6:$N$967,0),IFERROR(MATCH(LEFT(T145,8),'Referência LC 214'!$N$6:$N$967,0),IFERROR(MATCH(LEFT(T145,7),'Referência LC 214'!$N$6:$N$967,0),IFERROR(MATCH(LEFT(T145,6),'Referência LC 214'!$N$6:$N$967,0),IFERROR(MATCH(LEFT(T145,5),'Referência LC 214'!$N$6:$N$967,0),IFERROR(MATCH(LEFT(T145,4),'Referência LC 214'!$N$6:$N$967,0),IFERROR(MATCH(LEFT(T145,3),'Referência LC 214'!$N$6:$N$967,0),"")))))))))</f>
        <v/>
      </c>
    </row>
    <row r="146" customFormat="false" ht="15" hidden="false" customHeight="false" outlineLevel="0" collapsed="false">
      <c r="A146" s="23"/>
      <c r="B146" s="24"/>
      <c r="C146" s="25"/>
      <c r="D146" s="23"/>
      <c r="E146" s="23"/>
      <c r="F146" s="25"/>
      <c r="G146" s="26" t="str">
        <f aca="false">IF(T146="","",SUMPRODUCT(--(LEFT(T146,LEN('Referência LC 214'!$N$6:$N$967))='Referência LC 214'!$N$6:$N$967)))</f>
        <v/>
      </c>
      <c r="H146" s="27" t="str">
        <f aca="false">IF(T146="","",IF(U146="","000001",INDEX('Referência LC 214'!$I$6:$I$967,U146)))</f>
        <v/>
      </c>
      <c r="I146" s="28" t="str">
        <f aca="false">IF(T146="","",IF(U146="","Sem anexo: tributação integral",INDEX('Referência LC 214'!$H$6:$H$967,U146)))</f>
        <v/>
      </c>
      <c r="J146" s="29" t="str">
        <f aca="false">IF(T146="","",IF(U146="",0,INDEX('Referência LC 214'!$K$6:$K$967,U146)))</f>
        <v/>
      </c>
      <c r="K146" s="28" t="str">
        <f aca="false">IF(OR(T146="",U146=""),"","Anexo "&amp;INDEX('Referência LC 214'!$E$6:$E$967,U146)&amp;", item "&amp;INDEX('Referência LC 214'!$F$6:$F$967,U146)&amp;": "&amp;INDEX('Referência LC 214'!$G$6:$G$967,U146))</f>
        <v/>
      </c>
      <c r="L146" s="28" t="str">
        <f aca="false">IF(OR(T146="",U146=""),"",IF(INDEX('Referência LC 214'!$L$6:$L$967,U146)&amp;""&lt;&gt;"",INDEX('Referência LC 214'!$L$6:$L$967,U146)&amp;"",IF(SUMPRODUCT((LEFT(T146,LEN('Referência LC 214'!$N$6:$N$967))='Referência LC 214'!$N$6:$N$967)*('Referência LC 214'!$L$6:$L$967&lt;&gt;""))&gt;0,"Há outro tratamento só para alguns compradores (ex.: órgão público/SUS) — veja a referência","")))</f>
        <v/>
      </c>
      <c r="M146" s="30" t="str">
        <f aca="false">IF(T146="","",IF(AND(C146&lt;&gt;"Serviço",LEN(T146)-1&lt;&gt;8),"NCM deve ter 8 dígitos",IF(AND(C146="Serviço",LEN(T146)-1&lt;&gt;9),"NBS deve ter 9 dígitos",IF(L146&lt;&gt;"","Benefício depende do comprador: confira a coluna N",IF(G146&gt;1,"Mais de uma regra: confira o item do anexo na referência",IF(G146=0,"Sem redução na LC 214","Confira se o produto é o descrito no item"))))))</f>
        <v/>
      </c>
      <c r="N146" s="25"/>
      <c r="O146" s="23"/>
      <c r="P146" s="25"/>
      <c r="Q146" s="25"/>
      <c r="R146" s="31"/>
      <c r="S146" s="24"/>
      <c r="T146" s="4" t="str">
        <f aca="false">IF(D146="","",IF(C146="Serviço","S","P")&amp;SUBSTITUTE(SUBSTITUTE(SUBSTITUTE(D146,".",""),"-","")," ",""))</f>
        <v/>
      </c>
      <c r="U146" s="4" t="str">
        <f aca="false">IF(T146="","",IFERROR(MATCH(LEFT(T146,10),'Referência LC 214'!$N$6:$N$967,0),IFERROR(MATCH(LEFT(T146,9),'Referência LC 214'!$N$6:$N$967,0),IFERROR(MATCH(LEFT(T146,8),'Referência LC 214'!$N$6:$N$967,0),IFERROR(MATCH(LEFT(T146,7),'Referência LC 214'!$N$6:$N$967,0),IFERROR(MATCH(LEFT(T146,6),'Referência LC 214'!$N$6:$N$967,0),IFERROR(MATCH(LEFT(T146,5),'Referência LC 214'!$N$6:$N$967,0),IFERROR(MATCH(LEFT(T146,4),'Referência LC 214'!$N$6:$N$967,0),IFERROR(MATCH(LEFT(T146,3),'Referência LC 214'!$N$6:$N$967,0),"")))))))))</f>
        <v/>
      </c>
    </row>
    <row r="147" customFormat="false" ht="15" hidden="false" customHeight="false" outlineLevel="0" collapsed="false">
      <c r="A147" s="23"/>
      <c r="B147" s="24"/>
      <c r="C147" s="25"/>
      <c r="D147" s="23"/>
      <c r="E147" s="23"/>
      <c r="F147" s="25"/>
      <c r="G147" s="26" t="str">
        <f aca="false">IF(T147="","",SUMPRODUCT(--(LEFT(T147,LEN('Referência LC 214'!$N$6:$N$967))='Referência LC 214'!$N$6:$N$967)))</f>
        <v/>
      </c>
      <c r="H147" s="27" t="str">
        <f aca="false">IF(T147="","",IF(U147="","000001",INDEX('Referência LC 214'!$I$6:$I$967,U147)))</f>
        <v/>
      </c>
      <c r="I147" s="28" t="str">
        <f aca="false">IF(T147="","",IF(U147="","Sem anexo: tributação integral",INDEX('Referência LC 214'!$H$6:$H$967,U147)))</f>
        <v/>
      </c>
      <c r="J147" s="29" t="str">
        <f aca="false">IF(T147="","",IF(U147="",0,INDEX('Referência LC 214'!$K$6:$K$967,U147)))</f>
        <v/>
      </c>
      <c r="K147" s="28" t="str">
        <f aca="false">IF(OR(T147="",U147=""),"","Anexo "&amp;INDEX('Referência LC 214'!$E$6:$E$967,U147)&amp;", item "&amp;INDEX('Referência LC 214'!$F$6:$F$967,U147)&amp;": "&amp;INDEX('Referência LC 214'!$G$6:$G$967,U147))</f>
        <v/>
      </c>
      <c r="L147" s="28" t="str">
        <f aca="false">IF(OR(T147="",U147=""),"",IF(INDEX('Referência LC 214'!$L$6:$L$967,U147)&amp;""&lt;&gt;"",INDEX('Referência LC 214'!$L$6:$L$967,U147)&amp;"",IF(SUMPRODUCT((LEFT(T147,LEN('Referência LC 214'!$N$6:$N$967))='Referência LC 214'!$N$6:$N$967)*('Referência LC 214'!$L$6:$L$967&lt;&gt;""))&gt;0,"Há outro tratamento só para alguns compradores (ex.: órgão público/SUS) — veja a referência","")))</f>
        <v/>
      </c>
      <c r="M147" s="30" t="str">
        <f aca="false">IF(T147="","",IF(AND(C147&lt;&gt;"Serviço",LEN(T147)-1&lt;&gt;8),"NCM deve ter 8 dígitos",IF(AND(C147="Serviço",LEN(T147)-1&lt;&gt;9),"NBS deve ter 9 dígitos",IF(L147&lt;&gt;"","Benefício depende do comprador: confira a coluna N",IF(G147&gt;1,"Mais de uma regra: confira o item do anexo na referência",IF(G147=0,"Sem redução na LC 214","Confira se o produto é o descrito no item"))))))</f>
        <v/>
      </c>
      <c r="N147" s="25"/>
      <c r="O147" s="23"/>
      <c r="P147" s="25"/>
      <c r="Q147" s="25"/>
      <c r="R147" s="31"/>
      <c r="S147" s="24"/>
      <c r="T147" s="4" t="str">
        <f aca="false">IF(D147="","",IF(C147="Serviço","S","P")&amp;SUBSTITUTE(SUBSTITUTE(SUBSTITUTE(D147,".",""),"-","")," ",""))</f>
        <v/>
      </c>
      <c r="U147" s="4" t="str">
        <f aca="false">IF(T147="","",IFERROR(MATCH(LEFT(T147,10),'Referência LC 214'!$N$6:$N$967,0),IFERROR(MATCH(LEFT(T147,9),'Referência LC 214'!$N$6:$N$967,0),IFERROR(MATCH(LEFT(T147,8),'Referência LC 214'!$N$6:$N$967,0),IFERROR(MATCH(LEFT(T147,7),'Referência LC 214'!$N$6:$N$967,0),IFERROR(MATCH(LEFT(T147,6),'Referência LC 214'!$N$6:$N$967,0),IFERROR(MATCH(LEFT(T147,5),'Referência LC 214'!$N$6:$N$967,0),IFERROR(MATCH(LEFT(T147,4),'Referência LC 214'!$N$6:$N$967,0),IFERROR(MATCH(LEFT(T147,3),'Referência LC 214'!$N$6:$N$967,0),"")))))))))</f>
        <v/>
      </c>
    </row>
    <row r="148" customFormat="false" ht="15" hidden="false" customHeight="false" outlineLevel="0" collapsed="false">
      <c r="A148" s="23"/>
      <c r="B148" s="24"/>
      <c r="C148" s="25"/>
      <c r="D148" s="23"/>
      <c r="E148" s="23"/>
      <c r="F148" s="25"/>
      <c r="G148" s="26" t="str">
        <f aca="false">IF(T148="","",SUMPRODUCT(--(LEFT(T148,LEN('Referência LC 214'!$N$6:$N$967))='Referência LC 214'!$N$6:$N$967)))</f>
        <v/>
      </c>
      <c r="H148" s="27" t="str">
        <f aca="false">IF(T148="","",IF(U148="","000001",INDEX('Referência LC 214'!$I$6:$I$967,U148)))</f>
        <v/>
      </c>
      <c r="I148" s="28" t="str">
        <f aca="false">IF(T148="","",IF(U148="","Sem anexo: tributação integral",INDEX('Referência LC 214'!$H$6:$H$967,U148)))</f>
        <v/>
      </c>
      <c r="J148" s="29" t="str">
        <f aca="false">IF(T148="","",IF(U148="",0,INDEX('Referência LC 214'!$K$6:$K$967,U148)))</f>
        <v/>
      </c>
      <c r="K148" s="28" t="str">
        <f aca="false">IF(OR(T148="",U148=""),"","Anexo "&amp;INDEX('Referência LC 214'!$E$6:$E$967,U148)&amp;", item "&amp;INDEX('Referência LC 214'!$F$6:$F$967,U148)&amp;": "&amp;INDEX('Referência LC 214'!$G$6:$G$967,U148))</f>
        <v/>
      </c>
      <c r="L148" s="28" t="str">
        <f aca="false">IF(OR(T148="",U148=""),"",IF(INDEX('Referência LC 214'!$L$6:$L$967,U148)&amp;""&lt;&gt;"",INDEX('Referência LC 214'!$L$6:$L$967,U148)&amp;"",IF(SUMPRODUCT((LEFT(T148,LEN('Referência LC 214'!$N$6:$N$967))='Referência LC 214'!$N$6:$N$967)*('Referência LC 214'!$L$6:$L$967&lt;&gt;""))&gt;0,"Há outro tratamento só para alguns compradores (ex.: órgão público/SUS) — veja a referência","")))</f>
        <v/>
      </c>
      <c r="M148" s="30" t="str">
        <f aca="false">IF(T148="","",IF(AND(C148&lt;&gt;"Serviço",LEN(T148)-1&lt;&gt;8),"NCM deve ter 8 dígitos",IF(AND(C148="Serviço",LEN(T148)-1&lt;&gt;9),"NBS deve ter 9 dígitos",IF(L148&lt;&gt;"","Benefício depende do comprador: confira a coluna N",IF(G148&gt;1,"Mais de uma regra: confira o item do anexo na referência",IF(G148=0,"Sem redução na LC 214","Confira se o produto é o descrito no item"))))))</f>
        <v/>
      </c>
      <c r="N148" s="25"/>
      <c r="O148" s="23"/>
      <c r="P148" s="25"/>
      <c r="Q148" s="25"/>
      <c r="R148" s="31"/>
      <c r="S148" s="24"/>
      <c r="T148" s="4" t="str">
        <f aca="false">IF(D148="","",IF(C148="Serviço","S","P")&amp;SUBSTITUTE(SUBSTITUTE(SUBSTITUTE(D148,".",""),"-","")," ",""))</f>
        <v/>
      </c>
      <c r="U148" s="4" t="str">
        <f aca="false">IF(T148="","",IFERROR(MATCH(LEFT(T148,10),'Referência LC 214'!$N$6:$N$967,0),IFERROR(MATCH(LEFT(T148,9),'Referência LC 214'!$N$6:$N$967,0),IFERROR(MATCH(LEFT(T148,8),'Referência LC 214'!$N$6:$N$967,0),IFERROR(MATCH(LEFT(T148,7),'Referência LC 214'!$N$6:$N$967,0),IFERROR(MATCH(LEFT(T148,6),'Referência LC 214'!$N$6:$N$967,0),IFERROR(MATCH(LEFT(T148,5),'Referência LC 214'!$N$6:$N$967,0),IFERROR(MATCH(LEFT(T148,4),'Referência LC 214'!$N$6:$N$967,0),IFERROR(MATCH(LEFT(T148,3),'Referência LC 214'!$N$6:$N$967,0),"")))))))))</f>
        <v/>
      </c>
    </row>
    <row r="149" customFormat="false" ht="15" hidden="false" customHeight="false" outlineLevel="0" collapsed="false">
      <c r="A149" s="23"/>
      <c r="B149" s="24"/>
      <c r="C149" s="25"/>
      <c r="D149" s="23"/>
      <c r="E149" s="23"/>
      <c r="F149" s="25"/>
      <c r="G149" s="26" t="str">
        <f aca="false">IF(T149="","",SUMPRODUCT(--(LEFT(T149,LEN('Referência LC 214'!$N$6:$N$967))='Referência LC 214'!$N$6:$N$967)))</f>
        <v/>
      </c>
      <c r="H149" s="27" t="str">
        <f aca="false">IF(T149="","",IF(U149="","000001",INDEX('Referência LC 214'!$I$6:$I$967,U149)))</f>
        <v/>
      </c>
      <c r="I149" s="28" t="str">
        <f aca="false">IF(T149="","",IF(U149="","Sem anexo: tributação integral",INDEX('Referência LC 214'!$H$6:$H$967,U149)))</f>
        <v/>
      </c>
      <c r="J149" s="29" t="str">
        <f aca="false">IF(T149="","",IF(U149="",0,INDEX('Referência LC 214'!$K$6:$K$967,U149)))</f>
        <v/>
      </c>
      <c r="K149" s="28" t="str">
        <f aca="false">IF(OR(T149="",U149=""),"","Anexo "&amp;INDEX('Referência LC 214'!$E$6:$E$967,U149)&amp;", item "&amp;INDEX('Referência LC 214'!$F$6:$F$967,U149)&amp;": "&amp;INDEX('Referência LC 214'!$G$6:$G$967,U149))</f>
        <v/>
      </c>
      <c r="L149" s="28" t="str">
        <f aca="false">IF(OR(T149="",U149=""),"",IF(INDEX('Referência LC 214'!$L$6:$L$967,U149)&amp;""&lt;&gt;"",INDEX('Referência LC 214'!$L$6:$L$967,U149)&amp;"",IF(SUMPRODUCT((LEFT(T149,LEN('Referência LC 214'!$N$6:$N$967))='Referência LC 214'!$N$6:$N$967)*('Referência LC 214'!$L$6:$L$967&lt;&gt;""))&gt;0,"Há outro tratamento só para alguns compradores (ex.: órgão público/SUS) — veja a referência","")))</f>
        <v/>
      </c>
      <c r="M149" s="30" t="str">
        <f aca="false">IF(T149="","",IF(AND(C149&lt;&gt;"Serviço",LEN(T149)-1&lt;&gt;8),"NCM deve ter 8 dígitos",IF(AND(C149="Serviço",LEN(T149)-1&lt;&gt;9),"NBS deve ter 9 dígitos",IF(L149&lt;&gt;"","Benefício depende do comprador: confira a coluna N",IF(G149&gt;1,"Mais de uma regra: confira o item do anexo na referência",IF(G149=0,"Sem redução na LC 214","Confira se o produto é o descrito no item"))))))</f>
        <v/>
      </c>
      <c r="N149" s="25"/>
      <c r="O149" s="23"/>
      <c r="P149" s="25"/>
      <c r="Q149" s="25"/>
      <c r="R149" s="31"/>
      <c r="S149" s="24"/>
      <c r="T149" s="4" t="str">
        <f aca="false">IF(D149="","",IF(C149="Serviço","S","P")&amp;SUBSTITUTE(SUBSTITUTE(SUBSTITUTE(D149,".",""),"-","")," ",""))</f>
        <v/>
      </c>
      <c r="U149" s="4" t="str">
        <f aca="false">IF(T149="","",IFERROR(MATCH(LEFT(T149,10),'Referência LC 214'!$N$6:$N$967,0),IFERROR(MATCH(LEFT(T149,9),'Referência LC 214'!$N$6:$N$967,0),IFERROR(MATCH(LEFT(T149,8),'Referência LC 214'!$N$6:$N$967,0),IFERROR(MATCH(LEFT(T149,7),'Referência LC 214'!$N$6:$N$967,0),IFERROR(MATCH(LEFT(T149,6),'Referência LC 214'!$N$6:$N$967,0),IFERROR(MATCH(LEFT(T149,5),'Referência LC 214'!$N$6:$N$967,0),IFERROR(MATCH(LEFT(T149,4),'Referência LC 214'!$N$6:$N$967,0),IFERROR(MATCH(LEFT(T149,3),'Referência LC 214'!$N$6:$N$967,0),"")))))))))</f>
        <v/>
      </c>
    </row>
    <row r="150" customFormat="false" ht="15" hidden="false" customHeight="false" outlineLevel="0" collapsed="false">
      <c r="A150" s="23"/>
      <c r="B150" s="24"/>
      <c r="C150" s="25"/>
      <c r="D150" s="23"/>
      <c r="E150" s="23"/>
      <c r="F150" s="25"/>
      <c r="G150" s="26" t="str">
        <f aca="false">IF(T150="","",SUMPRODUCT(--(LEFT(T150,LEN('Referência LC 214'!$N$6:$N$967))='Referência LC 214'!$N$6:$N$967)))</f>
        <v/>
      </c>
      <c r="H150" s="27" t="str">
        <f aca="false">IF(T150="","",IF(U150="","000001",INDEX('Referência LC 214'!$I$6:$I$967,U150)))</f>
        <v/>
      </c>
      <c r="I150" s="28" t="str">
        <f aca="false">IF(T150="","",IF(U150="","Sem anexo: tributação integral",INDEX('Referência LC 214'!$H$6:$H$967,U150)))</f>
        <v/>
      </c>
      <c r="J150" s="29" t="str">
        <f aca="false">IF(T150="","",IF(U150="",0,INDEX('Referência LC 214'!$K$6:$K$967,U150)))</f>
        <v/>
      </c>
      <c r="K150" s="28" t="str">
        <f aca="false">IF(OR(T150="",U150=""),"","Anexo "&amp;INDEX('Referência LC 214'!$E$6:$E$967,U150)&amp;", item "&amp;INDEX('Referência LC 214'!$F$6:$F$967,U150)&amp;": "&amp;INDEX('Referência LC 214'!$G$6:$G$967,U150))</f>
        <v/>
      </c>
      <c r="L150" s="28" t="str">
        <f aca="false">IF(OR(T150="",U150=""),"",IF(INDEX('Referência LC 214'!$L$6:$L$967,U150)&amp;""&lt;&gt;"",INDEX('Referência LC 214'!$L$6:$L$967,U150)&amp;"",IF(SUMPRODUCT((LEFT(T150,LEN('Referência LC 214'!$N$6:$N$967))='Referência LC 214'!$N$6:$N$967)*('Referência LC 214'!$L$6:$L$967&lt;&gt;""))&gt;0,"Há outro tratamento só para alguns compradores (ex.: órgão público/SUS) — veja a referência","")))</f>
        <v/>
      </c>
      <c r="M150" s="30" t="str">
        <f aca="false">IF(T150="","",IF(AND(C150&lt;&gt;"Serviço",LEN(T150)-1&lt;&gt;8),"NCM deve ter 8 dígitos",IF(AND(C150="Serviço",LEN(T150)-1&lt;&gt;9),"NBS deve ter 9 dígitos",IF(L150&lt;&gt;"","Benefício depende do comprador: confira a coluna N",IF(G150&gt;1,"Mais de uma regra: confira o item do anexo na referência",IF(G150=0,"Sem redução na LC 214","Confira se o produto é o descrito no item"))))))</f>
        <v/>
      </c>
      <c r="N150" s="25"/>
      <c r="O150" s="23"/>
      <c r="P150" s="25"/>
      <c r="Q150" s="25"/>
      <c r="R150" s="31"/>
      <c r="S150" s="24"/>
      <c r="T150" s="4" t="str">
        <f aca="false">IF(D150="","",IF(C150="Serviço","S","P")&amp;SUBSTITUTE(SUBSTITUTE(SUBSTITUTE(D150,".",""),"-","")," ",""))</f>
        <v/>
      </c>
      <c r="U150" s="4" t="str">
        <f aca="false">IF(T150="","",IFERROR(MATCH(LEFT(T150,10),'Referência LC 214'!$N$6:$N$967,0),IFERROR(MATCH(LEFT(T150,9),'Referência LC 214'!$N$6:$N$967,0),IFERROR(MATCH(LEFT(T150,8),'Referência LC 214'!$N$6:$N$967,0),IFERROR(MATCH(LEFT(T150,7),'Referência LC 214'!$N$6:$N$967,0),IFERROR(MATCH(LEFT(T150,6),'Referência LC 214'!$N$6:$N$967,0),IFERROR(MATCH(LEFT(T150,5),'Referência LC 214'!$N$6:$N$967,0),IFERROR(MATCH(LEFT(T150,4),'Referência LC 214'!$N$6:$N$967,0),IFERROR(MATCH(LEFT(T150,3),'Referência LC 214'!$N$6:$N$967,0),"")))))))))</f>
        <v/>
      </c>
    </row>
    <row r="151" customFormat="false" ht="15" hidden="false" customHeight="false" outlineLevel="0" collapsed="false">
      <c r="A151" s="23"/>
      <c r="B151" s="24"/>
      <c r="C151" s="25"/>
      <c r="D151" s="23"/>
      <c r="E151" s="23"/>
      <c r="F151" s="25"/>
      <c r="G151" s="26" t="str">
        <f aca="false">IF(T151="","",SUMPRODUCT(--(LEFT(T151,LEN('Referência LC 214'!$N$6:$N$967))='Referência LC 214'!$N$6:$N$967)))</f>
        <v/>
      </c>
      <c r="H151" s="27" t="str">
        <f aca="false">IF(T151="","",IF(U151="","000001",INDEX('Referência LC 214'!$I$6:$I$967,U151)))</f>
        <v/>
      </c>
      <c r="I151" s="28" t="str">
        <f aca="false">IF(T151="","",IF(U151="","Sem anexo: tributação integral",INDEX('Referência LC 214'!$H$6:$H$967,U151)))</f>
        <v/>
      </c>
      <c r="J151" s="29" t="str">
        <f aca="false">IF(T151="","",IF(U151="",0,INDEX('Referência LC 214'!$K$6:$K$967,U151)))</f>
        <v/>
      </c>
      <c r="K151" s="28" t="str">
        <f aca="false">IF(OR(T151="",U151=""),"","Anexo "&amp;INDEX('Referência LC 214'!$E$6:$E$967,U151)&amp;", item "&amp;INDEX('Referência LC 214'!$F$6:$F$967,U151)&amp;": "&amp;INDEX('Referência LC 214'!$G$6:$G$967,U151))</f>
        <v/>
      </c>
      <c r="L151" s="28" t="str">
        <f aca="false">IF(OR(T151="",U151=""),"",IF(INDEX('Referência LC 214'!$L$6:$L$967,U151)&amp;""&lt;&gt;"",INDEX('Referência LC 214'!$L$6:$L$967,U151)&amp;"",IF(SUMPRODUCT((LEFT(T151,LEN('Referência LC 214'!$N$6:$N$967))='Referência LC 214'!$N$6:$N$967)*('Referência LC 214'!$L$6:$L$967&lt;&gt;""))&gt;0,"Há outro tratamento só para alguns compradores (ex.: órgão público/SUS) — veja a referência","")))</f>
        <v/>
      </c>
      <c r="M151" s="30" t="str">
        <f aca="false">IF(T151="","",IF(AND(C151&lt;&gt;"Serviço",LEN(T151)-1&lt;&gt;8),"NCM deve ter 8 dígitos",IF(AND(C151="Serviço",LEN(T151)-1&lt;&gt;9),"NBS deve ter 9 dígitos",IF(L151&lt;&gt;"","Benefício depende do comprador: confira a coluna N",IF(G151&gt;1,"Mais de uma regra: confira o item do anexo na referência",IF(G151=0,"Sem redução na LC 214","Confira se o produto é o descrito no item"))))))</f>
        <v/>
      </c>
      <c r="N151" s="25"/>
      <c r="O151" s="23"/>
      <c r="P151" s="25"/>
      <c r="Q151" s="25"/>
      <c r="R151" s="31"/>
      <c r="S151" s="24"/>
      <c r="T151" s="4" t="str">
        <f aca="false">IF(D151="","",IF(C151="Serviço","S","P")&amp;SUBSTITUTE(SUBSTITUTE(SUBSTITUTE(D151,".",""),"-","")," ",""))</f>
        <v/>
      </c>
      <c r="U151" s="4" t="str">
        <f aca="false">IF(T151="","",IFERROR(MATCH(LEFT(T151,10),'Referência LC 214'!$N$6:$N$967,0),IFERROR(MATCH(LEFT(T151,9),'Referência LC 214'!$N$6:$N$967,0),IFERROR(MATCH(LEFT(T151,8),'Referência LC 214'!$N$6:$N$967,0),IFERROR(MATCH(LEFT(T151,7),'Referência LC 214'!$N$6:$N$967,0),IFERROR(MATCH(LEFT(T151,6),'Referência LC 214'!$N$6:$N$967,0),IFERROR(MATCH(LEFT(T151,5),'Referência LC 214'!$N$6:$N$967,0),IFERROR(MATCH(LEFT(T151,4),'Referência LC 214'!$N$6:$N$967,0),IFERROR(MATCH(LEFT(T151,3),'Referência LC 214'!$N$6:$N$967,0),"")))))))))</f>
        <v/>
      </c>
    </row>
    <row r="152" customFormat="false" ht="15" hidden="false" customHeight="false" outlineLevel="0" collapsed="false">
      <c r="A152" s="23"/>
      <c r="B152" s="24"/>
      <c r="C152" s="25"/>
      <c r="D152" s="23"/>
      <c r="E152" s="23"/>
      <c r="F152" s="25"/>
      <c r="G152" s="26" t="str">
        <f aca="false">IF(T152="","",SUMPRODUCT(--(LEFT(T152,LEN('Referência LC 214'!$N$6:$N$967))='Referência LC 214'!$N$6:$N$967)))</f>
        <v/>
      </c>
      <c r="H152" s="27" t="str">
        <f aca="false">IF(T152="","",IF(U152="","000001",INDEX('Referência LC 214'!$I$6:$I$967,U152)))</f>
        <v/>
      </c>
      <c r="I152" s="28" t="str">
        <f aca="false">IF(T152="","",IF(U152="","Sem anexo: tributação integral",INDEX('Referência LC 214'!$H$6:$H$967,U152)))</f>
        <v/>
      </c>
      <c r="J152" s="29" t="str">
        <f aca="false">IF(T152="","",IF(U152="",0,INDEX('Referência LC 214'!$K$6:$K$967,U152)))</f>
        <v/>
      </c>
      <c r="K152" s="28" t="str">
        <f aca="false">IF(OR(T152="",U152=""),"","Anexo "&amp;INDEX('Referência LC 214'!$E$6:$E$967,U152)&amp;", item "&amp;INDEX('Referência LC 214'!$F$6:$F$967,U152)&amp;": "&amp;INDEX('Referência LC 214'!$G$6:$G$967,U152))</f>
        <v/>
      </c>
      <c r="L152" s="28" t="str">
        <f aca="false">IF(OR(T152="",U152=""),"",IF(INDEX('Referência LC 214'!$L$6:$L$967,U152)&amp;""&lt;&gt;"",INDEX('Referência LC 214'!$L$6:$L$967,U152)&amp;"",IF(SUMPRODUCT((LEFT(T152,LEN('Referência LC 214'!$N$6:$N$967))='Referência LC 214'!$N$6:$N$967)*('Referência LC 214'!$L$6:$L$967&lt;&gt;""))&gt;0,"Há outro tratamento só para alguns compradores (ex.: órgão público/SUS) — veja a referência","")))</f>
        <v/>
      </c>
      <c r="M152" s="30" t="str">
        <f aca="false">IF(T152="","",IF(AND(C152&lt;&gt;"Serviço",LEN(T152)-1&lt;&gt;8),"NCM deve ter 8 dígitos",IF(AND(C152="Serviço",LEN(T152)-1&lt;&gt;9),"NBS deve ter 9 dígitos",IF(L152&lt;&gt;"","Benefício depende do comprador: confira a coluna N",IF(G152&gt;1,"Mais de uma regra: confira o item do anexo na referência",IF(G152=0,"Sem redução na LC 214","Confira se o produto é o descrito no item"))))))</f>
        <v/>
      </c>
      <c r="N152" s="25"/>
      <c r="O152" s="23"/>
      <c r="P152" s="25"/>
      <c r="Q152" s="25"/>
      <c r="R152" s="31"/>
      <c r="S152" s="24"/>
      <c r="T152" s="4" t="str">
        <f aca="false">IF(D152="","",IF(C152="Serviço","S","P")&amp;SUBSTITUTE(SUBSTITUTE(SUBSTITUTE(D152,".",""),"-","")," ",""))</f>
        <v/>
      </c>
      <c r="U152" s="4" t="str">
        <f aca="false">IF(T152="","",IFERROR(MATCH(LEFT(T152,10),'Referência LC 214'!$N$6:$N$967,0),IFERROR(MATCH(LEFT(T152,9),'Referência LC 214'!$N$6:$N$967,0),IFERROR(MATCH(LEFT(T152,8),'Referência LC 214'!$N$6:$N$967,0),IFERROR(MATCH(LEFT(T152,7),'Referência LC 214'!$N$6:$N$967,0),IFERROR(MATCH(LEFT(T152,6),'Referência LC 214'!$N$6:$N$967,0),IFERROR(MATCH(LEFT(T152,5),'Referência LC 214'!$N$6:$N$967,0),IFERROR(MATCH(LEFT(T152,4),'Referência LC 214'!$N$6:$N$967,0),IFERROR(MATCH(LEFT(T152,3),'Referência LC 214'!$N$6:$N$967,0),"")))))))))</f>
        <v/>
      </c>
    </row>
    <row r="153" customFormat="false" ht="15" hidden="false" customHeight="false" outlineLevel="0" collapsed="false">
      <c r="A153" s="23"/>
      <c r="B153" s="24"/>
      <c r="C153" s="25"/>
      <c r="D153" s="23"/>
      <c r="E153" s="23"/>
      <c r="F153" s="25"/>
      <c r="G153" s="26" t="str">
        <f aca="false">IF(T153="","",SUMPRODUCT(--(LEFT(T153,LEN('Referência LC 214'!$N$6:$N$967))='Referência LC 214'!$N$6:$N$967)))</f>
        <v/>
      </c>
      <c r="H153" s="27" t="str">
        <f aca="false">IF(T153="","",IF(U153="","000001",INDEX('Referência LC 214'!$I$6:$I$967,U153)))</f>
        <v/>
      </c>
      <c r="I153" s="28" t="str">
        <f aca="false">IF(T153="","",IF(U153="","Sem anexo: tributação integral",INDEX('Referência LC 214'!$H$6:$H$967,U153)))</f>
        <v/>
      </c>
      <c r="J153" s="29" t="str">
        <f aca="false">IF(T153="","",IF(U153="",0,INDEX('Referência LC 214'!$K$6:$K$967,U153)))</f>
        <v/>
      </c>
      <c r="K153" s="28" t="str">
        <f aca="false">IF(OR(T153="",U153=""),"","Anexo "&amp;INDEX('Referência LC 214'!$E$6:$E$967,U153)&amp;", item "&amp;INDEX('Referência LC 214'!$F$6:$F$967,U153)&amp;": "&amp;INDEX('Referência LC 214'!$G$6:$G$967,U153))</f>
        <v/>
      </c>
      <c r="L153" s="28" t="str">
        <f aca="false">IF(OR(T153="",U153=""),"",IF(INDEX('Referência LC 214'!$L$6:$L$967,U153)&amp;""&lt;&gt;"",INDEX('Referência LC 214'!$L$6:$L$967,U153)&amp;"",IF(SUMPRODUCT((LEFT(T153,LEN('Referência LC 214'!$N$6:$N$967))='Referência LC 214'!$N$6:$N$967)*('Referência LC 214'!$L$6:$L$967&lt;&gt;""))&gt;0,"Há outro tratamento só para alguns compradores (ex.: órgão público/SUS) — veja a referência","")))</f>
        <v/>
      </c>
      <c r="M153" s="30" t="str">
        <f aca="false">IF(T153="","",IF(AND(C153&lt;&gt;"Serviço",LEN(T153)-1&lt;&gt;8),"NCM deve ter 8 dígitos",IF(AND(C153="Serviço",LEN(T153)-1&lt;&gt;9),"NBS deve ter 9 dígitos",IF(L153&lt;&gt;"","Benefício depende do comprador: confira a coluna N",IF(G153&gt;1,"Mais de uma regra: confira o item do anexo na referência",IF(G153=0,"Sem redução na LC 214","Confira se o produto é o descrito no item"))))))</f>
        <v/>
      </c>
      <c r="N153" s="25"/>
      <c r="O153" s="23"/>
      <c r="P153" s="25"/>
      <c r="Q153" s="25"/>
      <c r="R153" s="31"/>
      <c r="S153" s="24"/>
      <c r="T153" s="4" t="str">
        <f aca="false">IF(D153="","",IF(C153="Serviço","S","P")&amp;SUBSTITUTE(SUBSTITUTE(SUBSTITUTE(D153,".",""),"-","")," ",""))</f>
        <v/>
      </c>
      <c r="U153" s="4" t="str">
        <f aca="false">IF(T153="","",IFERROR(MATCH(LEFT(T153,10),'Referência LC 214'!$N$6:$N$967,0),IFERROR(MATCH(LEFT(T153,9),'Referência LC 214'!$N$6:$N$967,0),IFERROR(MATCH(LEFT(T153,8),'Referência LC 214'!$N$6:$N$967,0),IFERROR(MATCH(LEFT(T153,7),'Referência LC 214'!$N$6:$N$967,0),IFERROR(MATCH(LEFT(T153,6),'Referência LC 214'!$N$6:$N$967,0),IFERROR(MATCH(LEFT(T153,5),'Referência LC 214'!$N$6:$N$967,0),IFERROR(MATCH(LEFT(T153,4),'Referência LC 214'!$N$6:$N$967,0),IFERROR(MATCH(LEFT(T153,3),'Referência LC 214'!$N$6:$N$967,0),"")))))))))</f>
        <v/>
      </c>
    </row>
    <row r="154" customFormat="false" ht="15" hidden="false" customHeight="false" outlineLevel="0" collapsed="false">
      <c r="A154" s="23"/>
      <c r="B154" s="24"/>
      <c r="C154" s="25"/>
      <c r="D154" s="23"/>
      <c r="E154" s="23"/>
      <c r="F154" s="25"/>
      <c r="G154" s="26" t="str">
        <f aca="false">IF(T154="","",SUMPRODUCT(--(LEFT(T154,LEN('Referência LC 214'!$N$6:$N$967))='Referência LC 214'!$N$6:$N$967)))</f>
        <v/>
      </c>
      <c r="H154" s="27" t="str">
        <f aca="false">IF(T154="","",IF(U154="","000001",INDEX('Referência LC 214'!$I$6:$I$967,U154)))</f>
        <v/>
      </c>
      <c r="I154" s="28" t="str">
        <f aca="false">IF(T154="","",IF(U154="","Sem anexo: tributação integral",INDEX('Referência LC 214'!$H$6:$H$967,U154)))</f>
        <v/>
      </c>
      <c r="J154" s="29" t="str">
        <f aca="false">IF(T154="","",IF(U154="",0,INDEX('Referência LC 214'!$K$6:$K$967,U154)))</f>
        <v/>
      </c>
      <c r="K154" s="28" t="str">
        <f aca="false">IF(OR(T154="",U154=""),"","Anexo "&amp;INDEX('Referência LC 214'!$E$6:$E$967,U154)&amp;", item "&amp;INDEX('Referência LC 214'!$F$6:$F$967,U154)&amp;": "&amp;INDEX('Referência LC 214'!$G$6:$G$967,U154))</f>
        <v/>
      </c>
      <c r="L154" s="28" t="str">
        <f aca="false">IF(OR(T154="",U154=""),"",IF(INDEX('Referência LC 214'!$L$6:$L$967,U154)&amp;""&lt;&gt;"",INDEX('Referência LC 214'!$L$6:$L$967,U154)&amp;"",IF(SUMPRODUCT((LEFT(T154,LEN('Referência LC 214'!$N$6:$N$967))='Referência LC 214'!$N$6:$N$967)*('Referência LC 214'!$L$6:$L$967&lt;&gt;""))&gt;0,"Há outro tratamento só para alguns compradores (ex.: órgão público/SUS) — veja a referência","")))</f>
        <v/>
      </c>
      <c r="M154" s="30" t="str">
        <f aca="false">IF(T154="","",IF(AND(C154&lt;&gt;"Serviço",LEN(T154)-1&lt;&gt;8),"NCM deve ter 8 dígitos",IF(AND(C154="Serviço",LEN(T154)-1&lt;&gt;9),"NBS deve ter 9 dígitos",IF(L154&lt;&gt;"","Benefício depende do comprador: confira a coluna N",IF(G154&gt;1,"Mais de uma regra: confira o item do anexo na referência",IF(G154=0,"Sem redução na LC 214","Confira se o produto é o descrito no item"))))))</f>
        <v/>
      </c>
      <c r="N154" s="25"/>
      <c r="O154" s="23"/>
      <c r="P154" s="25"/>
      <c r="Q154" s="25"/>
      <c r="R154" s="31"/>
      <c r="S154" s="24"/>
      <c r="T154" s="4" t="str">
        <f aca="false">IF(D154="","",IF(C154="Serviço","S","P")&amp;SUBSTITUTE(SUBSTITUTE(SUBSTITUTE(D154,".",""),"-","")," ",""))</f>
        <v/>
      </c>
      <c r="U154" s="4" t="str">
        <f aca="false">IF(T154="","",IFERROR(MATCH(LEFT(T154,10),'Referência LC 214'!$N$6:$N$967,0),IFERROR(MATCH(LEFT(T154,9),'Referência LC 214'!$N$6:$N$967,0),IFERROR(MATCH(LEFT(T154,8),'Referência LC 214'!$N$6:$N$967,0),IFERROR(MATCH(LEFT(T154,7),'Referência LC 214'!$N$6:$N$967,0),IFERROR(MATCH(LEFT(T154,6),'Referência LC 214'!$N$6:$N$967,0),IFERROR(MATCH(LEFT(T154,5),'Referência LC 214'!$N$6:$N$967,0),IFERROR(MATCH(LEFT(T154,4),'Referência LC 214'!$N$6:$N$967,0),IFERROR(MATCH(LEFT(T154,3),'Referência LC 214'!$N$6:$N$967,0),"")))))))))</f>
        <v/>
      </c>
    </row>
    <row r="155" customFormat="false" ht="15" hidden="false" customHeight="false" outlineLevel="0" collapsed="false">
      <c r="A155" s="23"/>
      <c r="B155" s="24"/>
      <c r="C155" s="25"/>
      <c r="D155" s="23"/>
      <c r="E155" s="23"/>
      <c r="F155" s="25"/>
      <c r="G155" s="26" t="str">
        <f aca="false">IF(T155="","",SUMPRODUCT(--(LEFT(T155,LEN('Referência LC 214'!$N$6:$N$967))='Referência LC 214'!$N$6:$N$967)))</f>
        <v/>
      </c>
      <c r="H155" s="27" t="str">
        <f aca="false">IF(T155="","",IF(U155="","000001",INDEX('Referência LC 214'!$I$6:$I$967,U155)))</f>
        <v/>
      </c>
      <c r="I155" s="28" t="str">
        <f aca="false">IF(T155="","",IF(U155="","Sem anexo: tributação integral",INDEX('Referência LC 214'!$H$6:$H$967,U155)))</f>
        <v/>
      </c>
      <c r="J155" s="29" t="str">
        <f aca="false">IF(T155="","",IF(U155="",0,INDEX('Referência LC 214'!$K$6:$K$967,U155)))</f>
        <v/>
      </c>
      <c r="K155" s="28" t="str">
        <f aca="false">IF(OR(T155="",U155=""),"","Anexo "&amp;INDEX('Referência LC 214'!$E$6:$E$967,U155)&amp;", item "&amp;INDEX('Referência LC 214'!$F$6:$F$967,U155)&amp;": "&amp;INDEX('Referência LC 214'!$G$6:$G$967,U155))</f>
        <v/>
      </c>
      <c r="L155" s="28" t="str">
        <f aca="false">IF(OR(T155="",U155=""),"",IF(INDEX('Referência LC 214'!$L$6:$L$967,U155)&amp;""&lt;&gt;"",INDEX('Referência LC 214'!$L$6:$L$967,U155)&amp;"",IF(SUMPRODUCT((LEFT(T155,LEN('Referência LC 214'!$N$6:$N$967))='Referência LC 214'!$N$6:$N$967)*('Referência LC 214'!$L$6:$L$967&lt;&gt;""))&gt;0,"Há outro tratamento só para alguns compradores (ex.: órgão público/SUS) — veja a referência","")))</f>
        <v/>
      </c>
      <c r="M155" s="30" t="str">
        <f aca="false">IF(T155="","",IF(AND(C155&lt;&gt;"Serviço",LEN(T155)-1&lt;&gt;8),"NCM deve ter 8 dígitos",IF(AND(C155="Serviço",LEN(T155)-1&lt;&gt;9),"NBS deve ter 9 dígitos",IF(L155&lt;&gt;"","Benefício depende do comprador: confira a coluna N",IF(G155&gt;1,"Mais de uma regra: confira o item do anexo na referência",IF(G155=0,"Sem redução na LC 214","Confira se o produto é o descrito no item"))))))</f>
        <v/>
      </c>
      <c r="N155" s="25"/>
      <c r="O155" s="23"/>
      <c r="P155" s="25"/>
      <c r="Q155" s="25"/>
      <c r="R155" s="31"/>
      <c r="S155" s="24"/>
      <c r="T155" s="4" t="str">
        <f aca="false">IF(D155="","",IF(C155="Serviço","S","P")&amp;SUBSTITUTE(SUBSTITUTE(SUBSTITUTE(D155,".",""),"-","")," ",""))</f>
        <v/>
      </c>
      <c r="U155" s="4" t="str">
        <f aca="false">IF(T155="","",IFERROR(MATCH(LEFT(T155,10),'Referência LC 214'!$N$6:$N$967,0),IFERROR(MATCH(LEFT(T155,9),'Referência LC 214'!$N$6:$N$967,0),IFERROR(MATCH(LEFT(T155,8),'Referência LC 214'!$N$6:$N$967,0),IFERROR(MATCH(LEFT(T155,7),'Referência LC 214'!$N$6:$N$967,0),IFERROR(MATCH(LEFT(T155,6),'Referência LC 214'!$N$6:$N$967,0),IFERROR(MATCH(LEFT(T155,5),'Referência LC 214'!$N$6:$N$967,0),IFERROR(MATCH(LEFT(T155,4),'Referência LC 214'!$N$6:$N$967,0),IFERROR(MATCH(LEFT(T155,3),'Referência LC 214'!$N$6:$N$967,0),"")))))))))</f>
        <v/>
      </c>
    </row>
    <row r="156" customFormat="false" ht="15" hidden="false" customHeight="false" outlineLevel="0" collapsed="false">
      <c r="A156" s="23"/>
      <c r="B156" s="24"/>
      <c r="C156" s="25"/>
      <c r="D156" s="23"/>
      <c r="E156" s="23"/>
      <c r="F156" s="25"/>
      <c r="G156" s="26" t="str">
        <f aca="false">IF(T156="","",SUMPRODUCT(--(LEFT(T156,LEN('Referência LC 214'!$N$6:$N$967))='Referência LC 214'!$N$6:$N$967)))</f>
        <v/>
      </c>
      <c r="H156" s="27" t="str">
        <f aca="false">IF(T156="","",IF(U156="","000001",INDEX('Referência LC 214'!$I$6:$I$967,U156)))</f>
        <v/>
      </c>
      <c r="I156" s="28" t="str">
        <f aca="false">IF(T156="","",IF(U156="","Sem anexo: tributação integral",INDEX('Referência LC 214'!$H$6:$H$967,U156)))</f>
        <v/>
      </c>
      <c r="J156" s="29" t="str">
        <f aca="false">IF(T156="","",IF(U156="",0,INDEX('Referência LC 214'!$K$6:$K$967,U156)))</f>
        <v/>
      </c>
      <c r="K156" s="28" t="str">
        <f aca="false">IF(OR(T156="",U156=""),"","Anexo "&amp;INDEX('Referência LC 214'!$E$6:$E$967,U156)&amp;", item "&amp;INDEX('Referência LC 214'!$F$6:$F$967,U156)&amp;": "&amp;INDEX('Referência LC 214'!$G$6:$G$967,U156))</f>
        <v/>
      </c>
      <c r="L156" s="28" t="str">
        <f aca="false">IF(OR(T156="",U156=""),"",IF(INDEX('Referência LC 214'!$L$6:$L$967,U156)&amp;""&lt;&gt;"",INDEX('Referência LC 214'!$L$6:$L$967,U156)&amp;"",IF(SUMPRODUCT((LEFT(T156,LEN('Referência LC 214'!$N$6:$N$967))='Referência LC 214'!$N$6:$N$967)*('Referência LC 214'!$L$6:$L$967&lt;&gt;""))&gt;0,"Há outro tratamento só para alguns compradores (ex.: órgão público/SUS) — veja a referência","")))</f>
        <v/>
      </c>
      <c r="M156" s="30" t="str">
        <f aca="false">IF(T156="","",IF(AND(C156&lt;&gt;"Serviço",LEN(T156)-1&lt;&gt;8),"NCM deve ter 8 dígitos",IF(AND(C156="Serviço",LEN(T156)-1&lt;&gt;9),"NBS deve ter 9 dígitos",IF(L156&lt;&gt;"","Benefício depende do comprador: confira a coluna N",IF(G156&gt;1,"Mais de uma regra: confira o item do anexo na referência",IF(G156=0,"Sem redução na LC 214","Confira se o produto é o descrito no item"))))))</f>
        <v/>
      </c>
      <c r="N156" s="25"/>
      <c r="O156" s="23"/>
      <c r="P156" s="25"/>
      <c r="Q156" s="25"/>
      <c r="R156" s="31"/>
      <c r="S156" s="24"/>
      <c r="T156" s="4" t="str">
        <f aca="false">IF(D156="","",IF(C156="Serviço","S","P")&amp;SUBSTITUTE(SUBSTITUTE(SUBSTITUTE(D156,".",""),"-","")," ",""))</f>
        <v/>
      </c>
      <c r="U156" s="4" t="str">
        <f aca="false">IF(T156="","",IFERROR(MATCH(LEFT(T156,10),'Referência LC 214'!$N$6:$N$967,0),IFERROR(MATCH(LEFT(T156,9),'Referência LC 214'!$N$6:$N$967,0),IFERROR(MATCH(LEFT(T156,8),'Referência LC 214'!$N$6:$N$967,0),IFERROR(MATCH(LEFT(T156,7),'Referência LC 214'!$N$6:$N$967,0),IFERROR(MATCH(LEFT(T156,6),'Referência LC 214'!$N$6:$N$967,0),IFERROR(MATCH(LEFT(T156,5),'Referência LC 214'!$N$6:$N$967,0),IFERROR(MATCH(LEFT(T156,4),'Referência LC 214'!$N$6:$N$967,0),IFERROR(MATCH(LEFT(T156,3),'Referência LC 214'!$N$6:$N$967,0),"")))))))))</f>
        <v/>
      </c>
    </row>
    <row r="157" customFormat="false" ht="15" hidden="false" customHeight="false" outlineLevel="0" collapsed="false">
      <c r="A157" s="23"/>
      <c r="B157" s="24"/>
      <c r="C157" s="25"/>
      <c r="D157" s="23"/>
      <c r="E157" s="23"/>
      <c r="F157" s="25"/>
      <c r="G157" s="26" t="str">
        <f aca="false">IF(T157="","",SUMPRODUCT(--(LEFT(T157,LEN('Referência LC 214'!$N$6:$N$967))='Referência LC 214'!$N$6:$N$967)))</f>
        <v/>
      </c>
      <c r="H157" s="27" t="str">
        <f aca="false">IF(T157="","",IF(U157="","000001",INDEX('Referência LC 214'!$I$6:$I$967,U157)))</f>
        <v/>
      </c>
      <c r="I157" s="28" t="str">
        <f aca="false">IF(T157="","",IF(U157="","Sem anexo: tributação integral",INDEX('Referência LC 214'!$H$6:$H$967,U157)))</f>
        <v/>
      </c>
      <c r="J157" s="29" t="str">
        <f aca="false">IF(T157="","",IF(U157="",0,INDEX('Referência LC 214'!$K$6:$K$967,U157)))</f>
        <v/>
      </c>
      <c r="K157" s="28" t="str">
        <f aca="false">IF(OR(T157="",U157=""),"","Anexo "&amp;INDEX('Referência LC 214'!$E$6:$E$967,U157)&amp;", item "&amp;INDEX('Referência LC 214'!$F$6:$F$967,U157)&amp;": "&amp;INDEX('Referência LC 214'!$G$6:$G$967,U157))</f>
        <v/>
      </c>
      <c r="L157" s="28" t="str">
        <f aca="false">IF(OR(T157="",U157=""),"",IF(INDEX('Referência LC 214'!$L$6:$L$967,U157)&amp;""&lt;&gt;"",INDEX('Referência LC 214'!$L$6:$L$967,U157)&amp;"",IF(SUMPRODUCT((LEFT(T157,LEN('Referência LC 214'!$N$6:$N$967))='Referência LC 214'!$N$6:$N$967)*('Referência LC 214'!$L$6:$L$967&lt;&gt;""))&gt;0,"Há outro tratamento só para alguns compradores (ex.: órgão público/SUS) — veja a referência","")))</f>
        <v/>
      </c>
      <c r="M157" s="30" t="str">
        <f aca="false">IF(T157="","",IF(AND(C157&lt;&gt;"Serviço",LEN(T157)-1&lt;&gt;8),"NCM deve ter 8 dígitos",IF(AND(C157="Serviço",LEN(T157)-1&lt;&gt;9),"NBS deve ter 9 dígitos",IF(L157&lt;&gt;"","Benefício depende do comprador: confira a coluna N",IF(G157&gt;1,"Mais de uma regra: confira o item do anexo na referência",IF(G157=0,"Sem redução na LC 214","Confira se o produto é o descrito no item"))))))</f>
        <v/>
      </c>
      <c r="N157" s="25"/>
      <c r="O157" s="23"/>
      <c r="P157" s="25"/>
      <c r="Q157" s="25"/>
      <c r="R157" s="31"/>
      <c r="S157" s="24"/>
      <c r="T157" s="4" t="str">
        <f aca="false">IF(D157="","",IF(C157="Serviço","S","P")&amp;SUBSTITUTE(SUBSTITUTE(SUBSTITUTE(D157,".",""),"-","")," ",""))</f>
        <v/>
      </c>
      <c r="U157" s="4" t="str">
        <f aca="false">IF(T157="","",IFERROR(MATCH(LEFT(T157,10),'Referência LC 214'!$N$6:$N$967,0),IFERROR(MATCH(LEFT(T157,9),'Referência LC 214'!$N$6:$N$967,0),IFERROR(MATCH(LEFT(T157,8),'Referência LC 214'!$N$6:$N$967,0),IFERROR(MATCH(LEFT(T157,7),'Referência LC 214'!$N$6:$N$967,0),IFERROR(MATCH(LEFT(T157,6),'Referência LC 214'!$N$6:$N$967,0),IFERROR(MATCH(LEFT(T157,5),'Referência LC 214'!$N$6:$N$967,0),IFERROR(MATCH(LEFT(T157,4),'Referência LC 214'!$N$6:$N$967,0),IFERROR(MATCH(LEFT(T157,3),'Referência LC 214'!$N$6:$N$967,0),"")))))))))</f>
        <v/>
      </c>
    </row>
    <row r="158" customFormat="false" ht="15" hidden="false" customHeight="false" outlineLevel="0" collapsed="false">
      <c r="A158" s="23"/>
      <c r="B158" s="24"/>
      <c r="C158" s="25"/>
      <c r="D158" s="23"/>
      <c r="E158" s="23"/>
      <c r="F158" s="25"/>
      <c r="G158" s="26" t="str">
        <f aca="false">IF(T158="","",SUMPRODUCT(--(LEFT(T158,LEN('Referência LC 214'!$N$6:$N$967))='Referência LC 214'!$N$6:$N$967)))</f>
        <v/>
      </c>
      <c r="H158" s="27" t="str">
        <f aca="false">IF(T158="","",IF(U158="","000001",INDEX('Referência LC 214'!$I$6:$I$967,U158)))</f>
        <v/>
      </c>
      <c r="I158" s="28" t="str">
        <f aca="false">IF(T158="","",IF(U158="","Sem anexo: tributação integral",INDEX('Referência LC 214'!$H$6:$H$967,U158)))</f>
        <v/>
      </c>
      <c r="J158" s="29" t="str">
        <f aca="false">IF(T158="","",IF(U158="",0,INDEX('Referência LC 214'!$K$6:$K$967,U158)))</f>
        <v/>
      </c>
      <c r="K158" s="28" t="str">
        <f aca="false">IF(OR(T158="",U158=""),"","Anexo "&amp;INDEX('Referência LC 214'!$E$6:$E$967,U158)&amp;", item "&amp;INDEX('Referência LC 214'!$F$6:$F$967,U158)&amp;": "&amp;INDEX('Referência LC 214'!$G$6:$G$967,U158))</f>
        <v/>
      </c>
      <c r="L158" s="28" t="str">
        <f aca="false">IF(OR(T158="",U158=""),"",IF(INDEX('Referência LC 214'!$L$6:$L$967,U158)&amp;""&lt;&gt;"",INDEX('Referência LC 214'!$L$6:$L$967,U158)&amp;"",IF(SUMPRODUCT((LEFT(T158,LEN('Referência LC 214'!$N$6:$N$967))='Referência LC 214'!$N$6:$N$967)*('Referência LC 214'!$L$6:$L$967&lt;&gt;""))&gt;0,"Há outro tratamento só para alguns compradores (ex.: órgão público/SUS) — veja a referência","")))</f>
        <v/>
      </c>
      <c r="M158" s="30" t="str">
        <f aca="false">IF(T158="","",IF(AND(C158&lt;&gt;"Serviço",LEN(T158)-1&lt;&gt;8),"NCM deve ter 8 dígitos",IF(AND(C158="Serviço",LEN(T158)-1&lt;&gt;9),"NBS deve ter 9 dígitos",IF(L158&lt;&gt;"","Benefício depende do comprador: confira a coluna N",IF(G158&gt;1,"Mais de uma regra: confira o item do anexo na referência",IF(G158=0,"Sem redução na LC 214","Confira se o produto é o descrito no item"))))))</f>
        <v/>
      </c>
      <c r="N158" s="25"/>
      <c r="O158" s="23"/>
      <c r="P158" s="25"/>
      <c r="Q158" s="25"/>
      <c r="R158" s="31"/>
      <c r="S158" s="24"/>
      <c r="T158" s="4" t="str">
        <f aca="false">IF(D158="","",IF(C158="Serviço","S","P")&amp;SUBSTITUTE(SUBSTITUTE(SUBSTITUTE(D158,".",""),"-","")," ",""))</f>
        <v/>
      </c>
      <c r="U158" s="4" t="str">
        <f aca="false">IF(T158="","",IFERROR(MATCH(LEFT(T158,10),'Referência LC 214'!$N$6:$N$967,0),IFERROR(MATCH(LEFT(T158,9),'Referência LC 214'!$N$6:$N$967,0),IFERROR(MATCH(LEFT(T158,8),'Referência LC 214'!$N$6:$N$967,0),IFERROR(MATCH(LEFT(T158,7),'Referência LC 214'!$N$6:$N$967,0),IFERROR(MATCH(LEFT(T158,6),'Referência LC 214'!$N$6:$N$967,0),IFERROR(MATCH(LEFT(T158,5),'Referência LC 214'!$N$6:$N$967,0),IFERROR(MATCH(LEFT(T158,4),'Referência LC 214'!$N$6:$N$967,0),IFERROR(MATCH(LEFT(T158,3),'Referência LC 214'!$N$6:$N$967,0),"")))))))))</f>
        <v/>
      </c>
    </row>
    <row r="159" customFormat="false" ht="15" hidden="false" customHeight="false" outlineLevel="0" collapsed="false">
      <c r="A159" s="23"/>
      <c r="B159" s="24"/>
      <c r="C159" s="25"/>
      <c r="D159" s="23"/>
      <c r="E159" s="23"/>
      <c r="F159" s="25"/>
      <c r="G159" s="26" t="str">
        <f aca="false">IF(T159="","",SUMPRODUCT(--(LEFT(T159,LEN('Referência LC 214'!$N$6:$N$967))='Referência LC 214'!$N$6:$N$967)))</f>
        <v/>
      </c>
      <c r="H159" s="27" t="str">
        <f aca="false">IF(T159="","",IF(U159="","000001",INDEX('Referência LC 214'!$I$6:$I$967,U159)))</f>
        <v/>
      </c>
      <c r="I159" s="28" t="str">
        <f aca="false">IF(T159="","",IF(U159="","Sem anexo: tributação integral",INDEX('Referência LC 214'!$H$6:$H$967,U159)))</f>
        <v/>
      </c>
      <c r="J159" s="29" t="str">
        <f aca="false">IF(T159="","",IF(U159="",0,INDEX('Referência LC 214'!$K$6:$K$967,U159)))</f>
        <v/>
      </c>
      <c r="K159" s="28" t="str">
        <f aca="false">IF(OR(T159="",U159=""),"","Anexo "&amp;INDEX('Referência LC 214'!$E$6:$E$967,U159)&amp;", item "&amp;INDEX('Referência LC 214'!$F$6:$F$967,U159)&amp;": "&amp;INDEX('Referência LC 214'!$G$6:$G$967,U159))</f>
        <v/>
      </c>
      <c r="L159" s="28" t="str">
        <f aca="false">IF(OR(T159="",U159=""),"",IF(INDEX('Referência LC 214'!$L$6:$L$967,U159)&amp;""&lt;&gt;"",INDEX('Referência LC 214'!$L$6:$L$967,U159)&amp;"",IF(SUMPRODUCT((LEFT(T159,LEN('Referência LC 214'!$N$6:$N$967))='Referência LC 214'!$N$6:$N$967)*('Referência LC 214'!$L$6:$L$967&lt;&gt;""))&gt;0,"Há outro tratamento só para alguns compradores (ex.: órgão público/SUS) — veja a referência","")))</f>
        <v/>
      </c>
      <c r="M159" s="30" t="str">
        <f aca="false">IF(T159="","",IF(AND(C159&lt;&gt;"Serviço",LEN(T159)-1&lt;&gt;8),"NCM deve ter 8 dígitos",IF(AND(C159="Serviço",LEN(T159)-1&lt;&gt;9),"NBS deve ter 9 dígitos",IF(L159&lt;&gt;"","Benefício depende do comprador: confira a coluna N",IF(G159&gt;1,"Mais de uma regra: confira o item do anexo na referência",IF(G159=0,"Sem redução na LC 214","Confira se o produto é o descrito no item"))))))</f>
        <v/>
      </c>
      <c r="N159" s="25"/>
      <c r="O159" s="23"/>
      <c r="P159" s="25"/>
      <c r="Q159" s="25"/>
      <c r="R159" s="31"/>
      <c r="S159" s="24"/>
      <c r="T159" s="4" t="str">
        <f aca="false">IF(D159="","",IF(C159="Serviço","S","P")&amp;SUBSTITUTE(SUBSTITUTE(SUBSTITUTE(D159,".",""),"-","")," ",""))</f>
        <v/>
      </c>
      <c r="U159" s="4" t="str">
        <f aca="false">IF(T159="","",IFERROR(MATCH(LEFT(T159,10),'Referência LC 214'!$N$6:$N$967,0),IFERROR(MATCH(LEFT(T159,9),'Referência LC 214'!$N$6:$N$967,0),IFERROR(MATCH(LEFT(T159,8),'Referência LC 214'!$N$6:$N$967,0),IFERROR(MATCH(LEFT(T159,7),'Referência LC 214'!$N$6:$N$967,0),IFERROR(MATCH(LEFT(T159,6),'Referência LC 214'!$N$6:$N$967,0),IFERROR(MATCH(LEFT(T159,5),'Referência LC 214'!$N$6:$N$967,0),IFERROR(MATCH(LEFT(T159,4),'Referência LC 214'!$N$6:$N$967,0),IFERROR(MATCH(LEFT(T159,3),'Referência LC 214'!$N$6:$N$967,0),"")))))))))</f>
        <v/>
      </c>
    </row>
    <row r="160" customFormat="false" ht="15" hidden="false" customHeight="false" outlineLevel="0" collapsed="false">
      <c r="A160" s="23"/>
      <c r="B160" s="24"/>
      <c r="C160" s="25"/>
      <c r="D160" s="23"/>
      <c r="E160" s="23"/>
      <c r="F160" s="25"/>
      <c r="G160" s="26" t="str">
        <f aca="false">IF(T160="","",SUMPRODUCT(--(LEFT(T160,LEN('Referência LC 214'!$N$6:$N$967))='Referência LC 214'!$N$6:$N$967)))</f>
        <v/>
      </c>
      <c r="H160" s="27" t="str">
        <f aca="false">IF(T160="","",IF(U160="","000001",INDEX('Referência LC 214'!$I$6:$I$967,U160)))</f>
        <v/>
      </c>
      <c r="I160" s="28" t="str">
        <f aca="false">IF(T160="","",IF(U160="","Sem anexo: tributação integral",INDEX('Referência LC 214'!$H$6:$H$967,U160)))</f>
        <v/>
      </c>
      <c r="J160" s="29" t="str">
        <f aca="false">IF(T160="","",IF(U160="",0,INDEX('Referência LC 214'!$K$6:$K$967,U160)))</f>
        <v/>
      </c>
      <c r="K160" s="28" t="str">
        <f aca="false">IF(OR(T160="",U160=""),"","Anexo "&amp;INDEX('Referência LC 214'!$E$6:$E$967,U160)&amp;", item "&amp;INDEX('Referência LC 214'!$F$6:$F$967,U160)&amp;": "&amp;INDEX('Referência LC 214'!$G$6:$G$967,U160))</f>
        <v/>
      </c>
      <c r="L160" s="28" t="str">
        <f aca="false">IF(OR(T160="",U160=""),"",IF(INDEX('Referência LC 214'!$L$6:$L$967,U160)&amp;""&lt;&gt;"",INDEX('Referência LC 214'!$L$6:$L$967,U160)&amp;"",IF(SUMPRODUCT((LEFT(T160,LEN('Referência LC 214'!$N$6:$N$967))='Referência LC 214'!$N$6:$N$967)*('Referência LC 214'!$L$6:$L$967&lt;&gt;""))&gt;0,"Há outro tratamento só para alguns compradores (ex.: órgão público/SUS) — veja a referência","")))</f>
        <v/>
      </c>
      <c r="M160" s="30" t="str">
        <f aca="false">IF(T160="","",IF(AND(C160&lt;&gt;"Serviço",LEN(T160)-1&lt;&gt;8),"NCM deve ter 8 dígitos",IF(AND(C160="Serviço",LEN(T160)-1&lt;&gt;9),"NBS deve ter 9 dígitos",IF(L160&lt;&gt;"","Benefício depende do comprador: confira a coluna N",IF(G160&gt;1,"Mais de uma regra: confira o item do anexo na referência",IF(G160=0,"Sem redução na LC 214","Confira se o produto é o descrito no item"))))))</f>
        <v/>
      </c>
      <c r="N160" s="25"/>
      <c r="O160" s="23"/>
      <c r="P160" s="25"/>
      <c r="Q160" s="25"/>
      <c r="R160" s="31"/>
      <c r="S160" s="24"/>
      <c r="T160" s="4" t="str">
        <f aca="false">IF(D160="","",IF(C160="Serviço","S","P")&amp;SUBSTITUTE(SUBSTITUTE(SUBSTITUTE(D160,".",""),"-","")," ",""))</f>
        <v/>
      </c>
      <c r="U160" s="4" t="str">
        <f aca="false">IF(T160="","",IFERROR(MATCH(LEFT(T160,10),'Referência LC 214'!$N$6:$N$967,0),IFERROR(MATCH(LEFT(T160,9),'Referência LC 214'!$N$6:$N$967,0),IFERROR(MATCH(LEFT(T160,8),'Referência LC 214'!$N$6:$N$967,0),IFERROR(MATCH(LEFT(T160,7),'Referência LC 214'!$N$6:$N$967,0),IFERROR(MATCH(LEFT(T160,6),'Referência LC 214'!$N$6:$N$967,0),IFERROR(MATCH(LEFT(T160,5),'Referência LC 214'!$N$6:$N$967,0),IFERROR(MATCH(LEFT(T160,4),'Referência LC 214'!$N$6:$N$967,0),IFERROR(MATCH(LEFT(T160,3),'Referência LC 214'!$N$6:$N$967,0),"")))))))))</f>
        <v/>
      </c>
    </row>
    <row r="161" customFormat="false" ht="15" hidden="false" customHeight="false" outlineLevel="0" collapsed="false">
      <c r="A161" s="23"/>
      <c r="B161" s="24"/>
      <c r="C161" s="25"/>
      <c r="D161" s="23"/>
      <c r="E161" s="23"/>
      <c r="F161" s="25"/>
      <c r="G161" s="26" t="str">
        <f aca="false">IF(T161="","",SUMPRODUCT(--(LEFT(T161,LEN('Referência LC 214'!$N$6:$N$967))='Referência LC 214'!$N$6:$N$967)))</f>
        <v/>
      </c>
      <c r="H161" s="27" t="str">
        <f aca="false">IF(T161="","",IF(U161="","000001",INDEX('Referência LC 214'!$I$6:$I$967,U161)))</f>
        <v/>
      </c>
      <c r="I161" s="28" t="str">
        <f aca="false">IF(T161="","",IF(U161="","Sem anexo: tributação integral",INDEX('Referência LC 214'!$H$6:$H$967,U161)))</f>
        <v/>
      </c>
      <c r="J161" s="29" t="str">
        <f aca="false">IF(T161="","",IF(U161="",0,INDEX('Referência LC 214'!$K$6:$K$967,U161)))</f>
        <v/>
      </c>
      <c r="K161" s="28" t="str">
        <f aca="false">IF(OR(T161="",U161=""),"","Anexo "&amp;INDEX('Referência LC 214'!$E$6:$E$967,U161)&amp;", item "&amp;INDEX('Referência LC 214'!$F$6:$F$967,U161)&amp;": "&amp;INDEX('Referência LC 214'!$G$6:$G$967,U161))</f>
        <v/>
      </c>
      <c r="L161" s="28" t="str">
        <f aca="false">IF(OR(T161="",U161=""),"",IF(INDEX('Referência LC 214'!$L$6:$L$967,U161)&amp;""&lt;&gt;"",INDEX('Referência LC 214'!$L$6:$L$967,U161)&amp;"",IF(SUMPRODUCT((LEFT(T161,LEN('Referência LC 214'!$N$6:$N$967))='Referência LC 214'!$N$6:$N$967)*('Referência LC 214'!$L$6:$L$967&lt;&gt;""))&gt;0,"Há outro tratamento só para alguns compradores (ex.: órgão público/SUS) — veja a referência","")))</f>
        <v/>
      </c>
      <c r="M161" s="30" t="str">
        <f aca="false">IF(T161="","",IF(AND(C161&lt;&gt;"Serviço",LEN(T161)-1&lt;&gt;8),"NCM deve ter 8 dígitos",IF(AND(C161="Serviço",LEN(T161)-1&lt;&gt;9),"NBS deve ter 9 dígitos",IF(L161&lt;&gt;"","Benefício depende do comprador: confira a coluna N",IF(G161&gt;1,"Mais de uma regra: confira o item do anexo na referência",IF(G161=0,"Sem redução na LC 214","Confira se o produto é o descrito no item"))))))</f>
        <v/>
      </c>
      <c r="N161" s="25"/>
      <c r="O161" s="23"/>
      <c r="P161" s="25"/>
      <c r="Q161" s="25"/>
      <c r="R161" s="31"/>
      <c r="S161" s="24"/>
      <c r="T161" s="4" t="str">
        <f aca="false">IF(D161="","",IF(C161="Serviço","S","P")&amp;SUBSTITUTE(SUBSTITUTE(SUBSTITUTE(D161,".",""),"-","")," ",""))</f>
        <v/>
      </c>
      <c r="U161" s="4" t="str">
        <f aca="false">IF(T161="","",IFERROR(MATCH(LEFT(T161,10),'Referência LC 214'!$N$6:$N$967,0),IFERROR(MATCH(LEFT(T161,9),'Referência LC 214'!$N$6:$N$967,0),IFERROR(MATCH(LEFT(T161,8),'Referência LC 214'!$N$6:$N$967,0),IFERROR(MATCH(LEFT(T161,7),'Referência LC 214'!$N$6:$N$967,0),IFERROR(MATCH(LEFT(T161,6),'Referência LC 214'!$N$6:$N$967,0),IFERROR(MATCH(LEFT(T161,5),'Referência LC 214'!$N$6:$N$967,0),IFERROR(MATCH(LEFT(T161,4),'Referência LC 214'!$N$6:$N$967,0),IFERROR(MATCH(LEFT(T161,3),'Referência LC 214'!$N$6:$N$967,0),"")))))))))</f>
        <v/>
      </c>
    </row>
    <row r="162" customFormat="false" ht="15" hidden="false" customHeight="false" outlineLevel="0" collapsed="false">
      <c r="A162" s="23"/>
      <c r="B162" s="24"/>
      <c r="C162" s="25"/>
      <c r="D162" s="23"/>
      <c r="E162" s="23"/>
      <c r="F162" s="25"/>
      <c r="G162" s="26" t="str">
        <f aca="false">IF(T162="","",SUMPRODUCT(--(LEFT(T162,LEN('Referência LC 214'!$N$6:$N$967))='Referência LC 214'!$N$6:$N$967)))</f>
        <v/>
      </c>
      <c r="H162" s="27" t="str">
        <f aca="false">IF(T162="","",IF(U162="","000001",INDEX('Referência LC 214'!$I$6:$I$967,U162)))</f>
        <v/>
      </c>
      <c r="I162" s="28" t="str">
        <f aca="false">IF(T162="","",IF(U162="","Sem anexo: tributação integral",INDEX('Referência LC 214'!$H$6:$H$967,U162)))</f>
        <v/>
      </c>
      <c r="J162" s="29" t="str">
        <f aca="false">IF(T162="","",IF(U162="",0,INDEX('Referência LC 214'!$K$6:$K$967,U162)))</f>
        <v/>
      </c>
      <c r="K162" s="28" t="str">
        <f aca="false">IF(OR(T162="",U162=""),"","Anexo "&amp;INDEX('Referência LC 214'!$E$6:$E$967,U162)&amp;", item "&amp;INDEX('Referência LC 214'!$F$6:$F$967,U162)&amp;": "&amp;INDEX('Referência LC 214'!$G$6:$G$967,U162))</f>
        <v/>
      </c>
      <c r="L162" s="28" t="str">
        <f aca="false">IF(OR(T162="",U162=""),"",IF(INDEX('Referência LC 214'!$L$6:$L$967,U162)&amp;""&lt;&gt;"",INDEX('Referência LC 214'!$L$6:$L$967,U162)&amp;"",IF(SUMPRODUCT((LEFT(T162,LEN('Referência LC 214'!$N$6:$N$967))='Referência LC 214'!$N$6:$N$967)*('Referência LC 214'!$L$6:$L$967&lt;&gt;""))&gt;0,"Há outro tratamento só para alguns compradores (ex.: órgão público/SUS) — veja a referência","")))</f>
        <v/>
      </c>
      <c r="M162" s="30" t="str">
        <f aca="false">IF(T162="","",IF(AND(C162&lt;&gt;"Serviço",LEN(T162)-1&lt;&gt;8),"NCM deve ter 8 dígitos",IF(AND(C162="Serviço",LEN(T162)-1&lt;&gt;9),"NBS deve ter 9 dígitos",IF(L162&lt;&gt;"","Benefício depende do comprador: confira a coluna N",IF(G162&gt;1,"Mais de uma regra: confira o item do anexo na referência",IF(G162=0,"Sem redução na LC 214","Confira se o produto é o descrito no item"))))))</f>
        <v/>
      </c>
      <c r="N162" s="25"/>
      <c r="O162" s="23"/>
      <c r="P162" s="25"/>
      <c r="Q162" s="25"/>
      <c r="R162" s="31"/>
      <c r="S162" s="24"/>
      <c r="T162" s="4" t="str">
        <f aca="false">IF(D162="","",IF(C162="Serviço","S","P")&amp;SUBSTITUTE(SUBSTITUTE(SUBSTITUTE(D162,".",""),"-","")," ",""))</f>
        <v/>
      </c>
      <c r="U162" s="4" t="str">
        <f aca="false">IF(T162="","",IFERROR(MATCH(LEFT(T162,10),'Referência LC 214'!$N$6:$N$967,0),IFERROR(MATCH(LEFT(T162,9),'Referência LC 214'!$N$6:$N$967,0),IFERROR(MATCH(LEFT(T162,8),'Referência LC 214'!$N$6:$N$967,0),IFERROR(MATCH(LEFT(T162,7),'Referência LC 214'!$N$6:$N$967,0),IFERROR(MATCH(LEFT(T162,6),'Referência LC 214'!$N$6:$N$967,0),IFERROR(MATCH(LEFT(T162,5),'Referência LC 214'!$N$6:$N$967,0),IFERROR(MATCH(LEFT(T162,4),'Referência LC 214'!$N$6:$N$967,0),IFERROR(MATCH(LEFT(T162,3),'Referência LC 214'!$N$6:$N$967,0),"")))))))))</f>
        <v/>
      </c>
    </row>
    <row r="163" customFormat="false" ht="15" hidden="false" customHeight="false" outlineLevel="0" collapsed="false">
      <c r="A163" s="23"/>
      <c r="B163" s="24"/>
      <c r="C163" s="25"/>
      <c r="D163" s="23"/>
      <c r="E163" s="23"/>
      <c r="F163" s="25"/>
      <c r="G163" s="26" t="str">
        <f aca="false">IF(T163="","",SUMPRODUCT(--(LEFT(T163,LEN('Referência LC 214'!$N$6:$N$967))='Referência LC 214'!$N$6:$N$967)))</f>
        <v/>
      </c>
      <c r="H163" s="27" t="str">
        <f aca="false">IF(T163="","",IF(U163="","000001",INDEX('Referência LC 214'!$I$6:$I$967,U163)))</f>
        <v/>
      </c>
      <c r="I163" s="28" t="str">
        <f aca="false">IF(T163="","",IF(U163="","Sem anexo: tributação integral",INDEX('Referência LC 214'!$H$6:$H$967,U163)))</f>
        <v/>
      </c>
      <c r="J163" s="29" t="str">
        <f aca="false">IF(T163="","",IF(U163="",0,INDEX('Referência LC 214'!$K$6:$K$967,U163)))</f>
        <v/>
      </c>
      <c r="K163" s="28" t="str">
        <f aca="false">IF(OR(T163="",U163=""),"","Anexo "&amp;INDEX('Referência LC 214'!$E$6:$E$967,U163)&amp;", item "&amp;INDEX('Referência LC 214'!$F$6:$F$967,U163)&amp;": "&amp;INDEX('Referência LC 214'!$G$6:$G$967,U163))</f>
        <v/>
      </c>
      <c r="L163" s="28" t="str">
        <f aca="false">IF(OR(T163="",U163=""),"",IF(INDEX('Referência LC 214'!$L$6:$L$967,U163)&amp;""&lt;&gt;"",INDEX('Referência LC 214'!$L$6:$L$967,U163)&amp;"",IF(SUMPRODUCT((LEFT(T163,LEN('Referência LC 214'!$N$6:$N$967))='Referência LC 214'!$N$6:$N$967)*('Referência LC 214'!$L$6:$L$967&lt;&gt;""))&gt;0,"Há outro tratamento só para alguns compradores (ex.: órgão público/SUS) — veja a referência","")))</f>
        <v/>
      </c>
      <c r="M163" s="30" t="str">
        <f aca="false">IF(T163="","",IF(AND(C163&lt;&gt;"Serviço",LEN(T163)-1&lt;&gt;8),"NCM deve ter 8 dígitos",IF(AND(C163="Serviço",LEN(T163)-1&lt;&gt;9),"NBS deve ter 9 dígitos",IF(L163&lt;&gt;"","Benefício depende do comprador: confira a coluna N",IF(G163&gt;1,"Mais de uma regra: confira o item do anexo na referência",IF(G163=0,"Sem redução na LC 214","Confira se o produto é o descrito no item"))))))</f>
        <v/>
      </c>
      <c r="N163" s="25"/>
      <c r="O163" s="23"/>
      <c r="P163" s="25"/>
      <c r="Q163" s="25"/>
      <c r="R163" s="31"/>
      <c r="S163" s="24"/>
      <c r="T163" s="4" t="str">
        <f aca="false">IF(D163="","",IF(C163="Serviço","S","P")&amp;SUBSTITUTE(SUBSTITUTE(SUBSTITUTE(D163,".",""),"-","")," ",""))</f>
        <v/>
      </c>
      <c r="U163" s="4" t="str">
        <f aca="false">IF(T163="","",IFERROR(MATCH(LEFT(T163,10),'Referência LC 214'!$N$6:$N$967,0),IFERROR(MATCH(LEFT(T163,9),'Referência LC 214'!$N$6:$N$967,0),IFERROR(MATCH(LEFT(T163,8),'Referência LC 214'!$N$6:$N$967,0),IFERROR(MATCH(LEFT(T163,7),'Referência LC 214'!$N$6:$N$967,0),IFERROR(MATCH(LEFT(T163,6),'Referência LC 214'!$N$6:$N$967,0),IFERROR(MATCH(LEFT(T163,5),'Referência LC 214'!$N$6:$N$967,0),IFERROR(MATCH(LEFT(T163,4),'Referência LC 214'!$N$6:$N$967,0),IFERROR(MATCH(LEFT(T163,3),'Referência LC 214'!$N$6:$N$967,0),"")))))))))</f>
        <v/>
      </c>
    </row>
    <row r="164" customFormat="false" ht="15" hidden="false" customHeight="false" outlineLevel="0" collapsed="false">
      <c r="A164" s="23"/>
      <c r="B164" s="24"/>
      <c r="C164" s="25"/>
      <c r="D164" s="23"/>
      <c r="E164" s="23"/>
      <c r="F164" s="25"/>
      <c r="G164" s="26" t="str">
        <f aca="false">IF(T164="","",SUMPRODUCT(--(LEFT(T164,LEN('Referência LC 214'!$N$6:$N$967))='Referência LC 214'!$N$6:$N$967)))</f>
        <v/>
      </c>
      <c r="H164" s="27" t="str">
        <f aca="false">IF(T164="","",IF(U164="","000001",INDEX('Referência LC 214'!$I$6:$I$967,U164)))</f>
        <v/>
      </c>
      <c r="I164" s="28" t="str">
        <f aca="false">IF(T164="","",IF(U164="","Sem anexo: tributação integral",INDEX('Referência LC 214'!$H$6:$H$967,U164)))</f>
        <v/>
      </c>
      <c r="J164" s="29" t="str">
        <f aca="false">IF(T164="","",IF(U164="",0,INDEX('Referência LC 214'!$K$6:$K$967,U164)))</f>
        <v/>
      </c>
      <c r="K164" s="28" t="str">
        <f aca="false">IF(OR(T164="",U164=""),"","Anexo "&amp;INDEX('Referência LC 214'!$E$6:$E$967,U164)&amp;", item "&amp;INDEX('Referência LC 214'!$F$6:$F$967,U164)&amp;": "&amp;INDEX('Referência LC 214'!$G$6:$G$967,U164))</f>
        <v/>
      </c>
      <c r="L164" s="28" t="str">
        <f aca="false">IF(OR(T164="",U164=""),"",IF(INDEX('Referência LC 214'!$L$6:$L$967,U164)&amp;""&lt;&gt;"",INDEX('Referência LC 214'!$L$6:$L$967,U164)&amp;"",IF(SUMPRODUCT((LEFT(T164,LEN('Referência LC 214'!$N$6:$N$967))='Referência LC 214'!$N$6:$N$967)*('Referência LC 214'!$L$6:$L$967&lt;&gt;""))&gt;0,"Há outro tratamento só para alguns compradores (ex.: órgão público/SUS) — veja a referência","")))</f>
        <v/>
      </c>
      <c r="M164" s="30" t="str">
        <f aca="false">IF(T164="","",IF(AND(C164&lt;&gt;"Serviço",LEN(T164)-1&lt;&gt;8),"NCM deve ter 8 dígitos",IF(AND(C164="Serviço",LEN(T164)-1&lt;&gt;9),"NBS deve ter 9 dígitos",IF(L164&lt;&gt;"","Benefício depende do comprador: confira a coluna N",IF(G164&gt;1,"Mais de uma regra: confira o item do anexo na referência",IF(G164=0,"Sem redução na LC 214","Confira se o produto é o descrito no item"))))))</f>
        <v/>
      </c>
      <c r="N164" s="25"/>
      <c r="O164" s="23"/>
      <c r="P164" s="25"/>
      <c r="Q164" s="25"/>
      <c r="R164" s="31"/>
      <c r="S164" s="24"/>
      <c r="T164" s="4" t="str">
        <f aca="false">IF(D164="","",IF(C164="Serviço","S","P")&amp;SUBSTITUTE(SUBSTITUTE(SUBSTITUTE(D164,".",""),"-","")," ",""))</f>
        <v/>
      </c>
      <c r="U164" s="4" t="str">
        <f aca="false">IF(T164="","",IFERROR(MATCH(LEFT(T164,10),'Referência LC 214'!$N$6:$N$967,0),IFERROR(MATCH(LEFT(T164,9),'Referência LC 214'!$N$6:$N$967,0),IFERROR(MATCH(LEFT(T164,8),'Referência LC 214'!$N$6:$N$967,0),IFERROR(MATCH(LEFT(T164,7),'Referência LC 214'!$N$6:$N$967,0),IFERROR(MATCH(LEFT(T164,6),'Referência LC 214'!$N$6:$N$967,0),IFERROR(MATCH(LEFT(T164,5),'Referência LC 214'!$N$6:$N$967,0),IFERROR(MATCH(LEFT(T164,4),'Referência LC 214'!$N$6:$N$967,0),IFERROR(MATCH(LEFT(T164,3),'Referência LC 214'!$N$6:$N$967,0),"")))))))))</f>
        <v/>
      </c>
    </row>
    <row r="165" customFormat="false" ht="15" hidden="false" customHeight="false" outlineLevel="0" collapsed="false">
      <c r="A165" s="23"/>
      <c r="B165" s="24"/>
      <c r="C165" s="25"/>
      <c r="D165" s="23"/>
      <c r="E165" s="23"/>
      <c r="F165" s="25"/>
      <c r="G165" s="26" t="str">
        <f aca="false">IF(T165="","",SUMPRODUCT(--(LEFT(T165,LEN('Referência LC 214'!$N$6:$N$967))='Referência LC 214'!$N$6:$N$967)))</f>
        <v/>
      </c>
      <c r="H165" s="27" t="str">
        <f aca="false">IF(T165="","",IF(U165="","000001",INDEX('Referência LC 214'!$I$6:$I$967,U165)))</f>
        <v/>
      </c>
      <c r="I165" s="28" t="str">
        <f aca="false">IF(T165="","",IF(U165="","Sem anexo: tributação integral",INDEX('Referência LC 214'!$H$6:$H$967,U165)))</f>
        <v/>
      </c>
      <c r="J165" s="29" t="str">
        <f aca="false">IF(T165="","",IF(U165="",0,INDEX('Referência LC 214'!$K$6:$K$967,U165)))</f>
        <v/>
      </c>
      <c r="K165" s="28" t="str">
        <f aca="false">IF(OR(T165="",U165=""),"","Anexo "&amp;INDEX('Referência LC 214'!$E$6:$E$967,U165)&amp;", item "&amp;INDEX('Referência LC 214'!$F$6:$F$967,U165)&amp;": "&amp;INDEX('Referência LC 214'!$G$6:$G$967,U165))</f>
        <v/>
      </c>
      <c r="L165" s="28" t="str">
        <f aca="false">IF(OR(T165="",U165=""),"",IF(INDEX('Referência LC 214'!$L$6:$L$967,U165)&amp;""&lt;&gt;"",INDEX('Referência LC 214'!$L$6:$L$967,U165)&amp;"",IF(SUMPRODUCT((LEFT(T165,LEN('Referência LC 214'!$N$6:$N$967))='Referência LC 214'!$N$6:$N$967)*('Referência LC 214'!$L$6:$L$967&lt;&gt;""))&gt;0,"Há outro tratamento só para alguns compradores (ex.: órgão público/SUS) — veja a referência","")))</f>
        <v/>
      </c>
      <c r="M165" s="30" t="str">
        <f aca="false">IF(T165="","",IF(AND(C165&lt;&gt;"Serviço",LEN(T165)-1&lt;&gt;8),"NCM deve ter 8 dígitos",IF(AND(C165="Serviço",LEN(T165)-1&lt;&gt;9),"NBS deve ter 9 dígitos",IF(L165&lt;&gt;"","Benefício depende do comprador: confira a coluna N",IF(G165&gt;1,"Mais de uma regra: confira o item do anexo na referência",IF(G165=0,"Sem redução na LC 214","Confira se o produto é o descrito no item"))))))</f>
        <v/>
      </c>
      <c r="N165" s="25"/>
      <c r="O165" s="23"/>
      <c r="P165" s="25"/>
      <c r="Q165" s="25"/>
      <c r="R165" s="31"/>
      <c r="S165" s="24"/>
      <c r="T165" s="4" t="str">
        <f aca="false">IF(D165="","",IF(C165="Serviço","S","P")&amp;SUBSTITUTE(SUBSTITUTE(SUBSTITUTE(D165,".",""),"-","")," ",""))</f>
        <v/>
      </c>
      <c r="U165" s="4" t="str">
        <f aca="false">IF(T165="","",IFERROR(MATCH(LEFT(T165,10),'Referência LC 214'!$N$6:$N$967,0),IFERROR(MATCH(LEFT(T165,9),'Referência LC 214'!$N$6:$N$967,0),IFERROR(MATCH(LEFT(T165,8),'Referência LC 214'!$N$6:$N$967,0),IFERROR(MATCH(LEFT(T165,7),'Referência LC 214'!$N$6:$N$967,0),IFERROR(MATCH(LEFT(T165,6),'Referência LC 214'!$N$6:$N$967,0),IFERROR(MATCH(LEFT(T165,5),'Referência LC 214'!$N$6:$N$967,0),IFERROR(MATCH(LEFT(T165,4),'Referência LC 214'!$N$6:$N$967,0),IFERROR(MATCH(LEFT(T165,3),'Referência LC 214'!$N$6:$N$967,0),"")))))))))</f>
        <v/>
      </c>
    </row>
    <row r="166" customFormat="false" ht="15" hidden="false" customHeight="false" outlineLevel="0" collapsed="false">
      <c r="A166" s="23"/>
      <c r="B166" s="24"/>
      <c r="C166" s="25"/>
      <c r="D166" s="23"/>
      <c r="E166" s="23"/>
      <c r="F166" s="25"/>
      <c r="G166" s="26" t="str">
        <f aca="false">IF(T166="","",SUMPRODUCT(--(LEFT(T166,LEN('Referência LC 214'!$N$6:$N$967))='Referência LC 214'!$N$6:$N$967)))</f>
        <v/>
      </c>
      <c r="H166" s="27" t="str">
        <f aca="false">IF(T166="","",IF(U166="","000001",INDEX('Referência LC 214'!$I$6:$I$967,U166)))</f>
        <v/>
      </c>
      <c r="I166" s="28" t="str">
        <f aca="false">IF(T166="","",IF(U166="","Sem anexo: tributação integral",INDEX('Referência LC 214'!$H$6:$H$967,U166)))</f>
        <v/>
      </c>
      <c r="J166" s="29" t="str">
        <f aca="false">IF(T166="","",IF(U166="",0,INDEX('Referência LC 214'!$K$6:$K$967,U166)))</f>
        <v/>
      </c>
      <c r="K166" s="28" t="str">
        <f aca="false">IF(OR(T166="",U166=""),"","Anexo "&amp;INDEX('Referência LC 214'!$E$6:$E$967,U166)&amp;", item "&amp;INDEX('Referência LC 214'!$F$6:$F$967,U166)&amp;": "&amp;INDEX('Referência LC 214'!$G$6:$G$967,U166))</f>
        <v/>
      </c>
      <c r="L166" s="28" t="str">
        <f aca="false">IF(OR(T166="",U166=""),"",IF(INDEX('Referência LC 214'!$L$6:$L$967,U166)&amp;""&lt;&gt;"",INDEX('Referência LC 214'!$L$6:$L$967,U166)&amp;"",IF(SUMPRODUCT((LEFT(T166,LEN('Referência LC 214'!$N$6:$N$967))='Referência LC 214'!$N$6:$N$967)*('Referência LC 214'!$L$6:$L$967&lt;&gt;""))&gt;0,"Há outro tratamento só para alguns compradores (ex.: órgão público/SUS) — veja a referência","")))</f>
        <v/>
      </c>
      <c r="M166" s="30" t="str">
        <f aca="false">IF(T166="","",IF(AND(C166&lt;&gt;"Serviço",LEN(T166)-1&lt;&gt;8),"NCM deve ter 8 dígitos",IF(AND(C166="Serviço",LEN(T166)-1&lt;&gt;9),"NBS deve ter 9 dígitos",IF(L166&lt;&gt;"","Benefício depende do comprador: confira a coluna N",IF(G166&gt;1,"Mais de uma regra: confira o item do anexo na referência",IF(G166=0,"Sem redução na LC 214","Confira se o produto é o descrito no item"))))))</f>
        <v/>
      </c>
      <c r="N166" s="25"/>
      <c r="O166" s="23"/>
      <c r="P166" s="25"/>
      <c r="Q166" s="25"/>
      <c r="R166" s="31"/>
      <c r="S166" s="24"/>
      <c r="T166" s="4" t="str">
        <f aca="false">IF(D166="","",IF(C166="Serviço","S","P")&amp;SUBSTITUTE(SUBSTITUTE(SUBSTITUTE(D166,".",""),"-","")," ",""))</f>
        <v/>
      </c>
      <c r="U166" s="4" t="str">
        <f aca="false">IF(T166="","",IFERROR(MATCH(LEFT(T166,10),'Referência LC 214'!$N$6:$N$967,0),IFERROR(MATCH(LEFT(T166,9),'Referência LC 214'!$N$6:$N$967,0),IFERROR(MATCH(LEFT(T166,8),'Referência LC 214'!$N$6:$N$967,0),IFERROR(MATCH(LEFT(T166,7),'Referência LC 214'!$N$6:$N$967,0),IFERROR(MATCH(LEFT(T166,6),'Referência LC 214'!$N$6:$N$967,0),IFERROR(MATCH(LEFT(T166,5),'Referência LC 214'!$N$6:$N$967,0),IFERROR(MATCH(LEFT(T166,4),'Referência LC 214'!$N$6:$N$967,0),IFERROR(MATCH(LEFT(T166,3),'Referência LC 214'!$N$6:$N$967,0),"")))))))))</f>
        <v/>
      </c>
    </row>
    <row r="167" customFormat="false" ht="15" hidden="false" customHeight="false" outlineLevel="0" collapsed="false">
      <c r="A167" s="23"/>
      <c r="B167" s="24"/>
      <c r="C167" s="25"/>
      <c r="D167" s="23"/>
      <c r="E167" s="23"/>
      <c r="F167" s="25"/>
      <c r="G167" s="26" t="str">
        <f aca="false">IF(T167="","",SUMPRODUCT(--(LEFT(T167,LEN('Referência LC 214'!$N$6:$N$967))='Referência LC 214'!$N$6:$N$967)))</f>
        <v/>
      </c>
      <c r="H167" s="27" t="str">
        <f aca="false">IF(T167="","",IF(U167="","000001",INDEX('Referência LC 214'!$I$6:$I$967,U167)))</f>
        <v/>
      </c>
      <c r="I167" s="28" t="str">
        <f aca="false">IF(T167="","",IF(U167="","Sem anexo: tributação integral",INDEX('Referência LC 214'!$H$6:$H$967,U167)))</f>
        <v/>
      </c>
      <c r="J167" s="29" t="str">
        <f aca="false">IF(T167="","",IF(U167="",0,INDEX('Referência LC 214'!$K$6:$K$967,U167)))</f>
        <v/>
      </c>
      <c r="K167" s="28" t="str">
        <f aca="false">IF(OR(T167="",U167=""),"","Anexo "&amp;INDEX('Referência LC 214'!$E$6:$E$967,U167)&amp;", item "&amp;INDEX('Referência LC 214'!$F$6:$F$967,U167)&amp;": "&amp;INDEX('Referência LC 214'!$G$6:$G$967,U167))</f>
        <v/>
      </c>
      <c r="L167" s="28" t="str">
        <f aca="false">IF(OR(T167="",U167=""),"",IF(INDEX('Referência LC 214'!$L$6:$L$967,U167)&amp;""&lt;&gt;"",INDEX('Referência LC 214'!$L$6:$L$967,U167)&amp;"",IF(SUMPRODUCT((LEFT(T167,LEN('Referência LC 214'!$N$6:$N$967))='Referência LC 214'!$N$6:$N$967)*('Referência LC 214'!$L$6:$L$967&lt;&gt;""))&gt;0,"Há outro tratamento só para alguns compradores (ex.: órgão público/SUS) — veja a referência","")))</f>
        <v/>
      </c>
      <c r="M167" s="30" t="str">
        <f aca="false">IF(T167="","",IF(AND(C167&lt;&gt;"Serviço",LEN(T167)-1&lt;&gt;8),"NCM deve ter 8 dígitos",IF(AND(C167="Serviço",LEN(T167)-1&lt;&gt;9),"NBS deve ter 9 dígitos",IF(L167&lt;&gt;"","Benefício depende do comprador: confira a coluna N",IF(G167&gt;1,"Mais de uma regra: confira o item do anexo na referência",IF(G167=0,"Sem redução na LC 214","Confira se o produto é o descrito no item"))))))</f>
        <v/>
      </c>
      <c r="N167" s="25"/>
      <c r="O167" s="23"/>
      <c r="P167" s="25"/>
      <c r="Q167" s="25"/>
      <c r="R167" s="31"/>
      <c r="S167" s="24"/>
      <c r="T167" s="4" t="str">
        <f aca="false">IF(D167="","",IF(C167="Serviço","S","P")&amp;SUBSTITUTE(SUBSTITUTE(SUBSTITUTE(D167,".",""),"-","")," ",""))</f>
        <v/>
      </c>
      <c r="U167" s="4" t="str">
        <f aca="false">IF(T167="","",IFERROR(MATCH(LEFT(T167,10),'Referência LC 214'!$N$6:$N$967,0),IFERROR(MATCH(LEFT(T167,9),'Referência LC 214'!$N$6:$N$967,0),IFERROR(MATCH(LEFT(T167,8),'Referência LC 214'!$N$6:$N$967,0),IFERROR(MATCH(LEFT(T167,7),'Referência LC 214'!$N$6:$N$967,0),IFERROR(MATCH(LEFT(T167,6),'Referência LC 214'!$N$6:$N$967,0),IFERROR(MATCH(LEFT(T167,5),'Referência LC 214'!$N$6:$N$967,0),IFERROR(MATCH(LEFT(T167,4),'Referência LC 214'!$N$6:$N$967,0),IFERROR(MATCH(LEFT(T167,3),'Referência LC 214'!$N$6:$N$967,0),"")))))))))</f>
        <v/>
      </c>
    </row>
    <row r="168" customFormat="false" ht="15" hidden="false" customHeight="false" outlineLevel="0" collapsed="false">
      <c r="A168" s="23"/>
      <c r="B168" s="24"/>
      <c r="C168" s="25"/>
      <c r="D168" s="23"/>
      <c r="E168" s="23"/>
      <c r="F168" s="25"/>
      <c r="G168" s="26" t="str">
        <f aca="false">IF(T168="","",SUMPRODUCT(--(LEFT(T168,LEN('Referência LC 214'!$N$6:$N$967))='Referência LC 214'!$N$6:$N$967)))</f>
        <v/>
      </c>
      <c r="H168" s="27" t="str">
        <f aca="false">IF(T168="","",IF(U168="","000001",INDEX('Referência LC 214'!$I$6:$I$967,U168)))</f>
        <v/>
      </c>
      <c r="I168" s="28" t="str">
        <f aca="false">IF(T168="","",IF(U168="","Sem anexo: tributação integral",INDEX('Referência LC 214'!$H$6:$H$967,U168)))</f>
        <v/>
      </c>
      <c r="J168" s="29" t="str">
        <f aca="false">IF(T168="","",IF(U168="",0,INDEX('Referência LC 214'!$K$6:$K$967,U168)))</f>
        <v/>
      </c>
      <c r="K168" s="28" t="str">
        <f aca="false">IF(OR(T168="",U168=""),"","Anexo "&amp;INDEX('Referência LC 214'!$E$6:$E$967,U168)&amp;", item "&amp;INDEX('Referência LC 214'!$F$6:$F$967,U168)&amp;": "&amp;INDEX('Referência LC 214'!$G$6:$G$967,U168))</f>
        <v/>
      </c>
      <c r="L168" s="28" t="str">
        <f aca="false">IF(OR(T168="",U168=""),"",IF(INDEX('Referência LC 214'!$L$6:$L$967,U168)&amp;""&lt;&gt;"",INDEX('Referência LC 214'!$L$6:$L$967,U168)&amp;"",IF(SUMPRODUCT((LEFT(T168,LEN('Referência LC 214'!$N$6:$N$967))='Referência LC 214'!$N$6:$N$967)*('Referência LC 214'!$L$6:$L$967&lt;&gt;""))&gt;0,"Há outro tratamento só para alguns compradores (ex.: órgão público/SUS) — veja a referência","")))</f>
        <v/>
      </c>
      <c r="M168" s="30" t="str">
        <f aca="false">IF(T168="","",IF(AND(C168&lt;&gt;"Serviço",LEN(T168)-1&lt;&gt;8),"NCM deve ter 8 dígitos",IF(AND(C168="Serviço",LEN(T168)-1&lt;&gt;9),"NBS deve ter 9 dígitos",IF(L168&lt;&gt;"","Benefício depende do comprador: confira a coluna N",IF(G168&gt;1,"Mais de uma regra: confira o item do anexo na referência",IF(G168=0,"Sem redução na LC 214","Confira se o produto é o descrito no item"))))))</f>
        <v/>
      </c>
      <c r="N168" s="25"/>
      <c r="O168" s="23"/>
      <c r="P168" s="25"/>
      <c r="Q168" s="25"/>
      <c r="R168" s="31"/>
      <c r="S168" s="24"/>
      <c r="T168" s="4" t="str">
        <f aca="false">IF(D168="","",IF(C168="Serviço","S","P")&amp;SUBSTITUTE(SUBSTITUTE(SUBSTITUTE(D168,".",""),"-","")," ",""))</f>
        <v/>
      </c>
      <c r="U168" s="4" t="str">
        <f aca="false">IF(T168="","",IFERROR(MATCH(LEFT(T168,10),'Referência LC 214'!$N$6:$N$967,0),IFERROR(MATCH(LEFT(T168,9),'Referência LC 214'!$N$6:$N$967,0),IFERROR(MATCH(LEFT(T168,8),'Referência LC 214'!$N$6:$N$967,0),IFERROR(MATCH(LEFT(T168,7),'Referência LC 214'!$N$6:$N$967,0),IFERROR(MATCH(LEFT(T168,6),'Referência LC 214'!$N$6:$N$967,0),IFERROR(MATCH(LEFT(T168,5),'Referência LC 214'!$N$6:$N$967,0),IFERROR(MATCH(LEFT(T168,4),'Referência LC 214'!$N$6:$N$967,0),IFERROR(MATCH(LEFT(T168,3),'Referência LC 214'!$N$6:$N$967,0),"")))))))))</f>
        <v/>
      </c>
    </row>
    <row r="169" customFormat="false" ht="15" hidden="false" customHeight="false" outlineLevel="0" collapsed="false">
      <c r="A169" s="23"/>
      <c r="B169" s="24"/>
      <c r="C169" s="25"/>
      <c r="D169" s="23"/>
      <c r="E169" s="23"/>
      <c r="F169" s="25"/>
      <c r="G169" s="26" t="str">
        <f aca="false">IF(T169="","",SUMPRODUCT(--(LEFT(T169,LEN('Referência LC 214'!$N$6:$N$967))='Referência LC 214'!$N$6:$N$967)))</f>
        <v/>
      </c>
      <c r="H169" s="27" t="str">
        <f aca="false">IF(T169="","",IF(U169="","000001",INDEX('Referência LC 214'!$I$6:$I$967,U169)))</f>
        <v/>
      </c>
      <c r="I169" s="28" t="str">
        <f aca="false">IF(T169="","",IF(U169="","Sem anexo: tributação integral",INDEX('Referência LC 214'!$H$6:$H$967,U169)))</f>
        <v/>
      </c>
      <c r="J169" s="29" t="str">
        <f aca="false">IF(T169="","",IF(U169="",0,INDEX('Referência LC 214'!$K$6:$K$967,U169)))</f>
        <v/>
      </c>
      <c r="K169" s="28" t="str">
        <f aca="false">IF(OR(T169="",U169=""),"","Anexo "&amp;INDEX('Referência LC 214'!$E$6:$E$967,U169)&amp;", item "&amp;INDEX('Referência LC 214'!$F$6:$F$967,U169)&amp;": "&amp;INDEX('Referência LC 214'!$G$6:$G$967,U169))</f>
        <v/>
      </c>
      <c r="L169" s="28" t="str">
        <f aca="false">IF(OR(T169="",U169=""),"",IF(INDEX('Referência LC 214'!$L$6:$L$967,U169)&amp;""&lt;&gt;"",INDEX('Referência LC 214'!$L$6:$L$967,U169)&amp;"",IF(SUMPRODUCT((LEFT(T169,LEN('Referência LC 214'!$N$6:$N$967))='Referência LC 214'!$N$6:$N$967)*('Referência LC 214'!$L$6:$L$967&lt;&gt;""))&gt;0,"Há outro tratamento só para alguns compradores (ex.: órgão público/SUS) — veja a referência","")))</f>
        <v/>
      </c>
      <c r="M169" s="30" t="str">
        <f aca="false">IF(T169="","",IF(AND(C169&lt;&gt;"Serviço",LEN(T169)-1&lt;&gt;8),"NCM deve ter 8 dígitos",IF(AND(C169="Serviço",LEN(T169)-1&lt;&gt;9),"NBS deve ter 9 dígitos",IF(L169&lt;&gt;"","Benefício depende do comprador: confira a coluna N",IF(G169&gt;1,"Mais de uma regra: confira o item do anexo na referência",IF(G169=0,"Sem redução na LC 214","Confira se o produto é o descrito no item"))))))</f>
        <v/>
      </c>
      <c r="N169" s="25"/>
      <c r="O169" s="23"/>
      <c r="P169" s="25"/>
      <c r="Q169" s="25"/>
      <c r="R169" s="31"/>
      <c r="S169" s="24"/>
      <c r="T169" s="4" t="str">
        <f aca="false">IF(D169="","",IF(C169="Serviço","S","P")&amp;SUBSTITUTE(SUBSTITUTE(SUBSTITUTE(D169,".",""),"-","")," ",""))</f>
        <v/>
      </c>
      <c r="U169" s="4" t="str">
        <f aca="false">IF(T169="","",IFERROR(MATCH(LEFT(T169,10),'Referência LC 214'!$N$6:$N$967,0),IFERROR(MATCH(LEFT(T169,9),'Referência LC 214'!$N$6:$N$967,0),IFERROR(MATCH(LEFT(T169,8),'Referência LC 214'!$N$6:$N$967,0),IFERROR(MATCH(LEFT(T169,7),'Referência LC 214'!$N$6:$N$967,0),IFERROR(MATCH(LEFT(T169,6),'Referência LC 214'!$N$6:$N$967,0),IFERROR(MATCH(LEFT(T169,5),'Referência LC 214'!$N$6:$N$967,0),IFERROR(MATCH(LEFT(T169,4),'Referência LC 214'!$N$6:$N$967,0),IFERROR(MATCH(LEFT(T169,3),'Referência LC 214'!$N$6:$N$967,0),"")))))))))</f>
        <v/>
      </c>
    </row>
    <row r="170" customFormat="false" ht="15" hidden="false" customHeight="false" outlineLevel="0" collapsed="false">
      <c r="A170" s="23"/>
      <c r="B170" s="24"/>
      <c r="C170" s="25"/>
      <c r="D170" s="23"/>
      <c r="E170" s="23"/>
      <c r="F170" s="25"/>
      <c r="G170" s="26" t="str">
        <f aca="false">IF(T170="","",SUMPRODUCT(--(LEFT(T170,LEN('Referência LC 214'!$N$6:$N$967))='Referência LC 214'!$N$6:$N$967)))</f>
        <v/>
      </c>
      <c r="H170" s="27" t="str">
        <f aca="false">IF(T170="","",IF(U170="","000001",INDEX('Referência LC 214'!$I$6:$I$967,U170)))</f>
        <v/>
      </c>
      <c r="I170" s="28" t="str">
        <f aca="false">IF(T170="","",IF(U170="","Sem anexo: tributação integral",INDEX('Referência LC 214'!$H$6:$H$967,U170)))</f>
        <v/>
      </c>
      <c r="J170" s="29" t="str">
        <f aca="false">IF(T170="","",IF(U170="",0,INDEX('Referência LC 214'!$K$6:$K$967,U170)))</f>
        <v/>
      </c>
      <c r="K170" s="28" t="str">
        <f aca="false">IF(OR(T170="",U170=""),"","Anexo "&amp;INDEX('Referência LC 214'!$E$6:$E$967,U170)&amp;", item "&amp;INDEX('Referência LC 214'!$F$6:$F$967,U170)&amp;": "&amp;INDEX('Referência LC 214'!$G$6:$G$967,U170))</f>
        <v/>
      </c>
      <c r="L170" s="28" t="str">
        <f aca="false">IF(OR(T170="",U170=""),"",IF(INDEX('Referência LC 214'!$L$6:$L$967,U170)&amp;""&lt;&gt;"",INDEX('Referência LC 214'!$L$6:$L$967,U170)&amp;"",IF(SUMPRODUCT((LEFT(T170,LEN('Referência LC 214'!$N$6:$N$967))='Referência LC 214'!$N$6:$N$967)*('Referência LC 214'!$L$6:$L$967&lt;&gt;""))&gt;0,"Há outro tratamento só para alguns compradores (ex.: órgão público/SUS) — veja a referência","")))</f>
        <v/>
      </c>
      <c r="M170" s="30" t="str">
        <f aca="false">IF(T170="","",IF(AND(C170&lt;&gt;"Serviço",LEN(T170)-1&lt;&gt;8),"NCM deve ter 8 dígitos",IF(AND(C170="Serviço",LEN(T170)-1&lt;&gt;9),"NBS deve ter 9 dígitos",IF(L170&lt;&gt;"","Benefício depende do comprador: confira a coluna N",IF(G170&gt;1,"Mais de uma regra: confira o item do anexo na referência",IF(G170=0,"Sem redução na LC 214","Confira se o produto é o descrito no item"))))))</f>
        <v/>
      </c>
      <c r="N170" s="25"/>
      <c r="O170" s="23"/>
      <c r="P170" s="25"/>
      <c r="Q170" s="25"/>
      <c r="R170" s="31"/>
      <c r="S170" s="24"/>
      <c r="T170" s="4" t="str">
        <f aca="false">IF(D170="","",IF(C170="Serviço","S","P")&amp;SUBSTITUTE(SUBSTITUTE(SUBSTITUTE(D170,".",""),"-","")," ",""))</f>
        <v/>
      </c>
      <c r="U170" s="4" t="str">
        <f aca="false">IF(T170="","",IFERROR(MATCH(LEFT(T170,10),'Referência LC 214'!$N$6:$N$967,0),IFERROR(MATCH(LEFT(T170,9),'Referência LC 214'!$N$6:$N$967,0),IFERROR(MATCH(LEFT(T170,8),'Referência LC 214'!$N$6:$N$967,0),IFERROR(MATCH(LEFT(T170,7),'Referência LC 214'!$N$6:$N$967,0),IFERROR(MATCH(LEFT(T170,6),'Referência LC 214'!$N$6:$N$967,0),IFERROR(MATCH(LEFT(T170,5),'Referência LC 214'!$N$6:$N$967,0),IFERROR(MATCH(LEFT(T170,4),'Referência LC 214'!$N$6:$N$967,0),IFERROR(MATCH(LEFT(T170,3),'Referência LC 214'!$N$6:$N$967,0),"")))))))))</f>
        <v/>
      </c>
    </row>
    <row r="171" customFormat="false" ht="15" hidden="false" customHeight="false" outlineLevel="0" collapsed="false">
      <c r="A171" s="23"/>
      <c r="B171" s="24"/>
      <c r="C171" s="25"/>
      <c r="D171" s="23"/>
      <c r="E171" s="23"/>
      <c r="F171" s="25"/>
      <c r="G171" s="26" t="str">
        <f aca="false">IF(T171="","",SUMPRODUCT(--(LEFT(T171,LEN('Referência LC 214'!$N$6:$N$967))='Referência LC 214'!$N$6:$N$967)))</f>
        <v/>
      </c>
      <c r="H171" s="27" t="str">
        <f aca="false">IF(T171="","",IF(U171="","000001",INDEX('Referência LC 214'!$I$6:$I$967,U171)))</f>
        <v/>
      </c>
      <c r="I171" s="28" t="str">
        <f aca="false">IF(T171="","",IF(U171="","Sem anexo: tributação integral",INDEX('Referência LC 214'!$H$6:$H$967,U171)))</f>
        <v/>
      </c>
      <c r="J171" s="29" t="str">
        <f aca="false">IF(T171="","",IF(U171="",0,INDEX('Referência LC 214'!$K$6:$K$967,U171)))</f>
        <v/>
      </c>
      <c r="K171" s="28" t="str">
        <f aca="false">IF(OR(T171="",U171=""),"","Anexo "&amp;INDEX('Referência LC 214'!$E$6:$E$967,U171)&amp;", item "&amp;INDEX('Referência LC 214'!$F$6:$F$967,U171)&amp;": "&amp;INDEX('Referência LC 214'!$G$6:$G$967,U171))</f>
        <v/>
      </c>
      <c r="L171" s="28" t="str">
        <f aca="false">IF(OR(T171="",U171=""),"",IF(INDEX('Referência LC 214'!$L$6:$L$967,U171)&amp;""&lt;&gt;"",INDEX('Referência LC 214'!$L$6:$L$967,U171)&amp;"",IF(SUMPRODUCT((LEFT(T171,LEN('Referência LC 214'!$N$6:$N$967))='Referência LC 214'!$N$6:$N$967)*('Referência LC 214'!$L$6:$L$967&lt;&gt;""))&gt;0,"Há outro tratamento só para alguns compradores (ex.: órgão público/SUS) — veja a referência","")))</f>
        <v/>
      </c>
      <c r="M171" s="30" t="str">
        <f aca="false">IF(T171="","",IF(AND(C171&lt;&gt;"Serviço",LEN(T171)-1&lt;&gt;8),"NCM deve ter 8 dígitos",IF(AND(C171="Serviço",LEN(T171)-1&lt;&gt;9),"NBS deve ter 9 dígitos",IF(L171&lt;&gt;"","Benefício depende do comprador: confira a coluna N",IF(G171&gt;1,"Mais de uma regra: confira o item do anexo na referência",IF(G171=0,"Sem redução na LC 214","Confira se o produto é o descrito no item"))))))</f>
        <v/>
      </c>
      <c r="N171" s="25"/>
      <c r="O171" s="23"/>
      <c r="P171" s="25"/>
      <c r="Q171" s="25"/>
      <c r="R171" s="31"/>
      <c r="S171" s="24"/>
      <c r="T171" s="4" t="str">
        <f aca="false">IF(D171="","",IF(C171="Serviço","S","P")&amp;SUBSTITUTE(SUBSTITUTE(SUBSTITUTE(D171,".",""),"-","")," ",""))</f>
        <v/>
      </c>
      <c r="U171" s="4" t="str">
        <f aca="false">IF(T171="","",IFERROR(MATCH(LEFT(T171,10),'Referência LC 214'!$N$6:$N$967,0),IFERROR(MATCH(LEFT(T171,9),'Referência LC 214'!$N$6:$N$967,0),IFERROR(MATCH(LEFT(T171,8),'Referência LC 214'!$N$6:$N$967,0),IFERROR(MATCH(LEFT(T171,7),'Referência LC 214'!$N$6:$N$967,0),IFERROR(MATCH(LEFT(T171,6),'Referência LC 214'!$N$6:$N$967,0),IFERROR(MATCH(LEFT(T171,5),'Referência LC 214'!$N$6:$N$967,0),IFERROR(MATCH(LEFT(T171,4),'Referência LC 214'!$N$6:$N$967,0),IFERROR(MATCH(LEFT(T171,3),'Referência LC 214'!$N$6:$N$967,0),"")))))))))</f>
        <v/>
      </c>
    </row>
    <row r="172" customFormat="false" ht="15" hidden="false" customHeight="false" outlineLevel="0" collapsed="false">
      <c r="A172" s="23"/>
      <c r="B172" s="24"/>
      <c r="C172" s="25"/>
      <c r="D172" s="23"/>
      <c r="E172" s="23"/>
      <c r="F172" s="25"/>
      <c r="G172" s="26" t="str">
        <f aca="false">IF(T172="","",SUMPRODUCT(--(LEFT(T172,LEN('Referência LC 214'!$N$6:$N$967))='Referência LC 214'!$N$6:$N$967)))</f>
        <v/>
      </c>
      <c r="H172" s="27" t="str">
        <f aca="false">IF(T172="","",IF(U172="","000001",INDEX('Referência LC 214'!$I$6:$I$967,U172)))</f>
        <v/>
      </c>
      <c r="I172" s="28" t="str">
        <f aca="false">IF(T172="","",IF(U172="","Sem anexo: tributação integral",INDEX('Referência LC 214'!$H$6:$H$967,U172)))</f>
        <v/>
      </c>
      <c r="J172" s="29" t="str">
        <f aca="false">IF(T172="","",IF(U172="",0,INDEX('Referência LC 214'!$K$6:$K$967,U172)))</f>
        <v/>
      </c>
      <c r="K172" s="28" t="str">
        <f aca="false">IF(OR(T172="",U172=""),"","Anexo "&amp;INDEX('Referência LC 214'!$E$6:$E$967,U172)&amp;", item "&amp;INDEX('Referência LC 214'!$F$6:$F$967,U172)&amp;": "&amp;INDEX('Referência LC 214'!$G$6:$G$967,U172))</f>
        <v/>
      </c>
      <c r="L172" s="28" t="str">
        <f aca="false">IF(OR(T172="",U172=""),"",IF(INDEX('Referência LC 214'!$L$6:$L$967,U172)&amp;""&lt;&gt;"",INDEX('Referência LC 214'!$L$6:$L$967,U172)&amp;"",IF(SUMPRODUCT((LEFT(T172,LEN('Referência LC 214'!$N$6:$N$967))='Referência LC 214'!$N$6:$N$967)*('Referência LC 214'!$L$6:$L$967&lt;&gt;""))&gt;0,"Há outro tratamento só para alguns compradores (ex.: órgão público/SUS) — veja a referência","")))</f>
        <v/>
      </c>
      <c r="M172" s="30" t="str">
        <f aca="false">IF(T172="","",IF(AND(C172&lt;&gt;"Serviço",LEN(T172)-1&lt;&gt;8),"NCM deve ter 8 dígitos",IF(AND(C172="Serviço",LEN(T172)-1&lt;&gt;9),"NBS deve ter 9 dígitos",IF(L172&lt;&gt;"","Benefício depende do comprador: confira a coluna N",IF(G172&gt;1,"Mais de uma regra: confira o item do anexo na referência",IF(G172=0,"Sem redução na LC 214","Confira se o produto é o descrito no item"))))))</f>
        <v/>
      </c>
      <c r="N172" s="25"/>
      <c r="O172" s="23"/>
      <c r="P172" s="25"/>
      <c r="Q172" s="25"/>
      <c r="R172" s="31"/>
      <c r="S172" s="24"/>
      <c r="T172" s="4" t="str">
        <f aca="false">IF(D172="","",IF(C172="Serviço","S","P")&amp;SUBSTITUTE(SUBSTITUTE(SUBSTITUTE(D172,".",""),"-","")," ",""))</f>
        <v/>
      </c>
      <c r="U172" s="4" t="str">
        <f aca="false">IF(T172="","",IFERROR(MATCH(LEFT(T172,10),'Referência LC 214'!$N$6:$N$967,0),IFERROR(MATCH(LEFT(T172,9),'Referência LC 214'!$N$6:$N$967,0),IFERROR(MATCH(LEFT(T172,8),'Referência LC 214'!$N$6:$N$967,0),IFERROR(MATCH(LEFT(T172,7),'Referência LC 214'!$N$6:$N$967,0),IFERROR(MATCH(LEFT(T172,6),'Referência LC 214'!$N$6:$N$967,0),IFERROR(MATCH(LEFT(T172,5),'Referência LC 214'!$N$6:$N$967,0),IFERROR(MATCH(LEFT(T172,4),'Referência LC 214'!$N$6:$N$967,0),IFERROR(MATCH(LEFT(T172,3),'Referência LC 214'!$N$6:$N$967,0),"")))))))))</f>
        <v/>
      </c>
    </row>
    <row r="173" customFormat="false" ht="15" hidden="false" customHeight="false" outlineLevel="0" collapsed="false">
      <c r="A173" s="23"/>
      <c r="B173" s="24"/>
      <c r="C173" s="25"/>
      <c r="D173" s="23"/>
      <c r="E173" s="23"/>
      <c r="F173" s="25"/>
      <c r="G173" s="26" t="str">
        <f aca="false">IF(T173="","",SUMPRODUCT(--(LEFT(T173,LEN('Referência LC 214'!$N$6:$N$967))='Referência LC 214'!$N$6:$N$967)))</f>
        <v/>
      </c>
      <c r="H173" s="27" t="str">
        <f aca="false">IF(T173="","",IF(U173="","000001",INDEX('Referência LC 214'!$I$6:$I$967,U173)))</f>
        <v/>
      </c>
      <c r="I173" s="28" t="str">
        <f aca="false">IF(T173="","",IF(U173="","Sem anexo: tributação integral",INDEX('Referência LC 214'!$H$6:$H$967,U173)))</f>
        <v/>
      </c>
      <c r="J173" s="29" t="str">
        <f aca="false">IF(T173="","",IF(U173="",0,INDEX('Referência LC 214'!$K$6:$K$967,U173)))</f>
        <v/>
      </c>
      <c r="K173" s="28" t="str">
        <f aca="false">IF(OR(T173="",U173=""),"","Anexo "&amp;INDEX('Referência LC 214'!$E$6:$E$967,U173)&amp;", item "&amp;INDEX('Referência LC 214'!$F$6:$F$967,U173)&amp;": "&amp;INDEX('Referência LC 214'!$G$6:$G$967,U173))</f>
        <v/>
      </c>
      <c r="L173" s="28" t="str">
        <f aca="false">IF(OR(T173="",U173=""),"",IF(INDEX('Referência LC 214'!$L$6:$L$967,U173)&amp;""&lt;&gt;"",INDEX('Referência LC 214'!$L$6:$L$967,U173)&amp;"",IF(SUMPRODUCT((LEFT(T173,LEN('Referência LC 214'!$N$6:$N$967))='Referência LC 214'!$N$6:$N$967)*('Referência LC 214'!$L$6:$L$967&lt;&gt;""))&gt;0,"Há outro tratamento só para alguns compradores (ex.: órgão público/SUS) — veja a referência","")))</f>
        <v/>
      </c>
      <c r="M173" s="30" t="str">
        <f aca="false">IF(T173="","",IF(AND(C173&lt;&gt;"Serviço",LEN(T173)-1&lt;&gt;8),"NCM deve ter 8 dígitos",IF(AND(C173="Serviço",LEN(T173)-1&lt;&gt;9),"NBS deve ter 9 dígitos",IF(L173&lt;&gt;"","Benefício depende do comprador: confira a coluna N",IF(G173&gt;1,"Mais de uma regra: confira o item do anexo na referência",IF(G173=0,"Sem redução na LC 214","Confira se o produto é o descrito no item"))))))</f>
        <v/>
      </c>
      <c r="N173" s="25"/>
      <c r="O173" s="23"/>
      <c r="P173" s="25"/>
      <c r="Q173" s="25"/>
      <c r="R173" s="31"/>
      <c r="S173" s="24"/>
      <c r="T173" s="4" t="str">
        <f aca="false">IF(D173="","",IF(C173="Serviço","S","P")&amp;SUBSTITUTE(SUBSTITUTE(SUBSTITUTE(D173,".",""),"-","")," ",""))</f>
        <v/>
      </c>
      <c r="U173" s="4" t="str">
        <f aca="false">IF(T173="","",IFERROR(MATCH(LEFT(T173,10),'Referência LC 214'!$N$6:$N$967,0),IFERROR(MATCH(LEFT(T173,9),'Referência LC 214'!$N$6:$N$967,0),IFERROR(MATCH(LEFT(T173,8),'Referência LC 214'!$N$6:$N$967,0),IFERROR(MATCH(LEFT(T173,7),'Referência LC 214'!$N$6:$N$967,0),IFERROR(MATCH(LEFT(T173,6),'Referência LC 214'!$N$6:$N$967,0),IFERROR(MATCH(LEFT(T173,5),'Referência LC 214'!$N$6:$N$967,0),IFERROR(MATCH(LEFT(T173,4),'Referência LC 214'!$N$6:$N$967,0),IFERROR(MATCH(LEFT(T173,3),'Referência LC 214'!$N$6:$N$967,0),"")))))))))</f>
        <v/>
      </c>
    </row>
    <row r="174" customFormat="false" ht="15" hidden="false" customHeight="false" outlineLevel="0" collapsed="false">
      <c r="A174" s="23"/>
      <c r="B174" s="24"/>
      <c r="C174" s="25"/>
      <c r="D174" s="23"/>
      <c r="E174" s="23"/>
      <c r="F174" s="25"/>
      <c r="G174" s="26" t="str">
        <f aca="false">IF(T174="","",SUMPRODUCT(--(LEFT(T174,LEN('Referência LC 214'!$N$6:$N$967))='Referência LC 214'!$N$6:$N$967)))</f>
        <v/>
      </c>
      <c r="H174" s="27" t="str">
        <f aca="false">IF(T174="","",IF(U174="","000001",INDEX('Referência LC 214'!$I$6:$I$967,U174)))</f>
        <v/>
      </c>
      <c r="I174" s="28" t="str">
        <f aca="false">IF(T174="","",IF(U174="","Sem anexo: tributação integral",INDEX('Referência LC 214'!$H$6:$H$967,U174)))</f>
        <v/>
      </c>
      <c r="J174" s="29" t="str">
        <f aca="false">IF(T174="","",IF(U174="",0,INDEX('Referência LC 214'!$K$6:$K$967,U174)))</f>
        <v/>
      </c>
      <c r="K174" s="28" t="str">
        <f aca="false">IF(OR(T174="",U174=""),"","Anexo "&amp;INDEX('Referência LC 214'!$E$6:$E$967,U174)&amp;", item "&amp;INDEX('Referência LC 214'!$F$6:$F$967,U174)&amp;": "&amp;INDEX('Referência LC 214'!$G$6:$G$967,U174))</f>
        <v/>
      </c>
      <c r="L174" s="28" t="str">
        <f aca="false">IF(OR(T174="",U174=""),"",IF(INDEX('Referência LC 214'!$L$6:$L$967,U174)&amp;""&lt;&gt;"",INDEX('Referência LC 214'!$L$6:$L$967,U174)&amp;"",IF(SUMPRODUCT((LEFT(T174,LEN('Referência LC 214'!$N$6:$N$967))='Referência LC 214'!$N$6:$N$967)*('Referência LC 214'!$L$6:$L$967&lt;&gt;""))&gt;0,"Há outro tratamento só para alguns compradores (ex.: órgão público/SUS) — veja a referência","")))</f>
        <v/>
      </c>
      <c r="M174" s="30" t="str">
        <f aca="false">IF(T174="","",IF(AND(C174&lt;&gt;"Serviço",LEN(T174)-1&lt;&gt;8),"NCM deve ter 8 dígitos",IF(AND(C174="Serviço",LEN(T174)-1&lt;&gt;9),"NBS deve ter 9 dígitos",IF(L174&lt;&gt;"","Benefício depende do comprador: confira a coluna N",IF(G174&gt;1,"Mais de uma regra: confira o item do anexo na referência",IF(G174=0,"Sem redução na LC 214","Confira se o produto é o descrito no item"))))))</f>
        <v/>
      </c>
      <c r="N174" s="25"/>
      <c r="O174" s="23"/>
      <c r="P174" s="25"/>
      <c r="Q174" s="25"/>
      <c r="R174" s="31"/>
      <c r="S174" s="24"/>
      <c r="T174" s="4" t="str">
        <f aca="false">IF(D174="","",IF(C174="Serviço","S","P")&amp;SUBSTITUTE(SUBSTITUTE(SUBSTITUTE(D174,".",""),"-","")," ",""))</f>
        <v/>
      </c>
      <c r="U174" s="4" t="str">
        <f aca="false">IF(T174="","",IFERROR(MATCH(LEFT(T174,10),'Referência LC 214'!$N$6:$N$967,0),IFERROR(MATCH(LEFT(T174,9),'Referência LC 214'!$N$6:$N$967,0),IFERROR(MATCH(LEFT(T174,8),'Referência LC 214'!$N$6:$N$967,0),IFERROR(MATCH(LEFT(T174,7),'Referência LC 214'!$N$6:$N$967,0),IFERROR(MATCH(LEFT(T174,6),'Referência LC 214'!$N$6:$N$967,0),IFERROR(MATCH(LEFT(T174,5),'Referência LC 214'!$N$6:$N$967,0),IFERROR(MATCH(LEFT(T174,4),'Referência LC 214'!$N$6:$N$967,0),IFERROR(MATCH(LEFT(T174,3),'Referência LC 214'!$N$6:$N$967,0),"")))))))))</f>
        <v/>
      </c>
    </row>
    <row r="175" customFormat="false" ht="15" hidden="false" customHeight="false" outlineLevel="0" collapsed="false">
      <c r="A175" s="23"/>
      <c r="B175" s="24"/>
      <c r="C175" s="25"/>
      <c r="D175" s="23"/>
      <c r="E175" s="23"/>
      <c r="F175" s="25"/>
      <c r="G175" s="26" t="str">
        <f aca="false">IF(T175="","",SUMPRODUCT(--(LEFT(T175,LEN('Referência LC 214'!$N$6:$N$967))='Referência LC 214'!$N$6:$N$967)))</f>
        <v/>
      </c>
      <c r="H175" s="27" t="str">
        <f aca="false">IF(T175="","",IF(U175="","000001",INDEX('Referência LC 214'!$I$6:$I$967,U175)))</f>
        <v/>
      </c>
      <c r="I175" s="28" t="str">
        <f aca="false">IF(T175="","",IF(U175="","Sem anexo: tributação integral",INDEX('Referência LC 214'!$H$6:$H$967,U175)))</f>
        <v/>
      </c>
      <c r="J175" s="29" t="str">
        <f aca="false">IF(T175="","",IF(U175="",0,INDEX('Referência LC 214'!$K$6:$K$967,U175)))</f>
        <v/>
      </c>
      <c r="K175" s="28" t="str">
        <f aca="false">IF(OR(T175="",U175=""),"","Anexo "&amp;INDEX('Referência LC 214'!$E$6:$E$967,U175)&amp;", item "&amp;INDEX('Referência LC 214'!$F$6:$F$967,U175)&amp;": "&amp;INDEX('Referência LC 214'!$G$6:$G$967,U175))</f>
        <v/>
      </c>
      <c r="L175" s="28" t="str">
        <f aca="false">IF(OR(T175="",U175=""),"",IF(INDEX('Referência LC 214'!$L$6:$L$967,U175)&amp;""&lt;&gt;"",INDEX('Referência LC 214'!$L$6:$L$967,U175)&amp;"",IF(SUMPRODUCT((LEFT(T175,LEN('Referência LC 214'!$N$6:$N$967))='Referência LC 214'!$N$6:$N$967)*('Referência LC 214'!$L$6:$L$967&lt;&gt;""))&gt;0,"Há outro tratamento só para alguns compradores (ex.: órgão público/SUS) — veja a referência","")))</f>
        <v/>
      </c>
      <c r="M175" s="30" t="str">
        <f aca="false">IF(T175="","",IF(AND(C175&lt;&gt;"Serviço",LEN(T175)-1&lt;&gt;8),"NCM deve ter 8 dígitos",IF(AND(C175="Serviço",LEN(T175)-1&lt;&gt;9),"NBS deve ter 9 dígitos",IF(L175&lt;&gt;"","Benefício depende do comprador: confira a coluna N",IF(G175&gt;1,"Mais de uma regra: confira o item do anexo na referência",IF(G175=0,"Sem redução na LC 214","Confira se o produto é o descrito no item"))))))</f>
        <v/>
      </c>
      <c r="N175" s="25"/>
      <c r="O175" s="23"/>
      <c r="P175" s="25"/>
      <c r="Q175" s="25"/>
      <c r="R175" s="31"/>
      <c r="S175" s="24"/>
      <c r="T175" s="4" t="str">
        <f aca="false">IF(D175="","",IF(C175="Serviço","S","P")&amp;SUBSTITUTE(SUBSTITUTE(SUBSTITUTE(D175,".",""),"-","")," ",""))</f>
        <v/>
      </c>
      <c r="U175" s="4" t="str">
        <f aca="false">IF(T175="","",IFERROR(MATCH(LEFT(T175,10),'Referência LC 214'!$N$6:$N$967,0),IFERROR(MATCH(LEFT(T175,9),'Referência LC 214'!$N$6:$N$967,0),IFERROR(MATCH(LEFT(T175,8),'Referência LC 214'!$N$6:$N$967,0),IFERROR(MATCH(LEFT(T175,7),'Referência LC 214'!$N$6:$N$967,0),IFERROR(MATCH(LEFT(T175,6),'Referência LC 214'!$N$6:$N$967,0),IFERROR(MATCH(LEFT(T175,5),'Referência LC 214'!$N$6:$N$967,0),IFERROR(MATCH(LEFT(T175,4),'Referência LC 214'!$N$6:$N$967,0),IFERROR(MATCH(LEFT(T175,3),'Referência LC 214'!$N$6:$N$967,0),"")))))))))</f>
        <v/>
      </c>
    </row>
    <row r="176" customFormat="false" ht="15" hidden="false" customHeight="false" outlineLevel="0" collapsed="false">
      <c r="A176" s="23"/>
      <c r="B176" s="24"/>
      <c r="C176" s="25"/>
      <c r="D176" s="23"/>
      <c r="E176" s="23"/>
      <c r="F176" s="25"/>
      <c r="G176" s="26" t="str">
        <f aca="false">IF(T176="","",SUMPRODUCT(--(LEFT(T176,LEN('Referência LC 214'!$N$6:$N$967))='Referência LC 214'!$N$6:$N$967)))</f>
        <v/>
      </c>
      <c r="H176" s="27" t="str">
        <f aca="false">IF(T176="","",IF(U176="","000001",INDEX('Referência LC 214'!$I$6:$I$967,U176)))</f>
        <v/>
      </c>
      <c r="I176" s="28" t="str">
        <f aca="false">IF(T176="","",IF(U176="","Sem anexo: tributação integral",INDEX('Referência LC 214'!$H$6:$H$967,U176)))</f>
        <v/>
      </c>
      <c r="J176" s="29" t="str">
        <f aca="false">IF(T176="","",IF(U176="",0,INDEX('Referência LC 214'!$K$6:$K$967,U176)))</f>
        <v/>
      </c>
      <c r="K176" s="28" t="str">
        <f aca="false">IF(OR(T176="",U176=""),"","Anexo "&amp;INDEX('Referência LC 214'!$E$6:$E$967,U176)&amp;", item "&amp;INDEX('Referência LC 214'!$F$6:$F$967,U176)&amp;": "&amp;INDEX('Referência LC 214'!$G$6:$G$967,U176))</f>
        <v/>
      </c>
      <c r="L176" s="28" t="str">
        <f aca="false">IF(OR(T176="",U176=""),"",IF(INDEX('Referência LC 214'!$L$6:$L$967,U176)&amp;""&lt;&gt;"",INDEX('Referência LC 214'!$L$6:$L$967,U176)&amp;"",IF(SUMPRODUCT((LEFT(T176,LEN('Referência LC 214'!$N$6:$N$967))='Referência LC 214'!$N$6:$N$967)*('Referência LC 214'!$L$6:$L$967&lt;&gt;""))&gt;0,"Há outro tratamento só para alguns compradores (ex.: órgão público/SUS) — veja a referência","")))</f>
        <v/>
      </c>
      <c r="M176" s="30" t="str">
        <f aca="false">IF(T176="","",IF(AND(C176&lt;&gt;"Serviço",LEN(T176)-1&lt;&gt;8),"NCM deve ter 8 dígitos",IF(AND(C176="Serviço",LEN(T176)-1&lt;&gt;9),"NBS deve ter 9 dígitos",IF(L176&lt;&gt;"","Benefício depende do comprador: confira a coluna N",IF(G176&gt;1,"Mais de uma regra: confira o item do anexo na referência",IF(G176=0,"Sem redução na LC 214","Confira se o produto é o descrito no item"))))))</f>
        <v/>
      </c>
      <c r="N176" s="25"/>
      <c r="O176" s="23"/>
      <c r="P176" s="25"/>
      <c r="Q176" s="25"/>
      <c r="R176" s="31"/>
      <c r="S176" s="24"/>
      <c r="T176" s="4" t="str">
        <f aca="false">IF(D176="","",IF(C176="Serviço","S","P")&amp;SUBSTITUTE(SUBSTITUTE(SUBSTITUTE(D176,".",""),"-","")," ",""))</f>
        <v/>
      </c>
      <c r="U176" s="4" t="str">
        <f aca="false">IF(T176="","",IFERROR(MATCH(LEFT(T176,10),'Referência LC 214'!$N$6:$N$967,0),IFERROR(MATCH(LEFT(T176,9),'Referência LC 214'!$N$6:$N$967,0),IFERROR(MATCH(LEFT(T176,8),'Referência LC 214'!$N$6:$N$967,0),IFERROR(MATCH(LEFT(T176,7),'Referência LC 214'!$N$6:$N$967,0),IFERROR(MATCH(LEFT(T176,6),'Referência LC 214'!$N$6:$N$967,0),IFERROR(MATCH(LEFT(T176,5),'Referência LC 214'!$N$6:$N$967,0),IFERROR(MATCH(LEFT(T176,4),'Referência LC 214'!$N$6:$N$967,0),IFERROR(MATCH(LEFT(T176,3),'Referência LC 214'!$N$6:$N$967,0),"")))))))))</f>
        <v/>
      </c>
    </row>
    <row r="177" customFormat="false" ht="15" hidden="false" customHeight="false" outlineLevel="0" collapsed="false">
      <c r="A177" s="23"/>
      <c r="B177" s="24"/>
      <c r="C177" s="25"/>
      <c r="D177" s="23"/>
      <c r="E177" s="23"/>
      <c r="F177" s="25"/>
      <c r="G177" s="26" t="str">
        <f aca="false">IF(T177="","",SUMPRODUCT(--(LEFT(T177,LEN('Referência LC 214'!$N$6:$N$967))='Referência LC 214'!$N$6:$N$967)))</f>
        <v/>
      </c>
      <c r="H177" s="27" t="str">
        <f aca="false">IF(T177="","",IF(U177="","000001",INDEX('Referência LC 214'!$I$6:$I$967,U177)))</f>
        <v/>
      </c>
      <c r="I177" s="28" t="str">
        <f aca="false">IF(T177="","",IF(U177="","Sem anexo: tributação integral",INDEX('Referência LC 214'!$H$6:$H$967,U177)))</f>
        <v/>
      </c>
      <c r="J177" s="29" t="str">
        <f aca="false">IF(T177="","",IF(U177="",0,INDEX('Referência LC 214'!$K$6:$K$967,U177)))</f>
        <v/>
      </c>
      <c r="K177" s="28" t="str">
        <f aca="false">IF(OR(T177="",U177=""),"","Anexo "&amp;INDEX('Referência LC 214'!$E$6:$E$967,U177)&amp;", item "&amp;INDEX('Referência LC 214'!$F$6:$F$967,U177)&amp;": "&amp;INDEX('Referência LC 214'!$G$6:$G$967,U177))</f>
        <v/>
      </c>
      <c r="L177" s="28" t="str">
        <f aca="false">IF(OR(T177="",U177=""),"",IF(INDEX('Referência LC 214'!$L$6:$L$967,U177)&amp;""&lt;&gt;"",INDEX('Referência LC 214'!$L$6:$L$967,U177)&amp;"",IF(SUMPRODUCT((LEFT(T177,LEN('Referência LC 214'!$N$6:$N$967))='Referência LC 214'!$N$6:$N$967)*('Referência LC 214'!$L$6:$L$967&lt;&gt;""))&gt;0,"Há outro tratamento só para alguns compradores (ex.: órgão público/SUS) — veja a referência","")))</f>
        <v/>
      </c>
      <c r="M177" s="30" t="str">
        <f aca="false">IF(T177="","",IF(AND(C177&lt;&gt;"Serviço",LEN(T177)-1&lt;&gt;8),"NCM deve ter 8 dígitos",IF(AND(C177="Serviço",LEN(T177)-1&lt;&gt;9),"NBS deve ter 9 dígitos",IF(L177&lt;&gt;"","Benefício depende do comprador: confira a coluna N",IF(G177&gt;1,"Mais de uma regra: confira o item do anexo na referência",IF(G177=0,"Sem redução na LC 214","Confira se o produto é o descrito no item"))))))</f>
        <v/>
      </c>
      <c r="N177" s="25"/>
      <c r="O177" s="23"/>
      <c r="P177" s="25"/>
      <c r="Q177" s="25"/>
      <c r="R177" s="31"/>
      <c r="S177" s="24"/>
      <c r="T177" s="4" t="str">
        <f aca="false">IF(D177="","",IF(C177="Serviço","S","P")&amp;SUBSTITUTE(SUBSTITUTE(SUBSTITUTE(D177,".",""),"-","")," ",""))</f>
        <v/>
      </c>
      <c r="U177" s="4" t="str">
        <f aca="false">IF(T177="","",IFERROR(MATCH(LEFT(T177,10),'Referência LC 214'!$N$6:$N$967,0),IFERROR(MATCH(LEFT(T177,9),'Referência LC 214'!$N$6:$N$967,0),IFERROR(MATCH(LEFT(T177,8),'Referência LC 214'!$N$6:$N$967,0),IFERROR(MATCH(LEFT(T177,7),'Referência LC 214'!$N$6:$N$967,0),IFERROR(MATCH(LEFT(T177,6),'Referência LC 214'!$N$6:$N$967,0),IFERROR(MATCH(LEFT(T177,5),'Referência LC 214'!$N$6:$N$967,0),IFERROR(MATCH(LEFT(T177,4),'Referência LC 214'!$N$6:$N$967,0),IFERROR(MATCH(LEFT(T177,3),'Referência LC 214'!$N$6:$N$967,0),"")))))))))</f>
        <v/>
      </c>
    </row>
    <row r="178" customFormat="false" ht="15" hidden="false" customHeight="false" outlineLevel="0" collapsed="false">
      <c r="A178" s="23"/>
      <c r="B178" s="24"/>
      <c r="C178" s="25"/>
      <c r="D178" s="23"/>
      <c r="E178" s="23"/>
      <c r="F178" s="25"/>
      <c r="G178" s="26" t="str">
        <f aca="false">IF(T178="","",SUMPRODUCT(--(LEFT(T178,LEN('Referência LC 214'!$N$6:$N$967))='Referência LC 214'!$N$6:$N$967)))</f>
        <v/>
      </c>
      <c r="H178" s="27" t="str">
        <f aca="false">IF(T178="","",IF(U178="","000001",INDEX('Referência LC 214'!$I$6:$I$967,U178)))</f>
        <v/>
      </c>
      <c r="I178" s="28" t="str">
        <f aca="false">IF(T178="","",IF(U178="","Sem anexo: tributação integral",INDEX('Referência LC 214'!$H$6:$H$967,U178)))</f>
        <v/>
      </c>
      <c r="J178" s="29" t="str">
        <f aca="false">IF(T178="","",IF(U178="",0,INDEX('Referência LC 214'!$K$6:$K$967,U178)))</f>
        <v/>
      </c>
      <c r="K178" s="28" t="str">
        <f aca="false">IF(OR(T178="",U178=""),"","Anexo "&amp;INDEX('Referência LC 214'!$E$6:$E$967,U178)&amp;", item "&amp;INDEX('Referência LC 214'!$F$6:$F$967,U178)&amp;": "&amp;INDEX('Referência LC 214'!$G$6:$G$967,U178))</f>
        <v/>
      </c>
      <c r="L178" s="28" t="str">
        <f aca="false">IF(OR(T178="",U178=""),"",IF(INDEX('Referência LC 214'!$L$6:$L$967,U178)&amp;""&lt;&gt;"",INDEX('Referência LC 214'!$L$6:$L$967,U178)&amp;"",IF(SUMPRODUCT((LEFT(T178,LEN('Referência LC 214'!$N$6:$N$967))='Referência LC 214'!$N$6:$N$967)*('Referência LC 214'!$L$6:$L$967&lt;&gt;""))&gt;0,"Há outro tratamento só para alguns compradores (ex.: órgão público/SUS) — veja a referência","")))</f>
        <v/>
      </c>
      <c r="M178" s="30" t="str">
        <f aca="false">IF(T178="","",IF(AND(C178&lt;&gt;"Serviço",LEN(T178)-1&lt;&gt;8),"NCM deve ter 8 dígitos",IF(AND(C178="Serviço",LEN(T178)-1&lt;&gt;9),"NBS deve ter 9 dígitos",IF(L178&lt;&gt;"","Benefício depende do comprador: confira a coluna N",IF(G178&gt;1,"Mais de uma regra: confira o item do anexo na referência",IF(G178=0,"Sem redução na LC 214","Confira se o produto é o descrito no item"))))))</f>
        <v/>
      </c>
      <c r="N178" s="25"/>
      <c r="O178" s="23"/>
      <c r="P178" s="25"/>
      <c r="Q178" s="25"/>
      <c r="R178" s="31"/>
      <c r="S178" s="24"/>
      <c r="T178" s="4" t="str">
        <f aca="false">IF(D178="","",IF(C178="Serviço","S","P")&amp;SUBSTITUTE(SUBSTITUTE(SUBSTITUTE(D178,".",""),"-","")," ",""))</f>
        <v/>
      </c>
      <c r="U178" s="4" t="str">
        <f aca="false">IF(T178="","",IFERROR(MATCH(LEFT(T178,10),'Referência LC 214'!$N$6:$N$967,0),IFERROR(MATCH(LEFT(T178,9),'Referência LC 214'!$N$6:$N$967,0),IFERROR(MATCH(LEFT(T178,8),'Referência LC 214'!$N$6:$N$967,0),IFERROR(MATCH(LEFT(T178,7),'Referência LC 214'!$N$6:$N$967,0),IFERROR(MATCH(LEFT(T178,6),'Referência LC 214'!$N$6:$N$967,0),IFERROR(MATCH(LEFT(T178,5),'Referência LC 214'!$N$6:$N$967,0),IFERROR(MATCH(LEFT(T178,4),'Referência LC 214'!$N$6:$N$967,0),IFERROR(MATCH(LEFT(T178,3),'Referência LC 214'!$N$6:$N$967,0),"")))))))))</f>
        <v/>
      </c>
    </row>
    <row r="179" customFormat="false" ht="15" hidden="false" customHeight="false" outlineLevel="0" collapsed="false">
      <c r="A179" s="23"/>
      <c r="B179" s="24"/>
      <c r="C179" s="25"/>
      <c r="D179" s="23"/>
      <c r="E179" s="23"/>
      <c r="F179" s="25"/>
      <c r="G179" s="26" t="str">
        <f aca="false">IF(T179="","",SUMPRODUCT(--(LEFT(T179,LEN('Referência LC 214'!$N$6:$N$967))='Referência LC 214'!$N$6:$N$967)))</f>
        <v/>
      </c>
      <c r="H179" s="27" t="str">
        <f aca="false">IF(T179="","",IF(U179="","000001",INDEX('Referência LC 214'!$I$6:$I$967,U179)))</f>
        <v/>
      </c>
      <c r="I179" s="28" t="str">
        <f aca="false">IF(T179="","",IF(U179="","Sem anexo: tributação integral",INDEX('Referência LC 214'!$H$6:$H$967,U179)))</f>
        <v/>
      </c>
      <c r="J179" s="29" t="str">
        <f aca="false">IF(T179="","",IF(U179="",0,INDEX('Referência LC 214'!$K$6:$K$967,U179)))</f>
        <v/>
      </c>
      <c r="K179" s="28" t="str">
        <f aca="false">IF(OR(T179="",U179=""),"","Anexo "&amp;INDEX('Referência LC 214'!$E$6:$E$967,U179)&amp;", item "&amp;INDEX('Referência LC 214'!$F$6:$F$967,U179)&amp;": "&amp;INDEX('Referência LC 214'!$G$6:$G$967,U179))</f>
        <v/>
      </c>
      <c r="L179" s="28" t="str">
        <f aca="false">IF(OR(T179="",U179=""),"",IF(INDEX('Referência LC 214'!$L$6:$L$967,U179)&amp;""&lt;&gt;"",INDEX('Referência LC 214'!$L$6:$L$967,U179)&amp;"",IF(SUMPRODUCT((LEFT(T179,LEN('Referência LC 214'!$N$6:$N$967))='Referência LC 214'!$N$6:$N$967)*('Referência LC 214'!$L$6:$L$967&lt;&gt;""))&gt;0,"Há outro tratamento só para alguns compradores (ex.: órgão público/SUS) — veja a referência","")))</f>
        <v/>
      </c>
      <c r="M179" s="30" t="str">
        <f aca="false">IF(T179="","",IF(AND(C179&lt;&gt;"Serviço",LEN(T179)-1&lt;&gt;8),"NCM deve ter 8 dígitos",IF(AND(C179="Serviço",LEN(T179)-1&lt;&gt;9),"NBS deve ter 9 dígitos",IF(L179&lt;&gt;"","Benefício depende do comprador: confira a coluna N",IF(G179&gt;1,"Mais de uma regra: confira o item do anexo na referência",IF(G179=0,"Sem redução na LC 214","Confira se o produto é o descrito no item"))))))</f>
        <v/>
      </c>
      <c r="N179" s="25"/>
      <c r="O179" s="23"/>
      <c r="P179" s="25"/>
      <c r="Q179" s="25"/>
      <c r="R179" s="31"/>
      <c r="S179" s="24"/>
      <c r="T179" s="4" t="str">
        <f aca="false">IF(D179="","",IF(C179="Serviço","S","P")&amp;SUBSTITUTE(SUBSTITUTE(SUBSTITUTE(D179,".",""),"-","")," ",""))</f>
        <v/>
      </c>
      <c r="U179" s="4" t="str">
        <f aca="false">IF(T179="","",IFERROR(MATCH(LEFT(T179,10),'Referência LC 214'!$N$6:$N$967,0),IFERROR(MATCH(LEFT(T179,9),'Referência LC 214'!$N$6:$N$967,0),IFERROR(MATCH(LEFT(T179,8),'Referência LC 214'!$N$6:$N$967,0),IFERROR(MATCH(LEFT(T179,7),'Referência LC 214'!$N$6:$N$967,0),IFERROR(MATCH(LEFT(T179,6),'Referência LC 214'!$N$6:$N$967,0),IFERROR(MATCH(LEFT(T179,5),'Referência LC 214'!$N$6:$N$967,0),IFERROR(MATCH(LEFT(T179,4),'Referência LC 214'!$N$6:$N$967,0),IFERROR(MATCH(LEFT(T179,3),'Referência LC 214'!$N$6:$N$967,0),"")))))))))</f>
        <v/>
      </c>
    </row>
    <row r="180" customFormat="false" ht="15" hidden="false" customHeight="false" outlineLevel="0" collapsed="false">
      <c r="A180" s="23"/>
      <c r="B180" s="24"/>
      <c r="C180" s="25"/>
      <c r="D180" s="23"/>
      <c r="E180" s="23"/>
      <c r="F180" s="25"/>
      <c r="G180" s="26" t="str">
        <f aca="false">IF(T180="","",SUMPRODUCT(--(LEFT(T180,LEN('Referência LC 214'!$N$6:$N$967))='Referência LC 214'!$N$6:$N$967)))</f>
        <v/>
      </c>
      <c r="H180" s="27" t="str">
        <f aca="false">IF(T180="","",IF(U180="","000001",INDEX('Referência LC 214'!$I$6:$I$967,U180)))</f>
        <v/>
      </c>
      <c r="I180" s="28" t="str">
        <f aca="false">IF(T180="","",IF(U180="","Sem anexo: tributação integral",INDEX('Referência LC 214'!$H$6:$H$967,U180)))</f>
        <v/>
      </c>
      <c r="J180" s="29" t="str">
        <f aca="false">IF(T180="","",IF(U180="",0,INDEX('Referência LC 214'!$K$6:$K$967,U180)))</f>
        <v/>
      </c>
      <c r="K180" s="28" t="str">
        <f aca="false">IF(OR(T180="",U180=""),"","Anexo "&amp;INDEX('Referência LC 214'!$E$6:$E$967,U180)&amp;", item "&amp;INDEX('Referência LC 214'!$F$6:$F$967,U180)&amp;": "&amp;INDEX('Referência LC 214'!$G$6:$G$967,U180))</f>
        <v/>
      </c>
      <c r="L180" s="28" t="str">
        <f aca="false">IF(OR(T180="",U180=""),"",IF(INDEX('Referência LC 214'!$L$6:$L$967,U180)&amp;""&lt;&gt;"",INDEX('Referência LC 214'!$L$6:$L$967,U180)&amp;"",IF(SUMPRODUCT((LEFT(T180,LEN('Referência LC 214'!$N$6:$N$967))='Referência LC 214'!$N$6:$N$967)*('Referência LC 214'!$L$6:$L$967&lt;&gt;""))&gt;0,"Há outro tratamento só para alguns compradores (ex.: órgão público/SUS) — veja a referência","")))</f>
        <v/>
      </c>
      <c r="M180" s="30" t="str">
        <f aca="false">IF(T180="","",IF(AND(C180&lt;&gt;"Serviço",LEN(T180)-1&lt;&gt;8),"NCM deve ter 8 dígitos",IF(AND(C180="Serviço",LEN(T180)-1&lt;&gt;9),"NBS deve ter 9 dígitos",IF(L180&lt;&gt;"","Benefício depende do comprador: confira a coluna N",IF(G180&gt;1,"Mais de uma regra: confira o item do anexo na referência",IF(G180=0,"Sem redução na LC 214","Confira se o produto é o descrito no item"))))))</f>
        <v/>
      </c>
      <c r="N180" s="25"/>
      <c r="O180" s="23"/>
      <c r="P180" s="25"/>
      <c r="Q180" s="25"/>
      <c r="R180" s="31"/>
      <c r="S180" s="24"/>
      <c r="T180" s="4" t="str">
        <f aca="false">IF(D180="","",IF(C180="Serviço","S","P")&amp;SUBSTITUTE(SUBSTITUTE(SUBSTITUTE(D180,".",""),"-","")," ",""))</f>
        <v/>
      </c>
      <c r="U180" s="4" t="str">
        <f aca="false">IF(T180="","",IFERROR(MATCH(LEFT(T180,10),'Referência LC 214'!$N$6:$N$967,0),IFERROR(MATCH(LEFT(T180,9),'Referência LC 214'!$N$6:$N$967,0),IFERROR(MATCH(LEFT(T180,8),'Referência LC 214'!$N$6:$N$967,0),IFERROR(MATCH(LEFT(T180,7),'Referência LC 214'!$N$6:$N$967,0),IFERROR(MATCH(LEFT(T180,6),'Referência LC 214'!$N$6:$N$967,0),IFERROR(MATCH(LEFT(T180,5),'Referência LC 214'!$N$6:$N$967,0),IFERROR(MATCH(LEFT(T180,4),'Referência LC 214'!$N$6:$N$967,0),IFERROR(MATCH(LEFT(T180,3),'Referência LC 214'!$N$6:$N$967,0),"")))))))))</f>
        <v/>
      </c>
    </row>
    <row r="181" customFormat="false" ht="15" hidden="false" customHeight="false" outlineLevel="0" collapsed="false">
      <c r="A181" s="23"/>
      <c r="B181" s="24"/>
      <c r="C181" s="25"/>
      <c r="D181" s="23"/>
      <c r="E181" s="23"/>
      <c r="F181" s="25"/>
      <c r="G181" s="26" t="str">
        <f aca="false">IF(T181="","",SUMPRODUCT(--(LEFT(T181,LEN('Referência LC 214'!$N$6:$N$967))='Referência LC 214'!$N$6:$N$967)))</f>
        <v/>
      </c>
      <c r="H181" s="27" t="str">
        <f aca="false">IF(T181="","",IF(U181="","000001",INDEX('Referência LC 214'!$I$6:$I$967,U181)))</f>
        <v/>
      </c>
      <c r="I181" s="28" t="str">
        <f aca="false">IF(T181="","",IF(U181="","Sem anexo: tributação integral",INDEX('Referência LC 214'!$H$6:$H$967,U181)))</f>
        <v/>
      </c>
      <c r="J181" s="29" t="str">
        <f aca="false">IF(T181="","",IF(U181="",0,INDEX('Referência LC 214'!$K$6:$K$967,U181)))</f>
        <v/>
      </c>
      <c r="K181" s="28" t="str">
        <f aca="false">IF(OR(T181="",U181=""),"","Anexo "&amp;INDEX('Referência LC 214'!$E$6:$E$967,U181)&amp;", item "&amp;INDEX('Referência LC 214'!$F$6:$F$967,U181)&amp;": "&amp;INDEX('Referência LC 214'!$G$6:$G$967,U181))</f>
        <v/>
      </c>
      <c r="L181" s="28" t="str">
        <f aca="false">IF(OR(T181="",U181=""),"",IF(INDEX('Referência LC 214'!$L$6:$L$967,U181)&amp;""&lt;&gt;"",INDEX('Referência LC 214'!$L$6:$L$967,U181)&amp;"",IF(SUMPRODUCT((LEFT(T181,LEN('Referência LC 214'!$N$6:$N$967))='Referência LC 214'!$N$6:$N$967)*('Referência LC 214'!$L$6:$L$967&lt;&gt;""))&gt;0,"Há outro tratamento só para alguns compradores (ex.: órgão público/SUS) — veja a referência","")))</f>
        <v/>
      </c>
      <c r="M181" s="30" t="str">
        <f aca="false">IF(T181="","",IF(AND(C181&lt;&gt;"Serviço",LEN(T181)-1&lt;&gt;8),"NCM deve ter 8 dígitos",IF(AND(C181="Serviço",LEN(T181)-1&lt;&gt;9),"NBS deve ter 9 dígitos",IF(L181&lt;&gt;"","Benefício depende do comprador: confira a coluna N",IF(G181&gt;1,"Mais de uma regra: confira o item do anexo na referência",IF(G181=0,"Sem redução na LC 214","Confira se o produto é o descrito no item"))))))</f>
        <v/>
      </c>
      <c r="N181" s="25"/>
      <c r="O181" s="23"/>
      <c r="P181" s="25"/>
      <c r="Q181" s="25"/>
      <c r="R181" s="31"/>
      <c r="S181" s="24"/>
      <c r="T181" s="4" t="str">
        <f aca="false">IF(D181="","",IF(C181="Serviço","S","P")&amp;SUBSTITUTE(SUBSTITUTE(SUBSTITUTE(D181,".",""),"-","")," ",""))</f>
        <v/>
      </c>
      <c r="U181" s="4" t="str">
        <f aca="false">IF(T181="","",IFERROR(MATCH(LEFT(T181,10),'Referência LC 214'!$N$6:$N$967,0),IFERROR(MATCH(LEFT(T181,9),'Referência LC 214'!$N$6:$N$967,0),IFERROR(MATCH(LEFT(T181,8),'Referência LC 214'!$N$6:$N$967,0),IFERROR(MATCH(LEFT(T181,7),'Referência LC 214'!$N$6:$N$967,0),IFERROR(MATCH(LEFT(T181,6),'Referência LC 214'!$N$6:$N$967,0),IFERROR(MATCH(LEFT(T181,5),'Referência LC 214'!$N$6:$N$967,0),IFERROR(MATCH(LEFT(T181,4),'Referência LC 214'!$N$6:$N$967,0),IFERROR(MATCH(LEFT(T181,3),'Referência LC 214'!$N$6:$N$967,0),"")))))))))</f>
        <v/>
      </c>
    </row>
    <row r="182" customFormat="false" ht="15" hidden="false" customHeight="false" outlineLevel="0" collapsed="false">
      <c r="A182" s="23"/>
      <c r="B182" s="24"/>
      <c r="C182" s="25"/>
      <c r="D182" s="23"/>
      <c r="E182" s="23"/>
      <c r="F182" s="25"/>
      <c r="G182" s="26" t="str">
        <f aca="false">IF(T182="","",SUMPRODUCT(--(LEFT(T182,LEN('Referência LC 214'!$N$6:$N$967))='Referência LC 214'!$N$6:$N$967)))</f>
        <v/>
      </c>
      <c r="H182" s="27" t="str">
        <f aca="false">IF(T182="","",IF(U182="","000001",INDEX('Referência LC 214'!$I$6:$I$967,U182)))</f>
        <v/>
      </c>
      <c r="I182" s="28" t="str">
        <f aca="false">IF(T182="","",IF(U182="","Sem anexo: tributação integral",INDEX('Referência LC 214'!$H$6:$H$967,U182)))</f>
        <v/>
      </c>
      <c r="J182" s="29" t="str">
        <f aca="false">IF(T182="","",IF(U182="",0,INDEX('Referência LC 214'!$K$6:$K$967,U182)))</f>
        <v/>
      </c>
      <c r="K182" s="28" t="str">
        <f aca="false">IF(OR(T182="",U182=""),"","Anexo "&amp;INDEX('Referência LC 214'!$E$6:$E$967,U182)&amp;", item "&amp;INDEX('Referência LC 214'!$F$6:$F$967,U182)&amp;": "&amp;INDEX('Referência LC 214'!$G$6:$G$967,U182))</f>
        <v/>
      </c>
      <c r="L182" s="28" t="str">
        <f aca="false">IF(OR(T182="",U182=""),"",IF(INDEX('Referência LC 214'!$L$6:$L$967,U182)&amp;""&lt;&gt;"",INDEX('Referência LC 214'!$L$6:$L$967,U182)&amp;"",IF(SUMPRODUCT((LEFT(T182,LEN('Referência LC 214'!$N$6:$N$967))='Referência LC 214'!$N$6:$N$967)*('Referência LC 214'!$L$6:$L$967&lt;&gt;""))&gt;0,"Há outro tratamento só para alguns compradores (ex.: órgão público/SUS) — veja a referência","")))</f>
        <v/>
      </c>
      <c r="M182" s="30" t="str">
        <f aca="false">IF(T182="","",IF(AND(C182&lt;&gt;"Serviço",LEN(T182)-1&lt;&gt;8),"NCM deve ter 8 dígitos",IF(AND(C182="Serviço",LEN(T182)-1&lt;&gt;9),"NBS deve ter 9 dígitos",IF(L182&lt;&gt;"","Benefício depende do comprador: confira a coluna N",IF(G182&gt;1,"Mais de uma regra: confira o item do anexo na referência",IF(G182=0,"Sem redução na LC 214","Confira se o produto é o descrito no item"))))))</f>
        <v/>
      </c>
      <c r="N182" s="25"/>
      <c r="O182" s="23"/>
      <c r="P182" s="25"/>
      <c r="Q182" s="25"/>
      <c r="R182" s="31"/>
      <c r="S182" s="24"/>
      <c r="T182" s="4" t="str">
        <f aca="false">IF(D182="","",IF(C182="Serviço","S","P")&amp;SUBSTITUTE(SUBSTITUTE(SUBSTITUTE(D182,".",""),"-","")," ",""))</f>
        <v/>
      </c>
      <c r="U182" s="4" t="str">
        <f aca="false">IF(T182="","",IFERROR(MATCH(LEFT(T182,10),'Referência LC 214'!$N$6:$N$967,0),IFERROR(MATCH(LEFT(T182,9),'Referência LC 214'!$N$6:$N$967,0),IFERROR(MATCH(LEFT(T182,8),'Referência LC 214'!$N$6:$N$967,0),IFERROR(MATCH(LEFT(T182,7),'Referência LC 214'!$N$6:$N$967,0),IFERROR(MATCH(LEFT(T182,6),'Referência LC 214'!$N$6:$N$967,0),IFERROR(MATCH(LEFT(T182,5),'Referência LC 214'!$N$6:$N$967,0),IFERROR(MATCH(LEFT(T182,4),'Referência LC 214'!$N$6:$N$967,0),IFERROR(MATCH(LEFT(T182,3),'Referência LC 214'!$N$6:$N$967,0),"")))))))))</f>
        <v/>
      </c>
    </row>
    <row r="183" customFormat="false" ht="15" hidden="false" customHeight="false" outlineLevel="0" collapsed="false">
      <c r="A183" s="23"/>
      <c r="B183" s="24"/>
      <c r="C183" s="25"/>
      <c r="D183" s="23"/>
      <c r="E183" s="23"/>
      <c r="F183" s="25"/>
      <c r="G183" s="26" t="str">
        <f aca="false">IF(T183="","",SUMPRODUCT(--(LEFT(T183,LEN('Referência LC 214'!$N$6:$N$967))='Referência LC 214'!$N$6:$N$967)))</f>
        <v/>
      </c>
      <c r="H183" s="27" t="str">
        <f aca="false">IF(T183="","",IF(U183="","000001",INDEX('Referência LC 214'!$I$6:$I$967,U183)))</f>
        <v/>
      </c>
      <c r="I183" s="28" t="str">
        <f aca="false">IF(T183="","",IF(U183="","Sem anexo: tributação integral",INDEX('Referência LC 214'!$H$6:$H$967,U183)))</f>
        <v/>
      </c>
      <c r="J183" s="29" t="str">
        <f aca="false">IF(T183="","",IF(U183="",0,INDEX('Referência LC 214'!$K$6:$K$967,U183)))</f>
        <v/>
      </c>
      <c r="K183" s="28" t="str">
        <f aca="false">IF(OR(T183="",U183=""),"","Anexo "&amp;INDEX('Referência LC 214'!$E$6:$E$967,U183)&amp;", item "&amp;INDEX('Referência LC 214'!$F$6:$F$967,U183)&amp;": "&amp;INDEX('Referência LC 214'!$G$6:$G$967,U183))</f>
        <v/>
      </c>
      <c r="L183" s="28" t="str">
        <f aca="false">IF(OR(T183="",U183=""),"",IF(INDEX('Referência LC 214'!$L$6:$L$967,U183)&amp;""&lt;&gt;"",INDEX('Referência LC 214'!$L$6:$L$967,U183)&amp;"",IF(SUMPRODUCT((LEFT(T183,LEN('Referência LC 214'!$N$6:$N$967))='Referência LC 214'!$N$6:$N$967)*('Referência LC 214'!$L$6:$L$967&lt;&gt;""))&gt;0,"Há outro tratamento só para alguns compradores (ex.: órgão público/SUS) — veja a referência","")))</f>
        <v/>
      </c>
      <c r="M183" s="30" t="str">
        <f aca="false">IF(T183="","",IF(AND(C183&lt;&gt;"Serviço",LEN(T183)-1&lt;&gt;8),"NCM deve ter 8 dígitos",IF(AND(C183="Serviço",LEN(T183)-1&lt;&gt;9),"NBS deve ter 9 dígitos",IF(L183&lt;&gt;"","Benefício depende do comprador: confira a coluna N",IF(G183&gt;1,"Mais de uma regra: confira o item do anexo na referência",IF(G183=0,"Sem redução na LC 214","Confira se o produto é o descrito no item"))))))</f>
        <v/>
      </c>
      <c r="N183" s="25"/>
      <c r="O183" s="23"/>
      <c r="P183" s="25"/>
      <c r="Q183" s="25"/>
      <c r="R183" s="31"/>
      <c r="S183" s="24"/>
      <c r="T183" s="4" t="str">
        <f aca="false">IF(D183="","",IF(C183="Serviço","S","P")&amp;SUBSTITUTE(SUBSTITUTE(SUBSTITUTE(D183,".",""),"-","")," ",""))</f>
        <v/>
      </c>
      <c r="U183" s="4" t="str">
        <f aca="false">IF(T183="","",IFERROR(MATCH(LEFT(T183,10),'Referência LC 214'!$N$6:$N$967,0),IFERROR(MATCH(LEFT(T183,9),'Referência LC 214'!$N$6:$N$967,0),IFERROR(MATCH(LEFT(T183,8),'Referência LC 214'!$N$6:$N$967,0),IFERROR(MATCH(LEFT(T183,7),'Referência LC 214'!$N$6:$N$967,0),IFERROR(MATCH(LEFT(T183,6),'Referência LC 214'!$N$6:$N$967,0),IFERROR(MATCH(LEFT(T183,5),'Referência LC 214'!$N$6:$N$967,0),IFERROR(MATCH(LEFT(T183,4),'Referência LC 214'!$N$6:$N$967,0),IFERROR(MATCH(LEFT(T183,3),'Referência LC 214'!$N$6:$N$967,0),"")))))))))</f>
        <v/>
      </c>
    </row>
    <row r="184" customFormat="false" ht="15" hidden="false" customHeight="false" outlineLevel="0" collapsed="false">
      <c r="A184" s="23"/>
      <c r="B184" s="24"/>
      <c r="C184" s="25"/>
      <c r="D184" s="23"/>
      <c r="E184" s="23"/>
      <c r="F184" s="25"/>
      <c r="G184" s="26" t="str">
        <f aca="false">IF(T184="","",SUMPRODUCT(--(LEFT(T184,LEN('Referência LC 214'!$N$6:$N$967))='Referência LC 214'!$N$6:$N$967)))</f>
        <v/>
      </c>
      <c r="H184" s="27" t="str">
        <f aca="false">IF(T184="","",IF(U184="","000001",INDEX('Referência LC 214'!$I$6:$I$967,U184)))</f>
        <v/>
      </c>
      <c r="I184" s="28" t="str">
        <f aca="false">IF(T184="","",IF(U184="","Sem anexo: tributação integral",INDEX('Referência LC 214'!$H$6:$H$967,U184)))</f>
        <v/>
      </c>
      <c r="J184" s="29" t="str">
        <f aca="false">IF(T184="","",IF(U184="",0,INDEX('Referência LC 214'!$K$6:$K$967,U184)))</f>
        <v/>
      </c>
      <c r="K184" s="28" t="str">
        <f aca="false">IF(OR(T184="",U184=""),"","Anexo "&amp;INDEX('Referência LC 214'!$E$6:$E$967,U184)&amp;", item "&amp;INDEX('Referência LC 214'!$F$6:$F$967,U184)&amp;": "&amp;INDEX('Referência LC 214'!$G$6:$G$967,U184))</f>
        <v/>
      </c>
      <c r="L184" s="28" t="str">
        <f aca="false">IF(OR(T184="",U184=""),"",IF(INDEX('Referência LC 214'!$L$6:$L$967,U184)&amp;""&lt;&gt;"",INDEX('Referência LC 214'!$L$6:$L$967,U184)&amp;"",IF(SUMPRODUCT((LEFT(T184,LEN('Referência LC 214'!$N$6:$N$967))='Referência LC 214'!$N$6:$N$967)*('Referência LC 214'!$L$6:$L$967&lt;&gt;""))&gt;0,"Há outro tratamento só para alguns compradores (ex.: órgão público/SUS) — veja a referência","")))</f>
        <v/>
      </c>
      <c r="M184" s="30" t="str">
        <f aca="false">IF(T184="","",IF(AND(C184&lt;&gt;"Serviço",LEN(T184)-1&lt;&gt;8),"NCM deve ter 8 dígitos",IF(AND(C184="Serviço",LEN(T184)-1&lt;&gt;9),"NBS deve ter 9 dígitos",IF(L184&lt;&gt;"","Benefício depende do comprador: confira a coluna N",IF(G184&gt;1,"Mais de uma regra: confira o item do anexo na referência",IF(G184=0,"Sem redução na LC 214","Confira se o produto é o descrito no item"))))))</f>
        <v/>
      </c>
      <c r="N184" s="25"/>
      <c r="O184" s="23"/>
      <c r="P184" s="25"/>
      <c r="Q184" s="25"/>
      <c r="R184" s="31"/>
      <c r="S184" s="24"/>
      <c r="T184" s="4" t="str">
        <f aca="false">IF(D184="","",IF(C184="Serviço","S","P")&amp;SUBSTITUTE(SUBSTITUTE(SUBSTITUTE(D184,".",""),"-","")," ",""))</f>
        <v/>
      </c>
      <c r="U184" s="4" t="str">
        <f aca="false">IF(T184="","",IFERROR(MATCH(LEFT(T184,10),'Referência LC 214'!$N$6:$N$967,0),IFERROR(MATCH(LEFT(T184,9),'Referência LC 214'!$N$6:$N$967,0),IFERROR(MATCH(LEFT(T184,8),'Referência LC 214'!$N$6:$N$967,0),IFERROR(MATCH(LEFT(T184,7),'Referência LC 214'!$N$6:$N$967,0),IFERROR(MATCH(LEFT(T184,6),'Referência LC 214'!$N$6:$N$967,0),IFERROR(MATCH(LEFT(T184,5),'Referência LC 214'!$N$6:$N$967,0),IFERROR(MATCH(LEFT(T184,4),'Referência LC 214'!$N$6:$N$967,0),IFERROR(MATCH(LEFT(T184,3),'Referência LC 214'!$N$6:$N$967,0),"")))))))))</f>
        <v/>
      </c>
    </row>
    <row r="185" customFormat="false" ht="15" hidden="false" customHeight="false" outlineLevel="0" collapsed="false">
      <c r="A185" s="23"/>
      <c r="B185" s="24"/>
      <c r="C185" s="25"/>
      <c r="D185" s="23"/>
      <c r="E185" s="23"/>
      <c r="F185" s="25"/>
      <c r="G185" s="26" t="str">
        <f aca="false">IF(T185="","",SUMPRODUCT(--(LEFT(T185,LEN('Referência LC 214'!$N$6:$N$967))='Referência LC 214'!$N$6:$N$967)))</f>
        <v/>
      </c>
      <c r="H185" s="27" t="str">
        <f aca="false">IF(T185="","",IF(U185="","000001",INDEX('Referência LC 214'!$I$6:$I$967,U185)))</f>
        <v/>
      </c>
      <c r="I185" s="28" t="str">
        <f aca="false">IF(T185="","",IF(U185="","Sem anexo: tributação integral",INDEX('Referência LC 214'!$H$6:$H$967,U185)))</f>
        <v/>
      </c>
      <c r="J185" s="29" t="str">
        <f aca="false">IF(T185="","",IF(U185="",0,INDEX('Referência LC 214'!$K$6:$K$967,U185)))</f>
        <v/>
      </c>
      <c r="K185" s="28" t="str">
        <f aca="false">IF(OR(T185="",U185=""),"","Anexo "&amp;INDEX('Referência LC 214'!$E$6:$E$967,U185)&amp;", item "&amp;INDEX('Referência LC 214'!$F$6:$F$967,U185)&amp;": "&amp;INDEX('Referência LC 214'!$G$6:$G$967,U185))</f>
        <v/>
      </c>
      <c r="L185" s="28" t="str">
        <f aca="false">IF(OR(T185="",U185=""),"",IF(INDEX('Referência LC 214'!$L$6:$L$967,U185)&amp;""&lt;&gt;"",INDEX('Referência LC 214'!$L$6:$L$967,U185)&amp;"",IF(SUMPRODUCT((LEFT(T185,LEN('Referência LC 214'!$N$6:$N$967))='Referência LC 214'!$N$6:$N$967)*('Referência LC 214'!$L$6:$L$967&lt;&gt;""))&gt;0,"Há outro tratamento só para alguns compradores (ex.: órgão público/SUS) — veja a referência","")))</f>
        <v/>
      </c>
      <c r="M185" s="30" t="str">
        <f aca="false">IF(T185="","",IF(AND(C185&lt;&gt;"Serviço",LEN(T185)-1&lt;&gt;8),"NCM deve ter 8 dígitos",IF(AND(C185="Serviço",LEN(T185)-1&lt;&gt;9),"NBS deve ter 9 dígitos",IF(L185&lt;&gt;"","Benefício depende do comprador: confira a coluna N",IF(G185&gt;1,"Mais de uma regra: confira o item do anexo na referência",IF(G185=0,"Sem redução na LC 214","Confira se o produto é o descrito no item"))))))</f>
        <v/>
      </c>
      <c r="N185" s="25"/>
      <c r="O185" s="23"/>
      <c r="P185" s="25"/>
      <c r="Q185" s="25"/>
      <c r="R185" s="31"/>
      <c r="S185" s="24"/>
      <c r="T185" s="4" t="str">
        <f aca="false">IF(D185="","",IF(C185="Serviço","S","P")&amp;SUBSTITUTE(SUBSTITUTE(SUBSTITUTE(D185,".",""),"-","")," ",""))</f>
        <v/>
      </c>
      <c r="U185" s="4" t="str">
        <f aca="false">IF(T185="","",IFERROR(MATCH(LEFT(T185,10),'Referência LC 214'!$N$6:$N$967,0),IFERROR(MATCH(LEFT(T185,9),'Referência LC 214'!$N$6:$N$967,0),IFERROR(MATCH(LEFT(T185,8),'Referência LC 214'!$N$6:$N$967,0),IFERROR(MATCH(LEFT(T185,7),'Referência LC 214'!$N$6:$N$967,0),IFERROR(MATCH(LEFT(T185,6),'Referência LC 214'!$N$6:$N$967,0),IFERROR(MATCH(LEFT(T185,5),'Referência LC 214'!$N$6:$N$967,0),IFERROR(MATCH(LEFT(T185,4),'Referência LC 214'!$N$6:$N$967,0),IFERROR(MATCH(LEFT(T185,3),'Referência LC 214'!$N$6:$N$967,0),"")))))))))</f>
        <v/>
      </c>
    </row>
    <row r="186" customFormat="false" ht="15" hidden="false" customHeight="false" outlineLevel="0" collapsed="false">
      <c r="A186" s="23"/>
      <c r="B186" s="24"/>
      <c r="C186" s="25"/>
      <c r="D186" s="23"/>
      <c r="E186" s="23"/>
      <c r="F186" s="25"/>
      <c r="G186" s="26" t="str">
        <f aca="false">IF(T186="","",SUMPRODUCT(--(LEFT(T186,LEN('Referência LC 214'!$N$6:$N$967))='Referência LC 214'!$N$6:$N$967)))</f>
        <v/>
      </c>
      <c r="H186" s="27" t="str">
        <f aca="false">IF(T186="","",IF(U186="","000001",INDEX('Referência LC 214'!$I$6:$I$967,U186)))</f>
        <v/>
      </c>
      <c r="I186" s="28" t="str">
        <f aca="false">IF(T186="","",IF(U186="","Sem anexo: tributação integral",INDEX('Referência LC 214'!$H$6:$H$967,U186)))</f>
        <v/>
      </c>
      <c r="J186" s="29" t="str">
        <f aca="false">IF(T186="","",IF(U186="",0,INDEX('Referência LC 214'!$K$6:$K$967,U186)))</f>
        <v/>
      </c>
      <c r="K186" s="28" t="str">
        <f aca="false">IF(OR(T186="",U186=""),"","Anexo "&amp;INDEX('Referência LC 214'!$E$6:$E$967,U186)&amp;", item "&amp;INDEX('Referência LC 214'!$F$6:$F$967,U186)&amp;": "&amp;INDEX('Referência LC 214'!$G$6:$G$967,U186))</f>
        <v/>
      </c>
      <c r="L186" s="28" t="str">
        <f aca="false">IF(OR(T186="",U186=""),"",IF(INDEX('Referência LC 214'!$L$6:$L$967,U186)&amp;""&lt;&gt;"",INDEX('Referência LC 214'!$L$6:$L$967,U186)&amp;"",IF(SUMPRODUCT((LEFT(T186,LEN('Referência LC 214'!$N$6:$N$967))='Referência LC 214'!$N$6:$N$967)*('Referência LC 214'!$L$6:$L$967&lt;&gt;""))&gt;0,"Há outro tratamento só para alguns compradores (ex.: órgão público/SUS) — veja a referência","")))</f>
        <v/>
      </c>
      <c r="M186" s="30" t="str">
        <f aca="false">IF(T186="","",IF(AND(C186&lt;&gt;"Serviço",LEN(T186)-1&lt;&gt;8),"NCM deve ter 8 dígitos",IF(AND(C186="Serviço",LEN(T186)-1&lt;&gt;9),"NBS deve ter 9 dígitos",IF(L186&lt;&gt;"","Benefício depende do comprador: confira a coluna N",IF(G186&gt;1,"Mais de uma regra: confira o item do anexo na referência",IF(G186=0,"Sem redução na LC 214","Confira se o produto é o descrito no item"))))))</f>
        <v/>
      </c>
      <c r="N186" s="25"/>
      <c r="O186" s="23"/>
      <c r="P186" s="25"/>
      <c r="Q186" s="25"/>
      <c r="R186" s="31"/>
      <c r="S186" s="24"/>
      <c r="T186" s="4" t="str">
        <f aca="false">IF(D186="","",IF(C186="Serviço","S","P")&amp;SUBSTITUTE(SUBSTITUTE(SUBSTITUTE(D186,".",""),"-","")," ",""))</f>
        <v/>
      </c>
      <c r="U186" s="4" t="str">
        <f aca="false">IF(T186="","",IFERROR(MATCH(LEFT(T186,10),'Referência LC 214'!$N$6:$N$967,0),IFERROR(MATCH(LEFT(T186,9),'Referência LC 214'!$N$6:$N$967,0),IFERROR(MATCH(LEFT(T186,8),'Referência LC 214'!$N$6:$N$967,0),IFERROR(MATCH(LEFT(T186,7),'Referência LC 214'!$N$6:$N$967,0),IFERROR(MATCH(LEFT(T186,6),'Referência LC 214'!$N$6:$N$967,0),IFERROR(MATCH(LEFT(T186,5),'Referência LC 214'!$N$6:$N$967,0),IFERROR(MATCH(LEFT(T186,4),'Referência LC 214'!$N$6:$N$967,0),IFERROR(MATCH(LEFT(T186,3),'Referência LC 214'!$N$6:$N$967,0),"")))))))))</f>
        <v/>
      </c>
    </row>
    <row r="187" customFormat="false" ht="15" hidden="false" customHeight="false" outlineLevel="0" collapsed="false">
      <c r="A187" s="23"/>
      <c r="B187" s="24"/>
      <c r="C187" s="25"/>
      <c r="D187" s="23"/>
      <c r="E187" s="23"/>
      <c r="F187" s="25"/>
      <c r="G187" s="26" t="str">
        <f aca="false">IF(T187="","",SUMPRODUCT(--(LEFT(T187,LEN('Referência LC 214'!$N$6:$N$967))='Referência LC 214'!$N$6:$N$967)))</f>
        <v/>
      </c>
      <c r="H187" s="27" t="str">
        <f aca="false">IF(T187="","",IF(U187="","000001",INDEX('Referência LC 214'!$I$6:$I$967,U187)))</f>
        <v/>
      </c>
      <c r="I187" s="28" t="str">
        <f aca="false">IF(T187="","",IF(U187="","Sem anexo: tributação integral",INDEX('Referência LC 214'!$H$6:$H$967,U187)))</f>
        <v/>
      </c>
      <c r="J187" s="29" t="str">
        <f aca="false">IF(T187="","",IF(U187="",0,INDEX('Referência LC 214'!$K$6:$K$967,U187)))</f>
        <v/>
      </c>
      <c r="K187" s="28" t="str">
        <f aca="false">IF(OR(T187="",U187=""),"","Anexo "&amp;INDEX('Referência LC 214'!$E$6:$E$967,U187)&amp;", item "&amp;INDEX('Referência LC 214'!$F$6:$F$967,U187)&amp;": "&amp;INDEX('Referência LC 214'!$G$6:$G$967,U187))</f>
        <v/>
      </c>
      <c r="L187" s="28" t="str">
        <f aca="false">IF(OR(T187="",U187=""),"",IF(INDEX('Referência LC 214'!$L$6:$L$967,U187)&amp;""&lt;&gt;"",INDEX('Referência LC 214'!$L$6:$L$967,U187)&amp;"",IF(SUMPRODUCT((LEFT(T187,LEN('Referência LC 214'!$N$6:$N$967))='Referência LC 214'!$N$6:$N$967)*('Referência LC 214'!$L$6:$L$967&lt;&gt;""))&gt;0,"Há outro tratamento só para alguns compradores (ex.: órgão público/SUS) — veja a referência","")))</f>
        <v/>
      </c>
      <c r="M187" s="30" t="str">
        <f aca="false">IF(T187="","",IF(AND(C187&lt;&gt;"Serviço",LEN(T187)-1&lt;&gt;8),"NCM deve ter 8 dígitos",IF(AND(C187="Serviço",LEN(T187)-1&lt;&gt;9),"NBS deve ter 9 dígitos",IF(L187&lt;&gt;"","Benefício depende do comprador: confira a coluna N",IF(G187&gt;1,"Mais de uma regra: confira o item do anexo na referência",IF(G187=0,"Sem redução na LC 214","Confira se o produto é o descrito no item"))))))</f>
        <v/>
      </c>
      <c r="N187" s="25"/>
      <c r="O187" s="23"/>
      <c r="P187" s="25"/>
      <c r="Q187" s="25"/>
      <c r="R187" s="31"/>
      <c r="S187" s="24"/>
      <c r="T187" s="4" t="str">
        <f aca="false">IF(D187="","",IF(C187="Serviço","S","P")&amp;SUBSTITUTE(SUBSTITUTE(SUBSTITUTE(D187,".",""),"-","")," ",""))</f>
        <v/>
      </c>
      <c r="U187" s="4" t="str">
        <f aca="false">IF(T187="","",IFERROR(MATCH(LEFT(T187,10),'Referência LC 214'!$N$6:$N$967,0),IFERROR(MATCH(LEFT(T187,9),'Referência LC 214'!$N$6:$N$967,0),IFERROR(MATCH(LEFT(T187,8),'Referência LC 214'!$N$6:$N$967,0),IFERROR(MATCH(LEFT(T187,7),'Referência LC 214'!$N$6:$N$967,0),IFERROR(MATCH(LEFT(T187,6),'Referência LC 214'!$N$6:$N$967,0),IFERROR(MATCH(LEFT(T187,5),'Referência LC 214'!$N$6:$N$967,0),IFERROR(MATCH(LEFT(T187,4),'Referência LC 214'!$N$6:$N$967,0),IFERROR(MATCH(LEFT(T187,3),'Referência LC 214'!$N$6:$N$967,0),"")))))))))</f>
        <v/>
      </c>
    </row>
    <row r="188" customFormat="false" ht="15" hidden="false" customHeight="false" outlineLevel="0" collapsed="false">
      <c r="A188" s="23"/>
      <c r="B188" s="24"/>
      <c r="C188" s="25"/>
      <c r="D188" s="23"/>
      <c r="E188" s="23"/>
      <c r="F188" s="25"/>
      <c r="G188" s="26" t="str">
        <f aca="false">IF(T188="","",SUMPRODUCT(--(LEFT(T188,LEN('Referência LC 214'!$N$6:$N$967))='Referência LC 214'!$N$6:$N$967)))</f>
        <v/>
      </c>
      <c r="H188" s="27" t="str">
        <f aca="false">IF(T188="","",IF(U188="","000001",INDEX('Referência LC 214'!$I$6:$I$967,U188)))</f>
        <v/>
      </c>
      <c r="I188" s="28" t="str">
        <f aca="false">IF(T188="","",IF(U188="","Sem anexo: tributação integral",INDEX('Referência LC 214'!$H$6:$H$967,U188)))</f>
        <v/>
      </c>
      <c r="J188" s="29" t="str">
        <f aca="false">IF(T188="","",IF(U188="",0,INDEX('Referência LC 214'!$K$6:$K$967,U188)))</f>
        <v/>
      </c>
      <c r="K188" s="28" t="str">
        <f aca="false">IF(OR(T188="",U188=""),"","Anexo "&amp;INDEX('Referência LC 214'!$E$6:$E$967,U188)&amp;", item "&amp;INDEX('Referência LC 214'!$F$6:$F$967,U188)&amp;": "&amp;INDEX('Referência LC 214'!$G$6:$G$967,U188))</f>
        <v/>
      </c>
      <c r="L188" s="28" t="str">
        <f aca="false">IF(OR(T188="",U188=""),"",IF(INDEX('Referência LC 214'!$L$6:$L$967,U188)&amp;""&lt;&gt;"",INDEX('Referência LC 214'!$L$6:$L$967,U188)&amp;"",IF(SUMPRODUCT((LEFT(T188,LEN('Referência LC 214'!$N$6:$N$967))='Referência LC 214'!$N$6:$N$967)*('Referência LC 214'!$L$6:$L$967&lt;&gt;""))&gt;0,"Há outro tratamento só para alguns compradores (ex.: órgão público/SUS) — veja a referência","")))</f>
        <v/>
      </c>
      <c r="M188" s="30" t="str">
        <f aca="false">IF(T188="","",IF(AND(C188&lt;&gt;"Serviço",LEN(T188)-1&lt;&gt;8),"NCM deve ter 8 dígitos",IF(AND(C188="Serviço",LEN(T188)-1&lt;&gt;9),"NBS deve ter 9 dígitos",IF(L188&lt;&gt;"","Benefício depende do comprador: confira a coluna N",IF(G188&gt;1,"Mais de uma regra: confira o item do anexo na referência",IF(G188=0,"Sem redução na LC 214","Confira se o produto é o descrito no item"))))))</f>
        <v/>
      </c>
      <c r="N188" s="25"/>
      <c r="O188" s="23"/>
      <c r="P188" s="25"/>
      <c r="Q188" s="25"/>
      <c r="R188" s="31"/>
      <c r="S188" s="24"/>
      <c r="T188" s="4" t="str">
        <f aca="false">IF(D188="","",IF(C188="Serviço","S","P")&amp;SUBSTITUTE(SUBSTITUTE(SUBSTITUTE(D188,".",""),"-","")," ",""))</f>
        <v/>
      </c>
      <c r="U188" s="4" t="str">
        <f aca="false">IF(T188="","",IFERROR(MATCH(LEFT(T188,10),'Referência LC 214'!$N$6:$N$967,0),IFERROR(MATCH(LEFT(T188,9),'Referência LC 214'!$N$6:$N$967,0),IFERROR(MATCH(LEFT(T188,8),'Referência LC 214'!$N$6:$N$967,0),IFERROR(MATCH(LEFT(T188,7),'Referência LC 214'!$N$6:$N$967,0),IFERROR(MATCH(LEFT(T188,6),'Referência LC 214'!$N$6:$N$967,0),IFERROR(MATCH(LEFT(T188,5),'Referência LC 214'!$N$6:$N$967,0),IFERROR(MATCH(LEFT(T188,4),'Referência LC 214'!$N$6:$N$967,0),IFERROR(MATCH(LEFT(T188,3),'Referência LC 214'!$N$6:$N$967,0),"")))))))))</f>
        <v/>
      </c>
    </row>
    <row r="189" customFormat="false" ht="15" hidden="false" customHeight="false" outlineLevel="0" collapsed="false">
      <c r="A189" s="23"/>
      <c r="B189" s="24"/>
      <c r="C189" s="25"/>
      <c r="D189" s="23"/>
      <c r="E189" s="23"/>
      <c r="F189" s="25"/>
      <c r="G189" s="26" t="str">
        <f aca="false">IF(T189="","",SUMPRODUCT(--(LEFT(T189,LEN('Referência LC 214'!$N$6:$N$967))='Referência LC 214'!$N$6:$N$967)))</f>
        <v/>
      </c>
      <c r="H189" s="27" t="str">
        <f aca="false">IF(T189="","",IF(U189="","000001",INDEX('Referência LC 214'!$I$6:$I$967,U189)))</f>
        <v/>
      </c>
      <c r="I189" s="28" t="str">
        <f aca="false">IF(T189="","",IF(U189="","Sem anexo: tributação integral",INDEX('Referência LC 214'!$H$6:$H$967,U189)))</f>
        <v/>
      </c>
      <c r="J189" s="29" t="str">
        <f aca="false">IF(T189="","",IF(U189="",0,INDEX('Referência LC 214'!$K$6:$K$967,U189)))</f>
        <v/>
      </c>
      <c r="K189" s="28" t="str">
        <f aca="false">IF(OR(T189="",U189=""),"","Anexo "&amp;INDEX('Referência LC 214'!$E$6:$E$967,U189)&amp;", item "&amp;INDEX('Referência LC 214'!$F$6:$F$967,U189)&amp;": "&amp;INDEX('Referência LC 214'!$G$6:$G$967,U189))</f>
        <v/>
      </c>
      <c r="L189" s="28" t="str">
        <f aca="false">IF(OR(T189="",U189=""),"",IF(INDEX('Referência LC 214'!$L$6:$L$967,U189)&amp;""&lt;&gt;"",INDEX('Referência LC 214'!$L$6:$L$967,U189)&amp;"",IF(SUMPRODUCT((LEFT(T189,LEN('Referência LC 214'!$N$6:$N$967))='Referência LC 214'!$N$6:$N$967)*('Referência LC 214'!$L$6:$L$967&lt;&gt;""))&gt;0,"Há outro tratamento só para alguns compradores (ex.: órgão público/SUS) — veja a referência","")))</f>
        <v/>
      </c>
      <c r="M189" s="30" t="str">
        <f aca="false">IF(T189="","",IF(AND(C189&lt;&gt;"Serviço",LEN(T189)-1&lt;&gt;8),"NCM deve ter 8 dígitos",IF(AND(C189="Serviço",LEN(T189)-1&lt;&gt;9),"NBS deve ter 9 dígitos",IF(L189&lt;&gt;"","Benefício depende do comprador: confira a coluna N",IF(G189&gt;1,"Mais de uma regra: confira o item do anexo na referência",IF(G189=0,"Sem redução na LC 214","Confira se o produto é o descrito no item"))))))</f>
        <v/>
      </c>
      <c r="N189" s="25"/>
      <c r="O189" s="23"/>
      <c r="P189" s="25"/>
      <c r="Q189" s="25"/>
      <c r="R189" s="31"/>
      <c r="S189" s="24"/>
      <c r="T189" s="4" t="str">
        <f aca="false">IF(D189="","",IF(C189="Serviço","S","P")&amp;SUBSTITUTE(SUBSTITUTE(SUBSTITUTE(D189,".",""),"-","")," ",""))</f>
        <v/>
      </c>
      <c r="U189" s="4" t="str">
        <f aca="false">IF(T189="","",IFERROR(MATCH(LEFT(T189,10),'Referência LC 214'!$N$6:$N$967,0),IFERROR(MATCH(LEFT(T189,9),'Referência LC 214'!$N$6:$N$967,0),IFERROR(MATCH(LEFT(T189,8),'Referência LC 214'!$N$6:$N$967,0),IFERROR(MATCH(LEFT(T189,7),'Referência LC 214'!$N$6:$N$967,0),IFERROR(MATCH(LEFT(T189,6),'Referência LC 214'!$N$6:$N$967,0),IFERROR(MATCH(LEFT(T189,5),'Referência LC 214'!$N$6:$N$967,0),IFERROR(MATCH(LEFT(T189,4),'Referência LC 214'!$N$6:$N$967,0),IFERROR(MATCH(LEFT(T189,3),'Referência LC 214'!$N$6:$N$967,0),"")))))))))</f>
        <v/>
      </c>
    </row>
    <row r="190" customFormat="false" ht="15" hidden="false" customHeight="false" outlineLevel="0" collapsed="false">
      <c r="A190" s="23"/>
      <c r="B190" s="24"/>
      <c r="C190" s="25"/>
      <c r="D190" s="23"/>
      <c r="E190" s="23"/>
      <c r="F190" s="25"/>
      <c r="G190" s="26" t="str">
        <f aca="false">IF(T190="","",SUMPRODUCT(--(LEFT(T190,LEN('Referência LC 214'!$N$6:$N$967))='Referência LC 214'!$N$6:$N$967)))</f>
        <v/>
      </c>
      <c r="H190" s="27" t="str">
        <f aca="false">IF(T190="","",IF(U190="","000001",INDEX('Referência LC 214'!$I$6:$I$967,U190)))</f>
        <v/>
      </c>
      <c r="I190" s="28" t="str">
        <f aca="false">IF(T190="","",IF(U190="","Sem anexo: tributação integral",INDEX('Referência LC 214'!$H$6:$H$967,U190)))</f>
        <v/>
      </c>
      <c r="J190" s="29" t="str">
        <f aca="false">IF(T190="","",IF(U190="",0,INDEX('Referência LC 214'!$K$6:$K$967,U190)))</f>
        <v/>
      </c>
      <c r="K190" s="28" t="str">
        <f aca="false">IF(OR(T190="",U190=""),"","Anexo "&amp;INDEX('Referência LC 214'!$E$6:$E$967,U190)&amp;", item "&amp;INDEX('Referência LC 214'!$F$6:$F$967,U190)&amp;": "&amp;INDEX('Referência LC 214'!$G$6:$G$967,U190))</f>
        <v/>
      </c>
      <c r="L190" s="28" t="str">
        <f aca="false">IF(OR(T190="",U190=""),"",IF(INDEX('Referência LC 214'!$L$6:$L$967,U190)&amp;""&lt;&gt;"",INDEX('Referência LC 214'!$L$6:$L$967,U190)&amp;"",IF(SUMPRODUCT((LEFT(T190,LEN('Referência LC 214'!$N$6:$N$967))='Referência LC 214'!$N$6:$N$967)*('Referência LC 214'!$L$6:$L$967&lt;&gt;""))&gt;0,"Há outro tratamento só para alguns compradores (ex.: órgão público/SUS) — veja a referência","")))</f>
        <v/>
      </c>
      <c r="M190" s="30" t="str">
        <f aca="false">IF(T190="","",IF(AND(C190&lt;&gt;"Serviço",LEN(T190)-1&lt;&gt;8),"NCM deve ter 8 dígitos",IF(AND(C190="Serviço",LEN(T190)-1&lt;&gt;9),"NBS deve ter 9 dígitos",IF(L190&lt;&gt;"","Benefício depende do comprador: confira a coluna N",IF(G190&gt;1,"Mais de uma regra: confira o item do anexo na referência",IF(G190=0,"Sem redução na LC 214","Confira se o produto é o descrito no item"))))))</f>
        <v/>
      </c>
      <c r="N190" s="25"/>
      <c r="O190" s="23"/>
      <c r="P190" s="25"/>
      <c r="Q190" s="25"/>
      <c r="R190" s="31"/>
      <c r="S190" s="24"/>
      <c r="T190" s="4" t="str">
        <f aca="false">IF(D190="","",IF(C190="Serviço","S","P")&amp;SUBSTITUTE(SUBSTITUTE(SUBSTITUTE(D190,".",""),"-","")," ",""))</f>
        <v/>
      </c>
      <c r="U190" s="4" t="str">
        <f aca="false">IF(T190="","",IFERROR(MATCH(LEFT(T190,10),'Referência LC 214'!$N$6:$N$967,0),IFERROR(MATCH(LEFT(T190,9),'Referência LC 214'!$N$6:$N$967,0),IFERROR(MATCH(LEFT(T190,8),'Referência LC 214'!$N$6:$N$967,0),IFERROR(MATCH(LEFT(T190,7),'Referência LC 214'!$N$6:$N$967,0),IFERROR(MATCH(LEFT(T190,6),'Referência LC 214'!$N$6:$N$967,0),IFERROR(MATCH(LEFT(T190,5),'Referência LC 214'!$N$6:$N$967,0),IFERROR(MATCH(LEFT(T190,4),'Referência LC 214'!$N$6:$N$967,0),IFERROR(MATCH(LEFT(T190,3),'Referência LC 214'!$N$6:$N$967,0),"")))))))))</f>
        <v/>
      </c>
    </row>
    <row r="191" customFormat="false" ht="15" hidden="false" customHeight="false" outlineLevel="0" collapsed="false">
      <c r="A191" s="23"/>
      <c r="B191" s="24"/>
      <c r="C191" s="25"/>
      <c r="D191" s="23"/>
      <c r="E191" s="23"/>
      <c r="F191" s="25"/>
      <c r="G191" s="26" t="str">
        <f aca="false">IF(T191="","",SUMPRODUCT(--(LEFT(T191,LEN('Referência LC 214'!$N$6:$N$967))='Referência LC 214'!$N$6:$N$967)))</f>
        <v/>
      </c>
      <c r="H191" s="27" t="str">
        <f aca="false">IF(T191="","",IF(U191="","000001",INDEX('Referência LC 214'!$I$6:$I$967,U191)))</f>
        <v/>
      </c>
      <c r="I191" s="28" t="str">
        <f aca="false">IF(T191="","",IF(U191="","Sem anexo: tributação integral",INDEX('Referência LC 214'!$H$6:$H$967,U191)))</f>
        <v/>
      </c>
      <c r="J191" s="29" t="str">
        <f aca="false">IF(T191="","",IF(U191="",0,INDEX('Referência LC 214'!$K$6:$K$967,U191)))</f>
        <v/>
      </c>
      <c r="K191" s="28" t="str">
        <f aca="false">IF(OR(T191="",U191=""),"","Anexo "&amp;INDEX('Referência LC 214'!$E$6:$E$967,U191)&amp;", item "&amp;INDEX('Referência LC 214'!$F$6:$F$967,U191)&amp;": "&amp;INDEX('Referência LC 214'!$G$6:$G$967,U191))</f>
        <v/>
      </c>
      <c r="L191" s="28" t="str">
        <f aca="false">IF(OR(T191="",U191=""),"",IF(INDEX('Referência LC 214'!$L$6:$L$967,U191)&amp;""&lt;&gt;"",INDEX('Referência LC 214'!$L$6:$L$967,U191)&amp;"",IF(SUMPRODUCT((LEFT(T191,LEN('Referência LC 214'!$N$6:$N$967))='Referência LC 214'!$N$6:$N$967)*('Referência LC 214'!$L$6:$L$967&lt;&gt;""))&gt;0,"Há outro tratamento só para alguns compradores (ex.: órgão público/SUS) — veja a referência","")))</f>
        <v/>
      </c>
      <c r="M191" s="30" t="str">
        <f aca="false">IF(T191="","",IF(AND(C191&lt;&gt;"Serviço",LEN(T191)-1&lt;&gt;8),"NCM deve ter 8 dígitos",IF(AND(C191="Serviço",LEN(T191)-1&lt;&gt;9),"NBS deve ter 9 dígitos",IF(L191&lt;&gt;"","Benefício depende do comprador: confira a coluna N",IF(G191&gt;1,"Mais de uma regra: confira o item do anexo na referência",IF(G191=0,"Sem redução na LC 214","Confira se o produto é o descrito no item"))))))</f>
        <v/>
      </c>
      <c r="N191" s="25"/>
      <c r="O191" s="23"/>
      <c r="P191" s="25"/>
      <c r="Q191" s="25"/>
      <c r="R191" s="31"/>
      <c r="S191" s="24"/>
      <c r="T191" s="4" t="str">
        <f aca="false">IF(D191="","",IF(C191="Serviço","S","P")&amp;SUBSTITUTE(SUBSTITUTE(SUBSTITUTE(D191,".",""),"-","")," ",""))</f>
        <v/>
      </c>
      <c r="U191" s="4" t="str">
        <f aca="false">IF(T191="","",IFERROR(MATCH(LEFT(T191,10),'Referência LC 214'!$N$6:$N$967,0),IFERROR(MATCH(LEFT(T191,9),'Referência LC 214'!$N$6:$N$967,0),IFERROR(MATCH(LEFT(T191,8),'Referência LC 214'!$N$6:$N$967,0),IFERROR(MATCH(LEFT(T191,7),'Referência LC 214'!$N$6:$N$967,0),IFERROR(MATCH(LEFT(T191,6),'Referência LC 214'!$N$6:$N$967,0),IFERROR(MATCH(LEFT(T191,5),'Referência LC 214'!$N$6:$N$967,0),IFERROR(MATCH(LEFT(T191,4),'Referência LC 214'!$N$6:$N$967,0),IFERROR(MATCH(LEFT(T191,3),'Referência LC 214'!$N$6:$N$967,0),"")))))))))</f>
        <v/>
      </c>
    </row>
    <row r="192" customFormat="false" ht="15" hidden="false" customHeight="false" outlineLevel="0" collapsed="false">
      <c r="A192" s="23"/>
      <c r="B192" s="24"/>
      <c r="C192" s="25"/>
      <c r="D192" s="23"/>
      <c r="E192" s="23"/>
      <c r="F192" s="25"/>
      <c r="G192" s="26" t="str">
        <f aca="false">IF(T192="","",SUMPRODUCT(--(LEFT(T192,LEN('Referência LC 214'!$N$6:$N$967))='Referência LC 214'!$N$6:$N$967)))</f>
        <v/>
      </c>
      <c r="H192" s="27" t="str">
        <f aca="false">IF(T192="","",IF(U192="","000001",INDEX('Referência LC 214'!$I$6:$I$967,U192)))</f>
        <v/>
      </c>
      <c r="I192" s="28" t="str">
        <f aca="false">IF(T192="","",IF(U192="","Sem anexo: tributação integral",INDEX('Referência LC 214'!$H$6:$H$967,U192)))</f>
        <v/>
      </c>
      <c r="J192" s="29" t="str">
        <f aca="false">IF(T192="","",IF(U192="",0,INDEX('Referência LC 214'!$K$6:$K$967,U192)))</f>
        <v/>
      </c>
      <c r="K192" s="28" t="str">
        <f aca="false">IF(OR(T192="",U192=""),"","Anexo "&amp;INDEX('Referência LC 214'!$E$6:$E$967,U192)&amp;", item "&amp;INDEX('Referência LC 214'!$F$6:$F$967,U192)&amp;": "&amp;INDEX('Referência LC 214'!$G$6:$G$967,U192))</f>
        <v/>
      </c>
      <c r="L192" s="28" t="str">
        <f aca="false">IF(OR(T192="",U192=""),"",IF(INDEX('Referência LC 214'!$L$6:$L$967,U192)&amp;""&lt;&gt;"",INDEX('Referência LC 214'!$L$6:$L$967,U192)&amp;"",IF(SUMPRODUCT((LEFT(T192,LEN('Referência LC 214'!$N$6:$N$967))='Referência LC 214'!$N$6:$N$967)*('Referência LC 214'!$L$6:$L$967&lt;&gt;""))&gt;0,"Há outro tratamento só para alguns compradores (ex.: órgão público/SUS) — veja a referência","")))</f>
        <v/>
      </c>
      <c r="M192" s="30" t="str">
        <f aca="false">IF(T192="","",IF(AND(C192&lt;&gt;"Serviço",LEN(T192)-1&lt;&gt;8),"NCM deve ter 8 dígitos",IF(AND(C192="Serviço",LEN(T192)-1&lt;&gt;9),"NBS deve ter 9 dígitos",IF(L192&lt;&gt;"","Benefício depende do comprador: confira a coluna N",IF(G192&gt;1,"Mais de uma regra: confira o item do anexo na referência",IF(G192=0,"Sem redução na LC 214","Confira se o produto é o descrito no item"))))))</f>
        <v/>
      </c>
      <c r="N192" s="25"/>
      <c r="O192" s="23"/>
      <c r="P192" s="25"/>
      <c r="Q192" s="25"/>
      <c r="R192" s="31"/>
      <c r="S192" s="24"/>
      <c r="T192" s="4" t="str">
        <f aca="false">IF(D192="","",IF(C192="Serviço","S","P")&amp;SUBSTITUTE(SUBSTITUTE(SUBSTITUTE(D192,".",""),"-","")," ",""))</f>
        <v/>
      </c>
      <c r="U192" s="4" t="str">
        <f aca="false">IF(T192="","",IFERROR(MATCH(LEFT(T192,10),'Referência LC 214'!$N$6:$N$967,0),IFERROR(MATCH(LEFT(T192,9),'Referência LC 214'!$N$6:$N$967,0),IFERROR(MATCH(LEFT(T192,8),'Referência LC 214'!$N$6:$N$967,0),IFERROR(MATCH(LEFT(T192,7),'Referência LC 214'!$N$6:$N$967,0),IFERROR(MATCH(LEFT(T192,6),'Referência LC 214'!$N$6:$N$967,0),IFERROR(MATCH(LEFT(T192,5),'Referência LC 214'!$N$6:$N$967,0),IFERROR(MATCH(LEFT(T192,4),'Referência LC 214'!$N$6:$N$967,0),IFERROR(MATCH(LEFT(T192,3),'Referência LC 214'!$N$6:$N$967,0),"")))))))))</f>
        <v/>
      </c>
    </row>
    <row r="193" customFormat="false" ht="15" hidden="false" customHeight="false" outlineLevel="0" collapsed="false">
      <c r="A193" s="23"/>
      <c r="B193" s="24"/>
      <c r="C193" s="25"/>
      <c r="D193" s="23"/>
      <c r="E193" s="23"/>
      <c r="F193" s="25"/>
      <c r="G193" s="26" t="str">
        <f aca="false">IF(T193="","",SUMPRODUCT(--(LEFT(T193,LEN('Referência LC 214'!$N$6:$N$967))='Referência LC 214'!$N$6:$N$967)))</f>
        <v/>
      </c>
      <c r="H193" s="27" t="str">
        <f aca="false">IF(T193="","",IF(U193="","000001",INDEX('Referência LC 214'!$I$6:$I$967,U193)))</f>
        <v/>
      </c>
      <c r="I193" s="28" t="str">
        <f aca="false">IF(T193="","",IF(U193="","Sem anexo: tributação integral",INDEX('Referência LC 214'!$H$6:$H$967,U193)))</f>
        <v/>
      </c>
      <c r="J193" s="29" t="str">
        <f aca="false">IF(T193="","",IF(U193="",0,INDEX('Referência LC 214'!$K$6:$K$967,U193)))</f>
        <v/>
      </c>
      <c r="K193" s="28" t="str">
        <f aca="false">IF(OR(T193="",U193=""),"","Anexo "&amp;INDEX('Referência LC 214'!$E$6:$E$967,U193)&amp;", item "&amp;INDEX('Referência LC 214'!$F$6:$F$967,U193)&amp;": "&amp;INDEX('Referência LC 214'!$G$6:$G$967,U193))</f>
        <v/>
      </c>
      <c r="L193" s="28" t="str">
        <f aca="false">IF(OR(T193="",U193=""),"",IF(INDEX('Referência LC 214'!$L$6:$L$967,U193)&amp;""&lt;&gt;"",INDEX('Referência LC 214'!$L$6:$L$967,U193)&amp;"",IF(SUMPRODUCT((LEFT(T193,LEN('Referência LC 214'!$N$6:$N$967))='Referência LC 214'!$N$6:$N$967)*('Referência LC 214'!$L$6:$L$967&lt;&gt;""))&gt;0,"Há outro tratamento só para alguns compradores (ex.: órgão público/SUS) — veja a referência","")))</f>
        <v/>
      </c>
      <c r="M193" s="30" t="str">
        <f aca="false">IF(T193="","",IF(AND(C193&lt;&gt;"Serviço",LEN(T193)-1&lt;&gt;8),"NCM deve ter 8 dígitos",IF(AND(C193="Serviço",LEN(T193)-1&lt;&gt;9),"NBS deve ter 9 dígitos",IF(L193&lt;&gt;"","Benefício depende do comprador: confira a coluna N",IF(G193&gt;1,"Mais de uma regra: confira o item do anexo na referência",IF(G193=0,"Sem redução na LC 214","Confira se o produto é o descrito no item"))))))</f>
        <v/>
      </c>
      <c r="N193" s="25"/>
      <c r="O193" s="23"/>
      <c r="P193" s="25"/>
      <c r="Q193" s="25"/>
      <c r="R193" s="31"/>
      <c r="S193" s="24"/>
      <c r="T193" s="4" t="str">
        <f aca="false">IF(D193="","",IF(C193="Serviço","S","P")&amp;SUBSTITUTE(SUBSTITUTE(SUBSTITUTE(D193,".",""),"-","")," ",""))</f>
        <v/>
      </c>
      <c r="U193" s="4" t="str">
        <f aca="false">IF(T193="","",IFERROR(MATCH(LEFT(T193,10),'Referência LC 214'!$N$6:$N$967,0),IFERROR(MATCH(LEFT(T193,9),'Referência LC 214'!$N$6:$N$967,0),IFERROR(MATCH(LEFT(T193,8),'Referência LC 214'!$N$6:$N$967,0),IFERROR(MATCH(LEFT(T193,7),'Referência LC 214'!$N$6:$N$967,0),IFERROR(MATCH(LEFT(T193,6),'Referência LC 214'!$N$6:$N$967,0),IFERROR(MATCH(LEFT(T193,5),'Referência LC 214'!$N$6:$N$967,0),IFERROR(MATCH(LEFT(T193,4),'Referência LC 214'!$N$6:$N$967,0),IFERROR(MATCH(LEFT(T193,3),'Referência LC 214'!$N$6:$N$967,0),"")))))))))</f>
        <v/>
      </c>
    </row>
    <row r="194" customFormat="false" ht="15" hidden="false" customHeight="false" outlineLevel="0" collapsed="false">
      <c r="A194" s="23"/>
      <c r="B194" s="24"/>
      <c r="C194" s="25"/>
      <c r="D194" s="23"/>
      <c r="E194" s="23"/>
      <c r="F194" s="25"/>
      <c r="G194" s="26" t="str">
        <f aca="false">IF(T194="","",SUMPRODUCT(--(LEFT(T194,LEN('Referência LC 214'!$N$6:$N$967))='Referência LC 214'!$N$6:$N$967)))</f>
        <v/>
      </c>
      <c r="H194" s="27" t="str">
        <f aca="false">IF(T194="","",IF(U194="","000001",INDEX('Referência LC 214'!$I$6:$I$967,U194)))</f>
        <v/>
      </c>
      <c r="I194" s="28" t="str">
        <f aca="false">IF(T194="","",IF(U194="","Sem anexo: tributação integral",INDEX('Referência LC 214'!$H$6:$H$967,U194)))</f>
        <v/>
      </c>
      <c r="J194" s="29" t="str">
        <f aca="false">IF(T194="","",IF(U194="",0,INDEX('Referência LC 214'!$K$6:$K$967,U194)))</f>
        <v/>
      </c>
      <c r="K194" s="28" t="str">
        <f aca="false">IF(OR(T194="",U194=""),"","Anexo "&amp;INDEX('Referência LC 214'!$E$6:$E$967,U194)&amp;", item "&amp;INDEX('Referência LC 214'!$F$6:$F$967,U194)&amp;": "&amp;INDEX('Referência LC 214'!$G$6:$G$967,U194))</f>
        <v/>
      </c>
      <c r="L194" s="28" t="str">
        <f aca="false">IF(OR(T194="",U194=""),"",IF(INDEX('Referência LC 214'!$L$6:$L$967,U194)&amp;""&lt;&gt;"",INDEX('Referência LC 214'!$L$6:$L$967,U194)&amp;"",IF(SUMPRODUCT((LEFT(T194,LEN('Referência LC 214'!$N$6:$N$967))='Referência LC 214'!$N$6:$N$967)*('Referência LC 214'!$L$6:$L$967&lt;&gt;""))&gt;0,"Há outro tratamento só para alguns compradores (ex.: órgão público/SUS) — veja a referência","")))</f>
        <v/>
      </c>
      <c r="M194" s="30" t="str">
        <f aca="false">IF(T194="","",IF(AND(C194&lt;&gt;"Serviço",LEN(T194)-1&lt;&gt;8),"NCM deve ter 8 dígitos",IF(AND(C194="Serviço",LEN(T194)-1&lt;&gt;9),"NBS deve ter 9 dígitos",IF(L194&lt;&gt;"","Benefício depende do comprador: confira a coluna N",IF(G194&gt;1,"Mais de uma regra: confira o item do anexo na referência",IF(G194=0,"Sem redução na LC 214","Confira se o produto é o descrito no item"))))))</f>
        <v/>
      </c>
      <c r="N194" s="25"/>
      <c r="O194" s="23"/>
      <c r="P194" s="25"/>
      <c r="Q194" s="25"/>
      <c r="R194" s="31"/>
      <c r="S194" s="24"/>
      <c r="T194" s="4" t="str">
        <f aca="false">IF(D194="","",IF(C194="Serviço","S","P")&amp;SUBSTITUTE(SUBSTITUTE(SUBSTITUTE(D194,".",""),"-","")," ",""))</f>
        <v/>
      </c>
      <c r="U194" s="4" t="str">
        <f aca="false">IF(T194="","",IFERROR(MATCH(LEFT(T194,10),'Referência LC 214'!$N$6:$N$967,0),IFERROR(MATCH(LEFT(T194,9),'Referência LC 214'!$N$6:$N$967,0),IFERROR(MATCH(LEFT(T194,8),'Referência LC 214'!$N$6:$N$967,0),IFERROR(MATCH(LEFT(T194,7),'Referência LC 214'!$N$6:$N$967,0),IFERROR(MATCH(LEFT(T194,6),'Referência LC 214'!$N$6:$N$967,0),IFERROR(MATCH(LEFT(T194,5),'Referência LC 214'!$N$6:$N$967,0),IFERROR(MATCH(LEFT(T194,4),'Referência LC 214'!$N$6:$N$967,0),IFERROR(MATCH(LEFT(T194,3),'Referência LC 214'!$N$6:$N$967,0),"")))))))))</f>
        <v/>
      </c>
    </row>
    <row r="195" customFormat="false" ht="15" hidden="false" customHeight="false" outlineLevel="0" collapsed="false">
      <c r="A195" s="23"/>
      <c r="B195" s="24"/>
      <c r="C195" s="25"/>
      <c r="D195" s="23"/>
      <c r="E195" s="23"/>
      <c r="F195" s="25"/>
      <c r="G195" s="26" t="str">
        <f aca="false">IF(T195="","",SUMPRODUCT(--(LEFT(T195,LEN('Referência LC 214'!$N$6:$N$967))='Referência LC 214'!$N$6:$N$967)))</f>
        <v/>
      </c>
      <c r="H195" s="27" t="str">
        <f aca="false">IF(T195="","",IF(U195="","000001",INDEX('Referência LC 214'!$I$6:$I$967,U195)))</f>
        <v/>
      </c>
      <c r="I195" s="28" t="str">
        <f aca="false">IF(T195="","",IF(U195="","Sem anexo: tributação integral",INDEX('Referência LC 214'!$H$6:$H$967,U195)))</f>
        <v/>
      </c>
      <c r="J195" s="29" t="str">
        <f aca="false">IF(T195="","",IF(U195="",0,INDEX('Referência LC 214'!$K$6:$K$967,U195)))</f>
        <v/>
      </c>
      <c r="K195" s="28" t="str">
        <f aca="false">IF(OR(T195="",U195=""),"","Anexo "&amp;INDEX('Referência LC 214'!$E$6:$E$967,U195)&amp;", item "&amp;INDEX('Referência LC 214'!$F$6:$F$967,U195)&amp;": "&amp;INDEX('Referência LC 214'!$G$6:$G$967,U195))</f>
        <v/>
      </c>
      <c r="L195" s="28" t="str">
        <f aca="false">IF(OR(T195="",U195=""),"",IF(INDEX('Referência LC 214'!$L$6:$L$967,U195)&amp;""&lt;&gt;"",INDEX('Referência LC 214'!$L$6:$L$967,U195)&amp;"",IF(SUMPRODUCT((LEFT(T195,LEN('Referência LC 214'!$N$6:$N$967))='Referência LC 214'!$N$6:$N$967)*('Referência LC 214'!$L$6:$L$967&lt;&gt;""))&gt;0,"Há outro tratamento só para alguns compradores (ex.: órgão público/SUS) — veja a referência","")))</f>
        <v/>
      </c>
      <c r="M195" s="30" t="str">
        <f aca="false">IF(T195="","",IF(AND(C195&lt;&gt;"Serviço",LEN(T195)-1&lt;&gt;8),"NCM deve ter 8 dígitos",IF(AND(C195="Serviço",LEN(T195)-1&lt;&gt;9),"NBS deve ter 9 dígitos",IF(L195&lt;&gt;"","Benefício depende do comprador: confira a coluna N",IF(G195&gt;1,"Mais de uma regra: confira o item do anexo na referência",IF(G195=0,"Sem redução na LC 214","Confira se o produto é o descrito no item"))))))</f>
        <v/>
      </c>
      <c r="N195" s="25"/>
      <c r="O195" s="23"/>
      <c r="P195" s="25"/>
      <c r="Q195" s="25"/>
      <c r="R195" s="31"/>
      <c r="S195" s="24"/>
      <c r="T195" s="4" t="str">
        <f aca="false">IF(D195="","",IF(C195="Serviço","S","P")&amp;SUBSTITUTE(SUBSTITUTE(SUBSTITUTE(D195,".",""),"-","")," ",""))</f>
        <v/>
      </c>
      <c r="U195" s="4" t="str">
        <f aca="false">IF(T195="","",IFERROR(MATCH(LEFT(T195,10),'Referência LC 214'!$N$6:$N$967,0),IFERROR(MATCH(LEFT(T195,9),'Referência LC 214'!$N$6:$N$967,0),IFERROR(MATCH(LEFT(T195,8),'Referência LC 214'!$N$6:$N$967,0),IFERROR(MATCH(LEFT(T195,7),'Referência LC 214'!$N$6:$N$967,0),IFERROR(MATCH(LEFT(T195,6),'Referência LC 214'!$N$6:$N$967,0),IFERROR(MATCH(LEFT(T195,5),'Referência LC 214'!$N$6:$N$967,0),IFERROR(MATCH(LEFT(T195,4),'Referência LC 214'!$N$6:$N$967,0),IFERROR(MATCH(LEFT(T195,3),'Referência LC 214'!$N$6:$N$967,0),"")))))))))</f>
        <v/>
      </c>
    </row>
    <row r="196" customFormat="false" ht="15" hidden="false" customHeight="false" outlineLevel="0" collapsed="false">
      <c r="A196" s="23"/>
      <c r="B196" s="24"/>
      <c r="C196" s="25"/>
      <c r="D196" s="23"/>
      <c r="E196" s="23"/>
      <c r="F196" s="25"/>
      <c r="G196" s="26" t="str">
        <f aca="false">IF(T196="","",SUMPRODUCT(--(LEFT(T196,LEN('Referência LC 214'!$N$6:$N$967))='Referência LC 214'!$N$6:$N$967)))</f>
        <v/>
      </c>
      <c r="H196" s="27" t="str">
        <f aca="false">IF(T196="","",IF(U196="","000001",INDEX('Referência LC 214'!$I$6:$I$967,U196)))</f>
        <v/>
      </c>
      <c r="I196" s="28" t="str">
        <f aca="false">IF(T196="","",IF(U196="","Sem anexo: tributação integral",INDEX('Referência LC 214'!$H$6:$H$967,U196)))</f>
        <v/>
      </c>
      <c r="J196" s="29" t="str">
        <f aca="false">IF(T196="","",IF(U196="",0,INDEX('Referência LC 214'!$K$6:$K$967,U196)))</f>
        <v/>
      </c>
      <c r="K196" s="28" t="str">
        <f aca="false">IF(OR(T196="",U196=""),"","Anexo "&amp;INDEX('Referência LC 214'!$E$6:$E$967,U196)&amp;", item "&amp;INDEX('Referência LC 214'!$F$6:$F$967,U196)&amp;": "&amp;INDEX('Referência LC 214'!$G$6:$G$967,U196))</f>
        <v/>
      </c>
      <c r="L196" s="28" t="str">
        <f aca="false">IF(OR(T196="",U196=""),"",IF(INDEX('Referência LC 214'!$L$6:$L$967,U196)&amp;""&lt;&gt;"",INDEX('Referência LC 214'!$L$6:$L$967,U196)&amp;"",IF(SUMPRODUCT((LEFT(T196,LEN('Referência LC 214'!$N$6:$N$967))='Referência LC 214'!$N$6:$N$967)*('Referência LC 214'!$L$6:$L$967&lt;&gt;""))&gt;0,"Há outro tratamento só para alguns compradores (ex.: órgão público/SUS) — veja a referência","")))</f>
        <v/>
      </c>
      <c r="M196" s="30" t="str">
        <f aca="false">IF(T196="","",IF(AND(C196&lt;&gt;"Serviço",LEN(T196)-1&lt;&gt;8),"NCM deve ter 8 dígitos",IF(AND(C196="Serviço",LEN(T196)-1&lt;&gt;9),"NBS deve ter 9 dígitos",IF(L196&lt;&gt;"","Benefício depende do comprador: confira a coluna N",IF(G196&gt;1,"Mais de uma regra: confira o item do anexo na referência",IF(G196=0,"Sem redução na LC 214","Confira se o produto é o descrito no item"))))))</f>
        <v/>
      </c>
      <c r="N196" s="25"/>
      <c r="O196" s="23"/>
      <c r="P196" s="25"/>
      <c r="Q196" s="25"/>
      <c r="R196" s="31"/>
      <c r="S196" s="24"/>
      <c r="T196" s="4" t="str">
        <f aca="false">IF(D196="","",IF(C196="Serviço","S","P")&amp;SUBSTITUTE(SUBSTITUTE(SUBSTITUTE(D196,".",""),"-","")," ",""))</f>
        <v/>
      </c>
      <c r="U196" s="4" t="str">
        <f aca="false">IF(T196="","",IFERROR(MATCH(LEFT(T196,10),'Referência LC 214'!$N$6:$N$967,0),IFERROR(MATCH(LEFT(T196,9),'Referência LC 214'!$N$6:$N$967,0),IFERROR(MATCH(LEFT(T196,8),'Referência LC 214'!$N$6:$N$967,0),IFERROR(MATCH(LEFT(T196,7),'Referência LC 214'!$N$6:$N$967,0),IFERROR(MATCH(LEFT(T196,6),'Referência LC 214'!$N$6:$N$967,0),IFERROR(MATCH(LEFT(T196,5),'Referência LC 214'!$N$6:$N$967,0),IFERROR(MATCH(LEFT(T196,4),'Referência LC 214'!$N$6:$N$967,0),IFERROR(MATCH(LEFT(T196,3),'Referência LC 214'!$N$6:$N$967,0),"")))))))))</f>
        <v/>
      </c>
    </row>
    <row r="197" customFormat="false" ht="15" hidden="false" customHeight="false" outlineLevel="0" collapsed="false">
      <c r="A197" s="23"/>
      <c r="B197" s="24"/>
      <c r="C197" s="25"/>
      <c r="D197" s="23"/>
      <c r="E197" s="23"/>
      <c r="F197" s="25"/>
      <c r="G197" s="26" t="str">
        <f aca="false">IF(T197="","",SUMPRODUCT(--(LEFT(T197,LEN('Referência LC 214'!$N$6:$N$967))='Referência LC 214'!$N$6:$N$967)))</f>
        <v/>
      </c>
      <c r="H197" s="27" t="str">
        <f aca="false">IF(T197="","",IF(U197="","000001",INDEX('Referência LC 214'!$I$6:$I$967,U197)))</f>
        <v/>
      </c>
      <c r="I197" s="28" t="str">
        <f aca="false">IF(T197="","",IF(U197="","Sem anexo: tributação integral",INDEX('Referência LC 214'!$H$6:$H$967,U197)))</f>
        <v/>
      </c>
      <c r="J197" s="29" t="str">
        <f aca="false">IF(T197="","",IF(U197="",0,INDEX('Referência LC 214'!$K$6:$K$967,U197)))</f>
        <v/>
      </c>
      <c r="K197" s="28" t="str">
        <f aca="false">IF(OR(T197="",U197=""),"","Anexo "&amp;INDEX('Referência LC 214'!$E$6:$E$967,U197)&amp;", item "&amp;INDEX('Referência LC 214'!$F$6:$F$967,U197)&amp;": "&amp;INDEX('Referência LC 214'!$G$6:$G$967,U197))</f>
        <v/>
      </c>
      <c r="L197" s="28" t="str">
        <f aca="false">IF(OR(T197="",U197=""),"",IF(INDEX('Referência LC 214'!$L$6:$L$967,U197)&amp;""&lt;&gt;"",INDEX('Referência LC 214'!$L$6:$L$967,U197)&amp;"",IF(SUMPRODUCT((LEFT(T197,LEN('Referência LC 214'!$N$6:$N$967))='Referência LC 214'!$N$6:$N$967)*('Referência LC 214'!$L$6:$L$967&lt;&gt;""))&gt;0,"Há outro tratamento só para alguns compradores (ex.: órgão público/SUS) — veja a referência","")))</f>
        <v/>
      </c>
      <c r="M197" s="30" t="str">
        <f aca="false">IF(T197="","",IF(AND(C197&lt;&gt;"Serviço",LEN(T197)-1&lt;&gt;8),"NCM deve ter 8 dígitos",IF(AND(C197="Serviço",LEN(T197)-1&lt;&gt;9),"NBS deve ter 9 dígitos",IF(L197&lt;&gt;"","Benefício depende do comprador: confira a coluna N",IF(G197&gt;1,"Mais de uma regra: confira o item do anexo na referência",IF(G197=0,"Sem redução na LC 214","Confira se o produto é o descrito no item"))))))</f>
        <v/>
      </c>
      <c r="N197" s="25"/>
      <c r="O197" s="23"/>
      <c r="P197" s="25"/>
      <c r="Q197" s="25"/>
      <c r="R197" s="31"/>
      <c r="S197" s="24"/>
      <c r="T197" s="4" t="str">
        <f aca="false">IF(D197="","",IF(C197="Serviço","S","P")&amp;SUBSTITUTE(SUBSTITUTE(SUBSTITUTE(D197,".",""),"-","")," ",""))</f>
        <v/>
      </c>
      <c r="U197" s="4" t="str">
        <f aca="false">IF(T197="","",IFERROR(MATCH(LEFT(T197,10),'Referência LC 214'!$N$6:$N$967,0),IFERROR(MATCH(LEFT(T197,9),'Referência LC 214'!$N$6:$N$967,0),IFERROR(MATCH(LEFT(T197,8),'Referência LC 214'!$N$6:$N$967,0),IFERROR(MATCH(LEFT(T197,7),'Referência LC 214'!$N$6:$N$967,0),IFERROR(MATCH(LEFT(T197,6),'Referência LC 214'!$N$6:$N$967,0),IFERROR(MATCH(LEFT(T197,5),'Referência LC 214'!$N$6:$N$967,0),IFERROR(MATCH(LEFT(T197,4),'Referência LC 214'!$N$6:$N$967,0),IFERROR(MATCH(LEFT(T197,3),'Referência LC 214'!$N$6:$N$967,0),"")))))))))</f>
        <v/>
      </c>
    </row>
    <row r="198" customFormat="false" ht="15" hidden="false" customHeight="false" outlineLevel="0" collapsed="false">
      <c r="A198" s="23"/>
      <c r="B198" s="24"/>
      <c r="C198" s="25"/>
      <c r="D198" s="23"/>
      <c r="E198" s="23"/>
      <c r="F198" s="25"/>
      <c r="G198" s="26" t="str">
        <f aca="false">IF(T198="","",SUMPRODUCT(--(LEFT(T198,LEN('Referência LC 214'!$N$6:$N$967))='Referência LC 214'!$N$6:$N$967)))</f>
        <v/>
      </c>
      <c r="H198" s="27" t="str">
        <f aca="false">IF(T198="","",IF(U198="","000001",INDEX('Referência LC 214'!$I$6:$I$967,U198)))</f>
        <v/>
      </c>
      <c r="I198" s="28" t="str">
        <f aca="false">IF(T198="","",IF(U198="","Sem anexo: tributação integral",INDEX('Referência LC 214'!$H$6:$H$967,U198)))</f>
        <v/>
      </c>
      <c r="J198" s="29" t="str">
        <f aca="false">IF(T198="","",IF(U198="",0,INDEX('Referência LC 214'!$K$6:$K$967,U198)))</f>
        <v/>
      </c>
      <c r="K198" s="28" t="str">
        <f aca="false">IF(OR(T198="",U198=""),"","Anexo "&amp;INDEX('Referência LC 214'!$E$6:$E$967,U198)&amp;", item "&amp;INDEX('Referência LC 214'!$F$6:$F$967,U198)&amp;": "&amp;INDEX('Referência LC 214'!$G$6:$G$967,U198))</f>
        <v/>
      </c>
      <c r="L198" s="28" t="str">
        <f aca="false">IF(OR(T198="",U198=""),"",IF(INDEX('Referência LC 214'!$L$6:$L$967,U198)&amp;""&lt;&gt;"",INDEX('Referência LC 214'!$L$6:$L$967,U198)&amp;"",IF(SUMPRODUCT((LEFT(T198,LEN('Referência LC 214'!$N$6:$N$967))='Referência LC 214'!$N$6:$N$967)*('Referência LC 214'!$L$6:$L$967&lt;&gt;""))&gt;0,"Há outro tratamento só para alguns compradores (ex.: órgão público/SUS) — veja a referência","")))</f>
        <v/>
      </c>
      <c r="M198" s="30" t="str">
        <f aca="false">IF(T198="","",IF(AND(C198&lt;&gt;"Serviço",LEN(T198)-1&lt;&gt;8),"NCM deve ter 8 dígitos",IF(AND(C198="Serviço",LEN(T198)-1&lt;&gt;9),"NBS deve ter 9 dígitos",IF(L198&lt;&gt;"","Benefício depende do comprador: confira a coluna N",IF(G198&gt;1,"Mais de uma regra: confira o item do anexo na referência",IF(G198=0,"Sem redução na LC 214","Confira se o produto é o descrito no item"))))))</f>
        <v/>
      </c>
      <c r="N198" s="25"/>
      <c r="O198" s="23"/>
      <c r="P198" s="25"/>
      <c r="Q198" s="25"/>
      <c r="R198" s="31"/>
      <c r="S198" s="24"/>
      <c r="T198" s="4" t="str">
        <f aca="false">IF(D198="","",IF(C198="Serviço","S","P")&amp;SUBSTITUTE(SUBSTITUTE(SUBSTITUTE(D198,".",""),"-","")," ",""))</f>
        <v/>
      </c>
      <c r="U198" s="4" t="str">
        <f aca="false">IF(T198="","",IFERROR(MATCH(LEFT(T198,10),'Referência LC 214'!$N$6:$N$967,0),IFERROR(MATCH(LEFT(T198,9),'Referência LC 214'!$N$6:$N$967,0),IFERROR(MATCH(LEFT(T198,8),'Referência LC 214'!$N$6:$N$967,0),IFERROR(MATCH(LEFT(T198,7),'Referência LC 214'!$N$6:$N$967,0),IFERROR(MATCH(LEFT(T198,6),'Referência LC 214'!$N$6:$N$967,0),IFERROR(MATCH(LEFT(T198,5),'Referência LC 214'!$N$6:$N$967,0),IFERROR(MATCH(LEFT(T198,4),'Referência LC 214'!$N$6:$N$967,0),IFERROR(MATCH(LEFT(T198,3),'Referência LC 214'!$N$6:$N$967,0),"")))))))))</f>
        <v/>
      </c>
    </row>
    <row r="199" customFormat="false" ht="15" hidden="false" customHeight="false" outlineLevel="0" collapsed="false">
      <c r="A199" s="23"/>
      <c r="B199" s="24"/>
      <c r="C199" s="25"/>
      <c r="D199" s="23"/>
      <c r="E199" s="23"/>
      <c r="F199" s="25"/>
      <c r="G199" s="26" t="str">
        <f aca="false">IF(T199="","",SUMPRODUCT(--(LEFT(T199,LEN('Referência LC 214'!$N$6:$N$967))='Referência LC 214'!$N$6:$N$967)))</f>
        <v/>
      </c>
      <c r="H199" s="27" t="str">
        <f aca="false">IF(T199="","",IF(U199="","000001",INDEX('Referência LC 214'!$I$6:$I$967,U199)))</f>
        <v/>
      </c>
      <c r="I199" s="28" t="str">
        <f aca="false">IF(T199="","",IF(U199="","Sem anexo: tributação integral",INDEX('Referência LC 214'!$H$6:$H$967,U199)))</f>
        <v/>
      </c>
      <c r="J199" s="29" t="str">
        <f aca="false">IF(T199="","",IF(U199="",0,INDEX('Referência LC 214'!$K$6:$K$967,U199)))</f>
        <v/>
      </c>
      <c r="K199" s="28" t="str">
        <f aca="false">IF(OR(T199="",U199=""),"","Anexo "&amp;INDEX('Referência LC 214'!$E$6:$E$967,U199)&amp;", item "&amp;INDEX('Referência LC 214'!$F$6:$F$967,U199)&amp;": "&amp;INDEX('Referência LC 214'!$G$6:$G$967,U199))</f>
        <v/>
      </c>
      <c r="L199" s="28" t="str">
        <f aca="false">IF(OR(T199="",U199=""),"",IF(INDEX('Referência LC 214'!$L$6:$L$967,U199)&amp;""&lt;&gt;"",INDEX('Referência LC 214'!$L$6:$L$967,U199)&amp;"",IF(SUMPRODUCT((LEFT(T199,LEN('Referência LC 214'!$N$6:$N$967))='Referência LC 214'!$N$6:$N$967)*('Referência LC 214'!$L$6:$L$967&lt;&gt;""))&gt;0,"Há outro tratamento só para alguns compradores (ex.: órgão público/SUS) — veja a referência","")))</f>
        <v/>
      </c>
      <c r="M199" s="30" t="str">
        <f aca="false">IF(T199="","",IF(AND(C199&lt;&gt;"Serviço",LEN(T199)-1&lt;&gt;8),"NCM deve ter 8 dígitos",IF(AND(C199="Serviço",LEN(T199)-1&lt;&gt;9),"NBS deve ter 9 dígitos",IF(L199&lt;&gt;"","Benefício depende do comprador: confira a coluna N",IF(G199&gt;1,"Mais de uma regra: confira o item do anexo na referência",IF(G199=0,"Sem redução na LC 214","Confira se o produto é o descrito no item"))))))</f>
        <v/>
      </c>
      <c r="N199" s="25"/>
      <c r="O199" s="23"/>
      <c r="P199" s="25"/>
      <c r="Q199" s="25"/>
      <c r="R199" s="31"/>
      <c r="S199" s="24"/>
      <c r="T199" s="4" t="str">
        <f aca="false">IF(D199="","",IF(C199="Serviço","S","P")&amp;SUBSTITUTE(SUBSTITUTE(SUBSTITUTE(D199,".",""),"-","")," ",""))</f>
        <v/>
      </c>
      <c r="U199" s="4" t="str">
        <f aca="false">IF(T199="","",IFERROR(MATCH(LEFT(T199,10),'Referência LC 214'!$N$6:$N$967,0),IFERROR(MATCH(LEFT(T199,9),'Referência LC 214'!$N$6:$N$967,0),IFERROR(MATCH(LEFT(T199,8),'Referência LC 214'!$N$6:$N$967,0),IFERROR(MATCH(LEFT(T199,7),'Referência LC 214'!$N$6:$N$967,0),IFERROR(MATCH(LEFT(T199,6),'Referência LC 214'!$N$6:$N$967,0),IFERROR(MATCH(LEFT(T199,5),'Referência LC 214'!$N$6:$N$967,0),IFERROR(MATCH(LEFT(T199,4),'Referência LC 214'!$N$6:$N$967,0),IFERROR(MATCH(LEFT(T199,3),'Referência LC 214'!$N$6:$N$967,0),"")))))))))</f>
        <v/>
      </c>
    </row>
    <row r="200" customFormat="false" ht="15" hidden="false" customHeight="false" outlineLevel="0" collapsed="false">
      <c r="A200" s="23"/>
      <c r="B200" s="24"/>
      <c r="C200" s="25"/>
      <c r="D200" s="23"/>
      <c r="E200" s="23"/>
      <c r="F200" s="25"/>
      <c r="G200" s="26" t="str">
        <f aca="false">IF(T200="","",SUMPRODUCT(--(LEFT(T200,LEN('Referência LC 214'!$N$6:$N$967))='Referência LC 214'!$N$6:$N$967)))</f>
        <v/>
      </c>
      <c r="H200" s="27" t="str">
        <f aca="false">IF(T200="","",IF(U200="","000001",INDEX('Referência LC 214'!$I$6:$I$967,U200)))</f>
        <v/>
      </c>
      <c r="I200" s="28" t="str">
        <f aca="false">IF(T200="","",IF(U200="","Sem anexo: tributação integral",INDEX('Referência LC 214'!$H$6:$H$967,U200)))</f>
        <v/>
      </c>
      <c r="J200" s="29" t="str">
        <f aca="false">IF(T200="","",IF(U200="",0,INDEX('Referência LC 214'!$K$6:$K$967,U200)))</f>
        <v/>
      </c>
      <c r="K200" s="28" t="str">
        <f aca="false">IF(OR(T200="",U200=""),"","Anexo "&amp;INDEX('Referência LC 214'!$E$6:$E$967,U200)&amp;", item "&amp;INDEX('Referência LC 214'!$F$6:$F$967,U200)&amp;": "&amp;INDEX('Referência LC 214'!$G$6:$G$967,U200))</f>
        <v/>
      </c>
      <c r="L200" s="28" t="str">
        <f aca="false">IF(OR(T200="",U200=""),"",IF(INDEX('Referência LC 214'!$L$6:$L$967,U200)&amp;""&lt;&gt;"",INDEX('Referência LC 214'!$L$6:$L$967,U200)&amp;"",IF(SUMPRODUCT((LEFT(T200,LEN('Referência LC 214'!$N$6:$N$967))='Referência LC 214'!$N$6:$N$967)*('Referência LC 214'!$L$6:$L$967&lt;&gt;""))&gt;0,"Há outro tratamento só para alguns compradores (ex.: órgão público/SUS) — veja a referência","")))</f>
        <v/>
      </c>
      <c r="M200" s="30" t="str">
        <f aca="false">IF(T200="","",IF(AND(C200&lt;&gt;"Serviço",LEN(T200)-1&lt;&gt;8),"NCM deve ter 8 dígitos",IF(AND(C200="Serviço",LEN(T200)-1&lt;&gt;9),"NBS deve ter 9 dígitos",IF(L200&lt;&gt;"","Benefício depende do comprador: confira a coluna N",IF(G200&gt;1,"Mais de uma regra: confira o item do anexo na referência",IF(G200=0,"Sem redução na LC 214","Confira se o produto é o descrito no item"))))))</f>
        <v/>
      </c>
      <c r="N200" s="25"/>
      <c r="O200" s="23"/>
      <c r="P200" s="25"/>
      <c r="Q200" s="25"/>
      <c r="R200" s="31"/>
      <c r="S200" s="24"/>
      <c r="T200" s="4" t="str">
        <f aca="false">IF(D200="","",IF(C200="Serviço","S","P")&amp;SUBSTITUTE(SUBSTITUTE(SUBSTITUTE(D200,".",""),"-","")," ",""))</f>
        <v/>
      </c>
      <c r="U200" s="4" t="str">
        <f aca="false">IF(T200="","",IFERROR(MATCH(LEFT(T200,10),'Referência LC 214'!$N$6:$N$967,0),IFERROR(MATCH(LEFT(T200,9),'Referência LC 214'!$N$6:$N$967,0),IFERROR(MATCH(LEFT(T200,8),'Referência LC 214'!$N$6:$N$967,0),IFERROR(MATCH(LEFT(T200,7),'Referência LC 214'!$N$6:$N$967,0),IFERROR(MATCH(LEFT(T200,6),'Referência LC 214'!$N$6:$N$967,0),IFERROR(MATCH(LEFT(T200,5),'Referência LC 214'!$N$6:$N$967,0),IFERROR(MATCH(LEFT(T200,4),'Referência LC 214'!$N$6:$N$967,0),IFERROR(MATCH(LEFT(T200,3),'Referência LC 214'!$N$6:$N$967,0),"")))))))))</f>
        <v/>
      </c>
    </row>
    <row r="201" customFormat="false" ht="15" hidden="false" customHeight="false" outlineLevel="0" collapsed="false">
      <c r="A201" s="23"/>
      <c r="B201" s="24"/>
      <c r="C201" s="25"/>
      <c r="D201" s="23"/>
      <c r="E201" s="23"/>
      <c r="F201" s="25"/>
      <c r="G201" s="26" t="str">
        <f aca="false">IF(T201="","",SUMPRODUCT(--(LEFT(T201,LEN('Referência LC 214'!$N$6:$N$967))='Referência LC 214'!$N$6:$N$967)))</f>
        <v/>
      </c>
      <c r="H201" s="27" t="str">
        <f aca="false">IF(T201="","",IF(U201="","000001",INDEX('Referência LC 214'!$I$6:$I$967,U201)))</f>
        <v/>
      </c>
      <c r="I201" s="28" t="str">
        <f aca="false">IF(T201="","",IF(U201="","Sem anexo: tributação integral",INDEX('Referência LC 214'!$H$6:$H$967,U201)))</f>
        <v/>
      </c>
      <c r="J201" s="29" t="str">
        <f aca="false">IF(T201="","",IF(U201="",0,INDEX('Referência LC 214'!$K$6:$K$967,U201)))</f>
        <v/>
      </c>
      <c r="K201" s="28" t="str">
        <f aca="false">IF(OR(T201="",U201=""),"","Anexo "&amp;INDEX('Referência LC 214'!$E$6:$E$967,U201)&amp;", item "&amp;INDEX('Referência LC 214'!$F$6:$F$967,U201)&amp;": "&amp;INDEX('Referência LC 214'!$G$6:$G$967,U201))</f>
        <v/>
      </c>
      <c r="L201" s="28" t="str">
        <f aca="false">IF(OR(T201="",U201=""),"",IF(INDEX('Referência LC 214'!$L$6:$L$967,U201)&amp;""&lt;&gt;"",INDEX('Referência LC 214'!$L$6:$L$967,U201)&amp;"",IF(SUMPRODUCT((LEFT(T201,LEN('Referência LC 214'!$N$6:$N$967))='Referência LC 214'!$N$6:$N$967)*('Referência LC 214'!$L$6:$L$967&lt;&gt;""))&gt;0,"Há outro tratamento só para alguns compradores (ex.: órgão público/SUS) — veja a referência","")))</f>
        <v/>
      </c>
      <c r="M201" s="30" t="str">
        <f aca="false">IF(T201="","",IF(AND(C201&lt;&gt;"Serviço",LEN(T201)-1&lt;&gt;8),"NCM deve ter 8 dígitos",IF(AND(C201="Serviço",LEN(T201)-1&lt;&gt;9),"NBS deve ter 9 dígitos",IF(L201&lt;&gt;"","Benefício depende do comprador: confira a coluna N",IF(G201&gt;1,"Mais de uma regra: confira o item do anexo na referência",IF(G201=0,"Sem redução na LC 214","Confira se o produto é o descrito no item"))))))</f>
        <v/>
      </c>
      <c r="N201" s="25"/>
      <c r="O201" s="23"/>
      <c r="P201" s="25"/>
      <c r="Q201" s="25"/>
      <c r="R201" s="31"/>
      <c r="S201" s="24"/>
      <c r="T201" s="4" t="str">
        <f aca="false">IF(D201="","",IF(C201="Serviço","S","P")&amp;SUBSTITUTE(SUBSTITUTE(SUBSTITUTE(D201,".",""),"-","")," ",""))</f>
        <v/>
      </c>
      <c r="U201" s="4" t="str">
        <f aca="false">IF(T201="","",IFERROR(MATCH(LEFT(T201,10),'Referência LC 214'!$N$6:$N$967,0),IFERROR(MATCH(LEFT(T201,9),'Referência LC 214'!$N$6:$N$967,0),IFERROR(MATCH(LEFT(T201,8),'Referência LC 214'!$N$6:$N$967,0),IFERROR(MATCH(LEFT(T201,7),'Referência LC 214'!$N$6:$N$967,0),IFERROR(MATCH(LEFT(T201,6),'Referência LC 214'!$N$6:$N$967,0),IFERROR(MATCH(LEFT(T201,5),'Referência LC 214'!$N$6:$N$967,0),IFERROR(MATCH(LEFT(T201,4),'Referência LC 214'!$N$6:$N$967,0),IFERROR(MATCH(LEFT(T201,3),'Referência LC 214'!$N$6:$N$967,0),"")))))))))</f>
        <v/>
      </c>
    </row>
    <row r="202" customFormat="false" ht="15" hidden="false" customHeight="false" outlineLevel="0" collapsed="false">
      <c r="A202" s="23"/>
      <c r="B202" s="24"/>
      <c r="C202" s="25"/>
      <c r="D202" s="23"/>
      <c r="E202" s="23"/>
      <c r="F202" s="25"/>
      <c r="G202" s="26" t="str">
        <f aca="false">IF(T202="","",SUMPRODUCT(--(LEFT(T202,LEN('Referência LC 214'!$N$6:$N$967))='Referência LC 214'!$N$6:$N$967)))</f>
        <v/>
      </c>
      <c r="H202" s="27" t="str">
        <f aca="false">IF(T202="","",IF(U202="","000001",INDEX('Referência LC 214'!$I$6:$I$967,U202)))</f>
        <v/>
      </c>
      <c r="I202" s="28" t="str">
        <f aca="false">IF(T202="","",IF(U202="","Sem anexo: tributação integral",INDEX('Referência LC 214'!$H$6:$H$967,U202)))</f>
        <v/>
      </c>
      <c r="J202" s="29" t="str">
        <f aca="false">IF(T202="","",IF(U202="",0,INDEX('Referência LC 214'!$K$6:$K$967,U202)))</f>
        <v/>
      </c>
      <c r="K202" s="28" t="str">
        <f aca="false">IF(OR(T202="",U202=""),"","Anexo "&amp;INDEX('Referência LC 214'!$E$6:$E$967,U202)&amp;", item "&amp;INDEX('Referência LC 214'!$F$6:$F$967,U202)&amp;": "&amp;INDEX('Referência LC 214'!$G$6:$G$967,U202))</f>
        <v/>
      </c>
      <c r="L202" s="28" t="str">
        <f aca="false">IF(OR(T202="",U202=""),"",IF(INDEX('Referência LC 214'!$L$6:$L$967,U202)&amp;""&lt;&gt;"",INDEX('Referência LC 214'!$L$6:$L$967,U202)&amp;"",IF(SUMPRODUCT((LEFT(T202,LEN('Referência LC 214'!$N$6:$N$967))='Referência LC 214'!$N$6:$N$967)*('Referência LC 214'!$L$6:$L$967&lt;&gt;""))&gt;0,"Há outro tratamento só para alguns compradores (ex.: órgão público/SUS) — veja a referência","")))</f>
        <v/>
      </c>
      <c r="M202" s="30" t="str">
        <f aca="false">IF(T202="","",IF(AND(C202&lt;&gt;"Serviço",LEN(T202)-1&lt;&gt;8),"NCM deve ter 8 dígitos",IF(AND(C202="Serviço",LEN(T202)-1&lt;&gt;9),"NBS deve ter 9 dígitos",IF(L202&lt;&gt;"","Benefício depende do comprador: confira a coluna N",IF(G202&gt;1,"Mais de uma regra: confira o item do anexo na referência",IF(G202=0,"Sem redução na LC 214","Confira se o produto é o descrito no item"))))))</f>
        <v/>
      </c>
      <c r="N202" s="25"/>
      <c r="O202" s="23"/>
      <c r="P202" s="25"/>
      <c r="Q202" s="25"/>
      <c r="R202" s="31"/>
      <c r="S202" s="24"/>
      <c r="T202" s="4" t="str">
        <f aca="false">IF(D202="","",IF(C202="Serviço","S","P")&amp;SUBSTITUTE(SUBSTITUTE(SUBSTITUTE(D202,".",""),"-","")," ",""))</f>
        <v/>
      </c>
      <c r="U202" s="4" t="str">
        <f aca="false">IF(T202="","",IFERROR(MATCH(LEFT(T202,10),'Referência LC 214'!$N$6:$N$967,0),IFERROR(MATCH(LEFT(T202,9),'Referência LC 214'!$N$6:$N$967,0),IFERROR(MATCH(LEFT(T202,8),'Referência LC 214'!$N$6:$N$967,0),IFERROR(MATCH(LEFT(T202,7),'Referência LC 214'!$N$6:$N$967,0),IFERROR(MATCH(LEFT(T202,6),'Referência LC 214'!$N$6:$N$967,0),IFERROR(MATCH(LEFT(T202,5),'Referência LC 214'!$N$6:$N$967,0),IFERROR(MATCH(LEFT(T202,4),'Referência LC 214'!$N$6:$N$967,0),IFERROR(MATCH(LEFT(T202,3),'Referência LC 214'!$N$6:$N$967,0),"")))))))))</f>
        <v/>
      </c>
    </row>
    <row r="203" customFormat="false" ht="15" hidden="false" customHeight="false" outlineLevel="0" collapsed="false">
      <c r="A203" s="23"/>
      <c r="B203" s="24"/>
      <c r="C203" s="25"/>
      <c r="D203" s="23"/>
      <c r="E203" s="23"/>
      <c r="F203" s="25"/>
      <c r="G203" s="26" t="str">
        <f aca="false">IF(T203="","",SUMPRODUCT(--(LEFT(T203,LEN('Referência LC 214'!$N$6:$N$967))='Referência LC 214'!$N$6:$N$967)))</f>
        <v/>
      </c>
      <c r="H203" s="27" t="str">
        <f aca="false">IF(T203="","",IF(U203="","000001",INDEX('Referência LC 214'!$I$6:$I$967,U203)))</f>
        <v/>
      </c>
      <c r="I203" s="28" t="str">
        <f aca="false">IF(T203="","",IF(U203="","Sem anexo: tributação integral",INDEX('Referência LC 214'!$H$6:$H$967,U203)))</f>
        <v/>
      </c>
      <c r="J203" s="29" t="str">
        <f aca="false">IF(T203="","",IF(U203="",0,INDEX('Referência LC 214'!$K$6:$K$967,U203)))</f>
        <v/>
      </c>
      <c r="K203" s="28" t="str">
        <f aca="false">IF(OR(T203="",U203=""),"","Anexo "&amp;INDEX('Referência LC 214'!$E$6:$E$967,U203)&amp;", item "&amp;INDEX('Referência LC 214'!$F$6:$F$967,U203)&amp;": "&amp;INDEX('Referência LC 214'!$G$6:$G$967,U203))</f>
        <v/>
      </c>
      <c r="L203" s="28" t="str">
        <f aca="false">IF(OR(T203="",U203=""),"",IF(INDEX('Referência LC 214'!$L$6:$L$967,U203)&amp;""&lt;&gt;"",INDEX('Referência LC 214'!$L$6:$L$967,U203)&amp;"",IF(SUMPRODUCT((LEFT(T203,LEN('Referência LC 214'!$N$6:$N$967))='Referência LC 214'!$N$6:$N$967)*('Referência LC 214'!$L$6:$L$967&lt;&gt;""))&gt;0,"Há outro tratamento só para alguns compradores (ex.: órgão público/SUS) — veja a referência","")))</f>
        <v/>
      </c>
      <c r="M203" s="30" t="str">
        <f aca="false">IF(T203="","",IF(AND(C203&lt;&gt;"Serviço",LEN(T203)-1&lt;&gt;8),"NCM deve ter 8 dígitos",IF(AND(C203="Serviço",LEN(T203)-1&lt;&gt;9),"NBS deve ter 9 dígitos",IF(L203&lt;&gt;"","Benefício depende do comprador: confira a coluna N",IF(G203&gt;1,"Mais de uma regra: confira o item do anexo na referência",IF(G203=0,"Sem redução na LC 214","Confira se o produto é o descrito no item"))))))</f>
        <v/>
      </c>
      <c r="N203" s="25"/>
      <c r="O203" s="23"/>
      <c r="P203" s="25"/>
      <c r="Q203" s="25"/>
      <c r="R203" s="31"/>
      <c r="S203" s="24"/>
      <c r="T203" s="4" t="str">
        <f aca="false">IF(D203="","",IF(C203="Serviço","S","P")&amp;SUBSTITUTE(SUBSTITUTE(SUBSTITUTE(D203,".",""),"-","")," ",""))</f>
        <v/>
      </c>
      <c r="U203" s="4" t="str">
        <f aca="false">IF(T203="","",IFERROR(MATCH(LEFT(T203,10),'Referência LC 214'!$N$6:$N$967,0),IFERROR(MATCH(LEFT(T203,9),'Referência LC 214'!$N$6:$N$967,0),IFERROR(MATCH(LEFT(T203,8),'Referência LC 214'!$N$6:$N$967,0),IFERROR(MATCH(LEFT(T203,7),'Referência LC 214'!$N$6:$N$967,0),IFERROR(MATCH(LEFT(T203,6),'Referência LC 214'!$N$6:$N$967,0),IFERROR(MATCH(LEFT(T203,5),'Referência LC 214'!$N$6:$N$967,0),IFERROR(MATCH(LEFT(T203,4),'Referência LC 214'!$N$6:$N$967,0),IFERROR(MATCH(LEFT(T203,3),'Referência LC 214'!$N$6:$N$967,0),"")))))))))</f>
        <v/>
      </c>
    </row>
    <row r="204" customFormat="false" ht="15" hidden="false" customHeight="false" outlineLevel="0" collapsed="false">
      <c r="A204" s="23"/>
      <c r="B204" s="24"/>
      <c r="C204" s="25"/>
      <c r="D204" s="23"/>
      <c r="E204" s="23"/>
      <c r="F204" s="25"/>
      <c r="G204" s="26" t="str">
        <f aca="false">IF(T204="","",SUMPRODUCT(--(LEFT(T204,LEN('Referência LC 214'!$N$6:$N$967))='Referência LC 214'!$N$6:$N$967)))</f>
        <v/>
      </c>
      <c r="H204" s="27" t="str">
        <f aca="false">IF(T204="","",IF(U204="","000001",INDEX('Referência LC 214'!$I$6:$I$967,U204)))</f>
        <v/>
      </c>
      <c r="I204" s="28" t="str">
        <f aca="false">IF(T204="","",IF(U204="","Sem anexo: tributação integral",INDEX('Referência LC 214'!$H$6:$H$967,U204)))</f>
        <v/>
      </c>
      <c r="J204" s="29" t="str">
        <f aca="false">IF(T204="","",IF(U204="",0,INDEX('Referência LC 214'!$K$6:$K$967,U204)))</f>
        <v/>
      </c>
      <c r="K204" s="28" t="str">
        <f aca="false">IF(OR(T204="",U204=""),"","Anexo "&amp;INDEX('Referência LC 214'!$E$6:$E$967,U204)&amp;", item "&amp;INDEX('Referência LC 214'!$F$6:$F$967,U204)&amp;": "&amp;INDEX('Referência LC 214'!$G$6:$G$967,U204))</f>
        <v/>
      </c>
      <c r="L204" s="28" t="str">
        <f aca="false">IF(OR(T204="",U204=""),"",IF(INDEX('Referência LC 214'!$L$6:$L$967,U204)&amp;""&lt;&gt;"",INDEX('Referência LC 214'!$L$6:$L$967,U204)&amp;"",IF(SUMPRODUCT((LEFT(T204,LEN('Referência LC 214'!$N$6:$N$967))='Referência LC 214'!$N$6:$N$967)*('Referência LC 214'!$L$6:$L$967&lt;&gt;""))&gt;0,"Há outro tratamento só para alguns compradores (ex.: órgão público/SUS) — veja a referência","")))</f>
        <v/>
      </c>
      <c r="M204" s="30" t="str">
        <f aca="false">IF(T204="","",IF(AND(C204&lt;&gt;"Serviço",LEN(T204)-1&lt;&gt;8),"NCM deve ter 8 dígitos",IF(AND(C204="Serviço",LEN(T204)-1&lt;&gt;9),"NBS deve ter 9 dígitos",IF(L204&lt;&gt;"","Benefício depende do comprador: confira a coluna N",IF(G204&gt;1,"Mais de uma regra: confira o item do anexo na referência",IF(G204=0,"Sem redução na LC 214","Confira se o produto é o descrito no item"))))))</f>
        <v/>
      </c>
      <c r="N204" s="25"/>
      <c r="O204" s="23"/>
      <c r="P204" s="25"/>
      <c r="Q204" s="25"/>
      <c r="R204" s="31"/>
      <c r="S204" s="24"/>
      <c r="T204" s="4" t="str">
        <f aca="false">IF(D204="","",IF(C204="Serviço","S","P")&amp;SUBSTITUTE(SUBSTITUTE(SUBSTITUTE(D204,".",""),"-","")," ",""))</f>
        <v/>
      </c>
      <c r="U204" s="4" t="str">
        <f aca="false">IF(T204="","",IFERROR(MATCH(LEFT(T204,10),'Referência LC 214'!$N$6:$N$967,0),IFERROR(MATCH(LEFT(T204,9),'Referência LC 214'!$N$6:$N$967,0),IFERROR(MATCH(LEFT(T204,8),'Referência LC 214'!$N$6:$N$967,0),IFERROR(MATCH(LEFT(T204,7),'Referência LC 214'!$N$6:$N$967,0),IFERROR(MATCH(LEFT(T204,6),'Referência LC 214'!$N$6:$N$967,0),IFERROR(MATCH(LEFT(T204,5),'Referência LC 214'!$N$6:$N$967,0),IFERROR(MATCH(LEFT(T204,4),'Referência LC 214'!$N$6:$N$967,0),IFERROR(MATCH(LEFT(T204,3),'Referência LC 214'!$N$6:$N$967,0),"")))))))))</f>
        <v/>
      </c>
    </row>
    <row r="205" customFormat="false" ht="15" hidden="false" customHeight="false" outlineLevel="0" collapsed="false">
      <c r="A205" s="23"/>
      <c r="B205" s="24"/>
      <c r="C205" s="25"/>
      <c r="D205" s="23"/>
      <c r="E205" s="23"/>
      <c r="F205" s="25"/>
      <c r="G205" s="26" t="str">
        <f aca="false">IF(T205="","",SUMPRODUCT(--(LEFT(T205,LEN('Referência LC 214'!$N$6:$N$967))='Referência LC 214'!$N$6:$N$967)))</f>
        <v/>
      </c>
      <c r="H205" s="27" t="str">
        <f aca="false">IF(T205="","",IF(U205="","000001",INDEX('Referência LC 214'!$I$6:$I$967,U205)))</f>
        <v/>
      </c>
      <c r="I205" s="28" t="str">
        <f aca="false">IF(T205="","",IF(U205="","Sem anexo: tributação integral",INDEX('Referência LC 214'!$H$6:$H$967,U205)))</f>
        <v/>
      </c>
      <c r="J205" s="29" t="str">
        <f aca="false">IF(T205="","",IF(U205="",0,INDEX('Referência LC 214'!$K$6:$K$967,U205)))</f>
        <v/>
      </c>
      <c r="K205" s="28" t="str">
        <f aca="false">IF(OR(T205="",U205=""),"","Anexo "&amp;INDEX('Referência LC 214'!$E$6:$E$967,U205)&amp;", item "&amp;INDEX('Referência LC 214'!$F$6:$F$967,U205)&amp;": "&amp;INDEX('Referência LC 214'!$G$6:$G$967,U205))</f>
        <v/>
      </c>
      <c r="L205" s="28" t="str">
        <f aca="false">IF(OR(T205="",U205=""),"",IF(INDEX('Referência LC 214'!$L$6:$L$967,U205)&amp;""&lt;&gt;"",INDEX('Referência LC 214'!$L$6:$L$967,U205)&amp;"",IF(SUMPRODUCT((LEFT(T205,LEN('Referência LC 214'!$N$6:$N$967))='Referência LC 214'!$N$6:$N$967)*('Referência LC 214'!$L$6:$L$967&lt;&gt;""))&gt;0,"Há outro tratamento só para alguns compradores (ex.: órgão público/SUS) — veja a referência","")))</f>
        <v/>
      </c>
      <c r="M205" s="30" t="str">
        <f aca="false">IF(T205="","",IF(AND(C205&lt;&gt;"Serviço",LEN(T205)-1&lt;&gt;8),"NCM deve ter 8 dígitos",IF(AND(C205="Serviço",LEN(T205)-1&lt;&gt;9),"NBS deve ter 9 dígitos",IF(L205&lt;&gt;"","Benefício depende do comprador: confira a coluna N",IF(G205&gt;1,"Mais de uma regra: confira o item do anexo na referência",IF(G205=0,"Sem redução na LC 214","Confira se o produto é o descrito no item"))))))</f>
        <v/>
      </c>
      <c r="N205" s="25"/>
      <c r="O205" s="23"/>
      <c r="P205" s="25"/>
      <c r="Q205" s="25"/>
      <c r="R205" s="31"/>
      <c r="S205" s="24"/>
      <c r="T205" s="4" t="str">
        <f aca="false">IF(D205="","",IF(C205="Serviço","S","P")&amp;SUBSTITUTE(SUBSTITUTE(SUBSTITUTE(D205,".",""),"-","")," ",""))</f>
        <v/>
      </c>
      <c r="U205" s="4" t="str">
        <f aca="false">IF(T205="","",IFERROR(MATCH(LEFT(T205,10),'Referência LC 214'!$N$6:$N$967,0),IFERROR(MATCH(LEFT(T205,9),'Referência LC 214'!$N$6:$N$967,0),IFERROR(MATCH(LEFT(T205,8),'Referência LC 214'!$N$6:$N$967,0),IFERROR(MATCH(LEFT(T205,7),'Referência LC 214'!$N$6:$N$967,0),IFERROR(MATCH(LEFT(T205,6),'Referência LC 214'!$N$6:$N$967,0),IFERROR(MATCH(LEFT(T205,5),'Referência LC 214'!$N$6:$N$967,0),IFERROR(MATCH(LEFT(T205,4),'Referência LC 214'!$N$6:$N$967,0),IFERROR(MATCH(LEFT(T205,3),'Referência LC 214'!$N$6:$N$967,0),"")))))))))</f>
        <v/>
      </c>
    </row>
    <row r="206" customFormat="false" ht="15" hidden="false" customHeight="false" outlineLevel="0" collapsed="false">
      <c r="A206" s="23"/>
      <c r="B206" s="24"/>
      <c r="C206" s="25"/>
      <c r="D206" s="23"/>
      <c r="E206" s="23"/>
      <c r="F206" s="25"/>
      <c r="G206" s="26" t="str">
        <f aca="false">IF(T206="","",SUMPRODUCT(--(LEFT(T206,LEN('Referência LC 214'!$N$6:$N$967))='Referência LC 214'!$N$6:$N$967)))</f>
        <v/>
      </c>
      <c r="H206" s="27" t="str">
        <f aca="false">IF(T206="","",IF(U206="","000001",INDEX('Referência LC 214'!$I$6:$I$967,U206)))</f>
        <v/>
      </c>
      <c r="I206" s="28" t="str">
        <f aca="false">IF(T206="","",IF(U206="","Sem anexo: tributação integral",INDEX('Referência LC 214'!$H$6:$H$967,U206)))</f>
        <v/>
      </c>
      <c r="J206" s="29" t="str">
        <f aca="false">IF(T206="","",IF(U206="",0,INDEX('Referência LC 214'!$K$6:$K$967,U206)))</f>
        <v/>
      </c>
      <c r="K206" s="28" t="str">
        <f aca="false">IF(OR(T206="",U206=""),"","Anexo "&amp;INDEX('Referência LC 214'!$E$6:$E$967,U206)&amp;", item "&amp;INDEX('Referência LC 214'!$F$6:$F$967,U206)&amp;": "&amp;INDEX('Referência LC 214'!$G$6:$G$967,U206))</f>
        <v/>
      </c>
      <c r="L206" s="28" t="str">
        <f aca="false">IF(OR(T206="",U206=""),"",IF(INDEX('Referência LC 214'!$L$6:$L$967,U206)&amp;""&lt;&gt;"",INDEX('Referência LC 214'!$L$6:$L$967,U206)&amp;"",IF(SUMPRODUCT((LEFT(T206,LEN('Referência LC 214'!$N$6:$N$967))='Referência LC 214'!$N$6:$N$967)*('Referência LC 214'!$L$6:$L$967&lt;&gt;""))&gt;0,"Há outro tratamento só para alguns compradores (ex.: órgão público/SUS) — veja a referência","")))</f>
        <v/>
      </c>
      <c r="M206" s="30" t="str">
        <f aca="false">IF(T206="","",IF(AND(C206&lt;&gt;"Serviço",LEN(T206)-1&lt;&gt;8),"NCM deve ter 8 dígitos",IF(AND(C206="Serviço",LEN(T206)-1&lt;&gt;9),"NBS deve ter 9 dígitos",IF(L206&lt;&gt;"","Benefício depende do comprador: confira a coluna N",IF(G206&gt;1,"Mais de uma regra: confira o item do anexo na referência",IF(G206=0,"Sem redução na LC 214","Confira se o produto é o descrito no item"))))))</f>
        <v/>
      </c>
      <c r="N206" s="25"/>
      <c r="O206" s="23"/>
      <c r="P206" s="25"/>
      <c r="Q206" s="25"/>
      <c r="R206" s="31"/>
      <c r="S206" s="24"/>
      <c r="T206" s="4" t="str">
        <f aca="false">IF(D206="","",IF(C206="Serviço","S","P")&amp;SUBSTITUTE(SUBSTITUTE(SUBSTITUTE(D206,".",""),"-","")," ",""))</f>
        <v/>
      </c>
      <c r="U206" s="4" t="str">
        <f aca="false">IF(T206="","",IFERROR(MATCH(LEFT(T206,10),'Referência LC 214'!$N$6:$N$967,0),IFERROR(MATCH(LEFT(T206,9),'Referência LC 214'!$N$6:$N$967,0),IFERROR(MATCH(LEFT(T206,8),'Referência LC 214'!$N$6:$N$967,0),IFERROR(MATCH(LEFT(T206,7),'Referência LC 214'!$N$6:$N$967,0),IFERROR(MATCH(LEFT(T206,6),'Referência LC 214'!$N$6:$N$967,0),IFERROR(MATCH(LEFT(T206,5),'Referência LC 214'!$N$6:$N$967,0),IFERROR(MATCH(LEFT(T206,4),'Referência LC 214'!$N$6:$N$967,0),IFERROR(MATCH(LEFT(T206,3),'Referência LC 214'!$N$6:$N$967,0),"")))))))))</f>
        <v/>
      </c>
    </row>
    <row r="207" customFormat="false" ht="15" hidden="false" customHeight="false" outlineLevel="0" collapsed="false">
      <c r="A207" s="23"/>
      <c r="B207" s="24"/>
      <c r="C207" s="25"/>
      <c r="D207" s="23"/>
      <c r="E207" s="23"/>
      <c r="F207" s="25"/>
      <c r="G207" s="26" t="str">
        <f aca="false">IF(T207="","",SUMPRODUCT(--(LEFT(T207,LEN('Referência LC 214'!$N$6:$N$967))='Referência LC 214'!$N$6:$N$967)))</f>
        <v/>
      </c>
      <c r="H207" s="27" t="str">
        <f aca="false">IF(T207="","",IF(U207="","000001",INDEX('Referência LC 214'!$I$6:$I$967,U207)))</f>
        <v/>
      </c>
      <c r="I207" s="28" t="str">
        <f aca="false">IF(T207="","",IF(U207="","Sem anexo: tributação integral",INDEX('Referência LC 214'!$H$6:$H$967,U207)))</f>
        <v/>
      </c>
      <c r="J207" s="29" t="str">
        <f aca="false">IF(T207="","",IF(U207="",0,INDEX('Referência LC 214'!$K$6:$K$967,U207)))</f>
        <v/>
      </c>
      <c r="K207" s="28" t="str">
        <f aca="false">IF(OR(T207="",U207=""),"","Anexo "&amp;INDEX('Referência LC 214'!$E$6:$E$967,U207)&amp;", item "&amp;INDEX('Referência LC 214'!$F$6:$F$967,U207)&amp;": "&amp;INDEX('Referência LC 214'!$G$6:$G$967,U207))</f>
        <v/>
      </c>
      <c r="L207" s="28" t="str">
        <f aca="false">IF(OR(T207="",U207=""),"",IF(INDEX('Referência LC 214'!$L$6:$L$967,U207)&amp;""&lt;&gt;"",INDEX('Referência LC 214'!$L$6:$L$967,U207)&amp;"",IF(SUMPRODUCT((LEFT(T207,LEN('Referência LC 214'!$N$6:$N$967))='Referência LC 214'!$N$6:$N$967)*('Referência LC 214'!$L$6:$L$967&lt;&gt;""))&gt;0,"Há outro tratamento só para alguns compradores (ex.: órgão público/SUS) — veja a referência","")))</f>
        <v/>
      </c>
      <c r="M207" s="30" t="str">
        <f aca="false">IF(T207="","",IF(AND(C207&lt;&gt;"Serviço",LEN(T207)-1&lt;&gt;8),"NCM deve ter 8 dígitos",IF(AND(C207="Serviço",LEN(T207)-1&lt;&gt;9),"NBS deve ter 9 dígitos",IF(L207&lt;&gt;"","Benefício depende do comprador: confira a coluna N",IF(G207&gt;1,"Mais de uma regra: confira o item do anexo na referência",IF(G207=0,"Sem redução na LC 214","Confira se o produto é o descrito no item"))))))</f>
        <v/>
      </c>
      <c r="N207" s="25"/>
      <c r="O207" s="23"/>
      <c r="P207" s="25"/>
      <c r="Q207" s="25"/>
      <c r="R207" s="31"/>
      <c r="S207" s="24"/>
      <c r="T207" s="4" t="str">
        <f aca="false">IF(D207="","",IF(C207="Serviço","S","P")&amp;SUBSTITUTE(SUBSTITUTE(SUBSTITUTE(D207,".",""),"-","")," ",""))</f>
        <v/>
      </c>
      <c r="U207" s="4" t="str">
        <f aca="false">IF(T207="","",IFERROR(MATCH(LEFT(T207,10),'Referência LC 214'!$N$6:$N$967,0),IFERROR(MATCH(LEFT(T207,9),'Referência LC 214'!$N$6:$N$967,0),IFERROR(MATCH(LEFT(T207,8),'Referência LC 214'!$N$6:$N$967,0),IFERROR(MATCH(LEFT(T207,7),'Referência LC 214'!$N$6:$N$967,0),IFERROR(MATCH(LEFT(T207,6),'Referência LC 214'!$N$6:$N$967,0),IFERROR(MATCH(LEFT(T207,5),'Referência LC 214'!$N$6:$N$967,0),IFERROR(MATCH(LEFT(T207,4),'Referência LC 214'!$N$6:$N$967,0),IFERROR(MATCH(LEFT(T207,3),'Referência LC 214'!$N$6:$N$967,0),"")))))))))</f>
        <v/>
      </c>
    </row>
    <row r="208" customFormat="false" ht="15" hidden="false" customHeight="false" outlineLevel="0" collapsed="false">
      <c r="A208" s="23"/>
      <c r="B208" s="24"/>
      <c r="C208" s="25"/>
      <c r="D208" s="23"/>
      <c r="E208" s="23"/>
      <c r="F208" s="25"/>
      <c r="G208" s="26" t="str">
        <f aca="false">IF(T208="","",SUMPRODUCT(--(LEFT(T208,LEN('Referência LC 214'!$N$6:$N$967))='Referência LC 214'!$N$6:$N$967)))</f>
        <v/>
      </c>
      <c r="H208" s="27" t="str">
        <f aca="false">IF(T208="","",IF(U208="","000001",INDEX('Referência LC 214'!$I$6:$I$967,U208)))</f>
        <v/>
      </c>
      <c r="I208" s="28" t="str">
        <f aca="false">IF(T208="","",IF(U208="","Sem anexo: tributação integral",INDEX('Referência LC 214'!$H$6:$H$967,U208)))</f>
        <v/>
      </c>
      <c r="J208" s="29" t="str">
        <f aca="false">IF(T208="","",IF(U208="",0,INDEX('Referência LC 214'!$K$6:$K$967,U208)))</f>
        <v/>
      </c>
      <c r="K208" s="28" t="str">
        <f aca="false">IF(OR(T208="",U208=""),"","Anexo "&amp;INDEX('Referência LC 214'!$E$6:$E$967,U208)&amp;", item "&amp;INDEX('Referência LC 214'!$F$6:$F$967,U208)&amp;": "&amp;INDEX('Referência LC 214'!$G$6:$G$967,U208))</f>
        <v/>
      </c>
      <c r="L208" s="28" t="str">
        <f aca="false">IF(OR(T208="",U208=""),"",IF(INDEX('Referência LC 214'!$L$6:$L$967,U208)&amp;""&lt;&gt;"",INDEX('Referência LC 214'!$L$6:$L$967,U208)&amp;"",IF(SUMPRODUCT((LEFT(T208,LEN('Referência LC 214'!$N$6:$N$967))='Referência LC 214'!$N$6:$N$967)*('Referência LC 214'!$L$6:$L$967&lt;&gt;""))&gt;0,"Há outro tratamento só para alguns compradores (ex.: órgão público/SUS) — veja a referência","")))</f>
        <v/>
      </c>
      <c r="M208" s="30" t="str">
        <f aca="false">IF(T208="","",IF(AND(C208&lt;&gt;"Serviço",LEN(T208)-1&lt;&gt;8),"NCM deve ter 8 dígitos",IF(AND(C208="Serviço",LEN(T208)-1&lt;&gt;9),"NBS deve ter 9 dígitos",IF(L208&lt;&gt;"","Benefício depende do comprador: confira a coluna N",IF(G208&gt;1,"Mais de uma regra: confira o item do anexo na referência",IF(G208=0,"Sem redução na LC 214","Confira se o produto é o descrito no item"))))))</f>
        <v/>
      </c>
      <c r="N208" s="25"/>
      <c r="O208" s="23"/>
      <c r="P208" s="25"/>
      <c r="Q208" s="25"/>
      <c r="R208" s="31"/>
      <c r="S208" s="24"/>
      <c r="T208" s="4" t="str">
        <f aca="false">IF(D208="","",IF(C208="Serviço","S","P")&amp;SUBSTITUTE(SUBSTITUTE(SUBSTITUTE(D208,".",""),"-","")," ",""))</f>
        <v/>
      </c>
      <c r="U208" s="4" t="str">
        <f aca="false">IF(T208="","",IFERROR(MATCH(LEFT(T208,10),'Referência LC 214'!$N$6:$N$967,0),IFERROR(MATCH(LEFT(T208,9),'Referência LC 214'!$N$6:$N$967,0),IFERROR(MATCH(LEFT(T208,8),'Referência LC 214'!$N$6:$N$967,0),IFERROR(MATCH(LEFT(T208,7),'Referência LC 214'!$N$6:$N$967,0),IFERROR(MATCH(LEFT(T208,6),'Referência LC 214'!$N$6:$N$967,0),IFERROR(MATCH(LEFT(T208,5),'Referência LC 214'!$N$6:$N$967,0),IFERROR(MATCH(LEFT(T208,4),'Referência LC 214'!$N$6:$N$967,0),IFERROR(MATCH(LEFT(T208,3),'Referência LC 214'!$N$6:$N$967,0),"")))))))))</f>
        <v/>
      </c>
    </row>
    <row r="209" customFormat="false" ht="15" hidden="false" customHeight="false" outlineLevel="0" collapsed="false">
      <c r="A209" s="23"/>
      <c r="B209" s="24"/>
      <c r="C209" s="25"/>
      <c r="D209" s="23"/>
      <c r="E209" s="23"/>
      <c r="F209" s="25"/>
      <c r="G209" s="26" t="str">
        <f aca="false">IF(T209="","",SUMPRODUCT(--(LEFT(T209,LEN('Referência LC 214'!$N$6:$N$967))='Referência LC 214'!$N$6:$N$967)))</f>
        <v/>
      </c>
      <c r="H209" s="27" t="str">
        <f aca="false">IF(T209="","",IF(U209="","000001",INDEX('Referência LC 214'!$I$6:$I$967,U209)))</f>
        <v/>
      </c>
      <c r="I209" s="28" t="str">
        <f aca="false">IF(T209="","",IF(U209="","Sem anexo: tributação integral",INDEX('Referência LC 214'!$H$6:$H$967,U209)))</f>
        <v/>
      </c>
      <c r="J209" s="29" t="str">
        <f aca="false">IF(T209="","",IF(U209="",0,INDEX('Referência LC 214'!$K$6:$K$967,U209)))</f>
        <v/>
      </c>
      <c r="K209" s="28" t="str">
        <f aca="false">IF(OR(T209="",U209=""),"","Anexo "&amp;INDEX('Referência LC 214'!$E$6:$E$967,U209)&amp;", item "&amp;INDEX('Referência LC 214'!$F$6:$F$967,U209)&amp;": "&amp;INDEX('Referência LC 214'!$G$6:$G$967,U209))</f>
        <v/>
      </c>
      <c r="L209" s="28" t="str">
        <f aca="false">IF(OR(T209="",U209=""),"",IF(INDEX('Referência LC 214'!$L$6:$L$967,U209)&amp;""&lt;&gt;"",INDEX('Referência LC 214'!$L$6:$L$967,U209)&amp;"",IF(SUMPRODUCT((LEFT(T209,LEN('Referência LC 214'!$N$6:$N$967))='Referência LC 214'!$N$6:$N$967)*('Referência LC 214'!$L$6:$L$967&lt;&gt;""))&gt;0,"Há outro tratamento só para alguns compradores (ex.: órgão público/SUS) — veja a referência","")))</f>
        <v/>
      </c>
      <c r="M209" s="30" t="str">
        <f aca="false">IF(T209="","",IF(AND(C209&lt;&gt;"Serviço",LEN(T209)-1&lt;&gt;8),"NCM deve ter 8 dígitos",IF(AND(C209="Serviço",LEN(T209)-1&lt;&gt;9),"NBS deve ter 9 dígitos",IF(L209&lt;&gt;"","Benefício depende do comprador: confira a coluna N",IF(G209&gt;1,"Mais de uma regra: confira o item do anexo na referência",IF(G209=0,"Sem redução na LC 214","Confira se o produto é o descrito no item"))))))</f>
        <v/>
      </c>
      <c r="N209" s="25"/>
      <c r="O209" s="23"/>
      <c r="P209" s="25"/>
      <c r="Q209" s="25"/>
      <c r="R209" s="31"/>
      <c r="S209" s="24"/>
      <c r="T209" s="4" t="str">
        <f aca="false">IF(D209="","",IF(C209="Serviço","S","P")&amp;SUBSTITUTE(SUBSTITUTE(SUBSTITUTE(D209,".",""),"-","")," ",""))</f>
        <v/>
      </c>
      <c r="U209" s="4" t="str">
        <f aca="false">IF(T209="","",IFERROR(MATCH(LEFT(T209,10),'Referência LC 214'!$N$6:$N$967,0),IFERROR(MATCH(LEFT(T209,9),'Referência LC 214'!$N$6:$N$967,0),IFERROR(MATCH(LEFT(T209,8),'Referência LC 214'!$N$6:$N$967,0),IFERROR(MATCH(LEFT(T209,7),'Referência LC 214'!$N$6:$N$967,0),IFERROR(MATCH(LEFT(T209,6),'Referência LC 214'!$N$6:$N$967,0),IFERROR(MATCH(LEFT(T209,5),'Referência LC 214'!$N$6:$N$967,0),IFERROR(MATCH(LEFT(T209,4),'Referência LC 214'!$N$6:$N$967,0),IFERROR(MATCH(LEFT(T209,3),'Referência LC 214'!$N$6:$N$967,0),"")))))))))</f>
        <v/>
      </c>
    </row>
    <row r="210" customFormat="false" ht="15" hidden="false" customHeight="false" outlineLevel="0" collapsed="false">
      <c r="A210" s="23"/>
      <c r="B210" s="24"/>
      <c r="C210" s="25"/>
      <c r="D210" s="23"/>
      <c r="E210" s="23"/>
      <c r="F210" s="25"/>
      <c r="G210" s="26" t="str">
        <f aca="false">IF(T210="","",SUMPRODUCT(--(LEFT(T210,LEN('Referência LC 214'!$N$6:$N$967))='Referência LC 214'!$N$6:$N$967)))</f>
        <v/>
      </c>
      <c r="H210" s="27" t="str">
        <f aca="false">IF(T210="","",IF(U210="","000001",INDEX('Referência LC 214'!$I$6:$I$967,U210)))</f>
        <v/>
      </c>
      <c r="I210" s="28" t="str">
        <f aca="false">IF(T210="","",IF(U210="","Sem anexo: tributação integral",INDEX('Referência LC 214'!$H$6:$H$967,U210)))</f>
        <v/>
      </c>
      <c r="J210" s="29" t="str">
        <f aca="false">IF(T210="","",IF(U210="",0,INDEX('Referência LC 214'!$K$6:$K$967,U210)))</f>
        <v/>
      </c>
      <c r="K210" s="28" t="str">
        <f aca="false">IF(OR(T210="",U210=""),"","Anexo "&amp;INDEX('Referência LC 214'!$E$6:$E$967,U210)&amp;", item "&amp;INDEX('Referência LC 214'!$F$6:$F$967,U210)&amp;": "&amp;INDEX('Referência LC 214'!$G$6:$G$967,U210))</f>
        <v/>
      </c>
      <c r="L210" s="28" t="str">
        <f aca="false">IF(OR(T210="",U210=""),"",IF(INDEX('Referência LC 214'!$L$6:$L$967,U210)&amp;""&lt;&gt;"",INDEX('Referência LC 214'!$L$6:$L$967,U210)&amp;"",IF(SUMPRODUCT((LEFT(T210,LEN('Referência LC 214'!$N$6:$N$967))='Referência LC 214'!$N$6:$N$967)*('Referência LC 214'!$L$6:$L$967&lt;&gt;""))&gt;0,"Há outro tratamento só para alguns compradores (ex.: órgão público/SUS) — veja a referência","")))</f>
        <v/>
      </c>
      <c r="M210" s="30" t="str">
        <f aca="false">IF(T210="","",IF(AND(C210&lt;&gt;"Serviço",LEN(T210)-1&lt;&gt;8),"NCM deve ter 8 dígitos",IF(AND(C210="Serviço",LEN(T210)-1&lt;&gt;9),"NBS deve ter 9 dígitos",IF(L210&lt;&gt;"","Benefício depende do comprador: confira a coluna N",IF(G210&gt;1,"Mais de uma regra: confira o item do anexo na referência",IF(G210=0,"Sem redução na LC 214","Confira se o produto é o descrito no item"))))))</f>
        <v/>
      </c>
      <c r="N210" s="25"/>
      <c r="O210" s="23"/>
      <c r="P210" s="25"/>
      <c r="Q210" s="25"/>
      <c r="R210" s="31"/>
      <c r="S210" s="24"/>
      <c r="T210" s="4" t="str">
        <f aca="false">IF(D210="","",IF(C210="Serviço","S","P")&amp;SUBSTITUTE(SUBSTITUTE(SUBSTITUTE(D210,".",""),"-","")," ",""))</f>
        <v/>
      </c>
      <c r="U210" s="4" t="str">
        <f aca="false">IF(T210="","",IFERROR(MATCH(LEFT(T210,10),'Referência LC 214'!$N$6:$N$967,0),IFERROR(MATCH(LEFT(T210,9),'Referência LC 214'!$N$6:$N$967,0),IFERROR(MATCH(LEFT(T210,8),'Referência LC 214'!$N$6:$N$967,0),IFERROR(MATCH(LEFT(T210,7),'Referência LC 214'!$N$6:$N$967,0),IFERROR(MATCH(LEFT(T210,6),'Referência LC 214'!$N$6:$N$967,0),IFERROR(MATCH(LEFT(T210,5),'Referência LC 214'!$N$6:$N$967,0),IFERROR(MATCH(LEFT(T210,4),'Referência LC 214'!$N$6:$N$967,0),IFERROR(MATCH(LEFT(T210,3),'Referência LC 214'!$N$6:$N$967,0),"")))))))))</f>
        <v/>
      </c>
    </row>
    <row r="211" customFormat="false" ht="15" hidden="false" customHeight="false" outlineLevel="0" collapsed="false">
      <c r="A211" s="23"/>
      <c r="B211" s="24"/>
      <c r="C211" s="25"/>
      <c r="D211" s="23"/>
      <c r="E211" s="23"/>
      <c r="F211" s="25"/>
      <c r="G211" s="26" t="str">
        <f aca="false">IF(T211="","",SUMPRODUCT(--(LEFT(T211,LEN('Referência LC 214'!$N$6:$N$967))='Referência LC 214'!$N$6:$N$967)))</f>
        <v/>
      </c>
      <c r="H211" s="27" t="str">
        <f aca="false">IF(T211="","",IF(U211="","000001",INDEX('Referência LC 214'!$I$6:$I$967,U211)))</f>
        <v/>
      </c>
      <c r="I211" s="28" t="str">
        <f aca="false">IF(T211="","",IF(U211="","Sem anexo: tributação integral",INDEX('Referência LC 214'!$H$6:$H$967,U211)))</f>
        <v/>
      </c>
      <c r="J211" s="29" t="str">
        <f aca="false">IF(T211="","",IF(U211="",0,INDEX('Referência LC 214'!$K$6:$K$967,U211)))</f>
        <v/>
      </c>
      <c r="K211" s="28" t="str">
        <f aca="false">IF(OR(T211="",U211=""),"","Anexo "&amp;INDEX('Referência LC 214'!$E$6:$E$967,U211)&amp;", item "&amp;INDEX('Referência LC 214'!$F$6:$F$967,U211)&amp;": "&amp;INDEX('Referência LC 214'!$G$6:$G$967,U211))</f>
        <v/>
      </c>
      <c r="L211" s="28" t="str">
        <f aca="false">IF(OR(T211="",U211=""),"",IF(INDEX('Referência LC 214'!$L$6:$L$967,U211)&amp;""&lt;&gt;"",INDEX('Referência LC 214'!$L$6:$L$967,U211)&amp;"",IF(SUMPRODUCT((LEFT(T211,LEN('Referência LC 214'!$N$6:$N$967))='Referência LC 214'!$N$6:$N$967)*('Referência LC 214'!$L$6:$L$967&lt;&gt;""))&gt;0,"Há outro tratamento só para alguns compradores (ex.: órgão público/SUS) — veja a referência","")))</f>
        <v/>
      </c>
      <c r="M211" s="30" t="str">
        <f aca="false">IF(T211="","",IF(AND(C211&lt;&gt;"Serviço",LEN(T211)-1&lt;&gt;8),"NCM deve ter 8 dígitos",IF(AND(C211="Serviço",LEN(T211)-1&lt;&gt;9),"NBS deve ter 9 dígitos",IF(L211&lt;&gt;"","Benefício depende do comprador: confira a coluna N",IF(G211&gt;1,"Mais de uma regra: confira o item do anexo na referência",IF(G211=0,"Sem redução na LC 214","Confira se o produto é o descrito no item"))))))</f>
        <v/>
      </c>
      <c r="N211" s="25"/>
      <c r="O211" s="23"/>
      <c r="P211" s="25"/>
      <c r="Q211" s="25"/>
      <c r="R211" s="31"/>
      <c r="S211" s="24"/>
      <c r="T211" s="4" t="str">
        <f aca="false">IF(D211="","",IF(C211="Serviço","S","P")&amp;SUBSTITUTE(SUBSTITUTE(SUBSTITUTE(D211,".",""),"-","")," ",""))</f>
        <v/>
      </c>
      <c r="U211" s="4" t="str">
        <f aca="false">IF(T211="","",IFERROR(MATCH(LEFT(T211,10),'Referência LC 214'!$N$6:$N$967,0),IFERROR(MATCH(LEFT(T211,9),'Referência LC 214'!$N$6:$N$967,0),IFERROR(MATCH(LEFT(T211,8),'Referência LC 214'!$N$6:$N$967,0),IFERROR(MATCH(LEFT(T211,7),'Referência LC 214'!$N$6:$N$967,0),IFERROR(MATCH(LEFT(T211,6),'Referência LC 214'!$N$6:$N$967,0),IFERROR(MATCH(LEFT(T211,5),'Referência LC 214'!$N$6:$N$967,0),IFERROR(MATCH(LEFT(T211,4),'Referência LC 214'!$N$6:$N$967,0),IFERROR(MATCH(LEFT(T211,3),'Referência LC 214'!$N$6:$N$967,0),"")))))))))</f>
        <v/>
      </c>
    </row>
    <row r="212" customFormat="false" ht="15" hidden="false" customHeight="false" outlineLevel="0" collapsed="false">
      <c r="A212" s="23"/>
      <c r="B212" s="24"/>
      <c r="C212" s="25"/>
      <c r="D212" s="23"/>
      <c r="E212" s="23"/>
      <c r="F212" s="25"/>
      <c r="G212" s="26" t="str">
        <f aca="false">IF(T212="","",SUMPRODUCT(--(LEFT(T212,LEN('Referência LC 214'!$N$6:$N$967))='Referência LC 214'!$N$6:$N$967)))</f>
        <v/>
      </c>
      <c r="H212" s="27" t="str">
        <f aca="false">IF(T212="","",IF(U212="","000001",INDEX('Referência LC 214'!$I$6:$I$967,U212)))</f>
        <v/>
      </c>
      <c r="I212" s="28" t="str">
        <f aca="false">IF(T212="","",IF(U212="","Sem anexo: tributação integral",INDEX('Referência LC 214'!$H$6:$H$967,U212)))</f>
        <v/>
      </c>
      <c r="J212" s="29" t="str">
        <f aca="false">IF(T212="","",IF(U212="",0,INDEX('Referência LC 214'!$K$6:$K$967,U212)))</f>
        <v/>
      </c>
      <c r="K212" s="28" t="str">
        <f aca="false">IF(OR(T212="",U212=""),"","Anexo "&amp;INDEX('Referência LC 214'!$E$6:$E$967,U212)&amp;", item "&amp;INDEX('Referência LC 214'!$F$6:$F$967,U212)&amp;": "&amp;INDEX('Referência LC 214'!$G$6:$G$967,U212))</f>
        <v/>
      </c>
      <c r="L212" s="28" t="str">
        <f aca="false">IF(OR(T212="",U212=""),"",IF(INDEX('Referência LC 214'!$L$6:$L$967,U212)&amp;""&lt;&gt;"",INDEX('Referência LC 214'!$L$6:$L$967,U212)&amp;"",IF(SUMPRODUCT((LEFT(T212,LEN('Referência LC 214'!$N$6:$N$967))='Referência LC 214'!$N$6:$N$967)*('Referência LC 214'!$L$6:$L$967&lt;&gt;""))&gt;0,"Há outro tratamento só para alguns compradores (ex.: órgão público/SUS) — veja a referência","")))</f>
        <v/>
      </c>
      <c r="M212" s="30" t="str">
        <f aca="false">IF(T212="","",IF(AND(C212&lt;&gt;"Serviço",LEN(T212)-1&lt;&gt;8),"NCM deve ter 8 dígitos",IF(AND(C212="Serviço",LEN(T212)-1&lt;&gt;9),"NBS deve ter 9 dígitos",IF(L212&lt;&gt;"","Benefício depende do comprador: confira a coluna N",IF(G212&gt;1,"Mais de uma regra: confira o item do anexo na referência",IF(G212=0,"Sem redução na LC 214","Confira se o produto é o descrito no item"))))))</f>
        <v/>
      </c>
      <c r="N212" s="25"/>
      <c r="O212" s="23"/>
      <c r="P212" s="25"/>
      <c r="Q212" s="25"/>
      <c r="R212" s="31"/>
      <c r="S212" s="24"/>
      <c r="T212" s="4" t="str">
        <f aca="false">IF(D212="","",IF(C212="Serviço","S","P")&amp;SUBSTITUTE(SUBSTITUTE(SUBSTITUTE(D212,".",""),"-","")," ",""))</f>
        <v/>
      </c>
      <c r="U212" s="4" t="str">
        <f aca="false">IF(T212="","",IFERROR(MATCH(LEFT(T212,10),'Referência LC 214'!$N$6:$N$967,0),IFERROR(MATCH(LEFT(T212,9),'Referência LC 214'!$N$6:$N$967,0),IFERROR(MATCH(LEFT(T212,8),'Referência LC 214'!$N$6:$N$967,0),IFERROR(MATCH(LEFT(T212,7),'Referência LC 214'!$N$6:$N$967,0),IFERROR(MATCH(LEFT(T212,6),'Referência LC 214'!$N$6:$N$967,0),IFERROR(MATCH(LEFT(T212,5),'Referência LC 214'!$N$6:$N$967,0),IFERROR(MATCH(LEFT(T212,4),'Referência LC 214'!$N$6:$N$967,0),IFERROR(MATCH(LEFT(T212,3),'Referência LC 214'!$N$6:$N$967,0),"")))))))))</f>
        <v/>
      </c>
    </row>
    <row r="213" customFormat="false" ht="15" hidden="false" customHeight="false" outlineLevel="0" collapsed="false">
      <c r="A213" s="23"/>
      <c r="B213" s="24"/>
      <c r="C213" s="25"/>
      <c r="D213" s="23"/>
      <c r="E213" s="23"/>
      <c r="F213" s="25"/>
      <c r="G213" s="26" t="str">
        <f aca="false">IF(T213="","",SUMPRODUCT(--(LEFT(T213,LEN('Referência LC 214'!$N$6:$N$967))='Referência LC 214'!$N$6:$N$967)))</f>
        <v/>
      </c>
      <c r="H213" s="27" t="str">
        <f aca="false">IF(T213="","",IF(U213="","000001",INDEX('Referência LC 214'!$I$6:$I$967,U213)))</f>
        <v/>
      </c>
      <c r="I213" s="28" t="str">
        <f aca="false">IF(T213="","",IF(U213="","Sem anexo: tributação integral",INDEX('Referência LC 214'!$H$6:$H$967,U213)))</f>
        <v/>
      </c>
      <c r="J213" s="29" t="str">
        <f aca="false">IF(T213="","",IF(U213="",0,INDEX('Referência LC 214'!$K$6:$K$967,U213)))</f>
        <v/>
      </c>
      <c r="K213" s="28" t="str">
        <f aca="false">IF(OR(T213="",U213=""),"","Anexo "&amp;INDEX('Referência LC 214'!$E$6:$E$967,U213)&amp;", item "&amp;INDEX('Referência LC 214'!$F$6:$F$967,U213)&amp;": "&amp;INDEX('Referência LC 214'!$G$6:$G$967,U213))</f>
        <v/>
      </c>
      <c r="L213" s="28" t="str">
        <f aca="false">IF(OR(T213="",U213=""),"",IF(INDEX('Referência LC 214'!$L$6:$L$967,U213)&amp;""&lt;&gt;"",INDEX('Referência LC 214'!$L$6:$L$967,U213)&amp;"",IF(SUMPRODUCT((LEFT(T213,LEN('Referência LC 214'!$N$6:$N$967))='Referência LC 214'!$N$6:$N$967)*('Referência LC 214'!$L$6:$L$967&lt;&gt;""))&gt;0,"Há outro tratamento só para alguns compradores (ex.: órgão público/SUS) — veja a referência","")))</f>
        <v/>
      </c>
      <c r="M213" s="30" t="str">
        <f aca="false">IF(T213="","",IF(AND(C213&lt;&gt;"Serviço",LEN(T213)-1&lt;&gt;8),"NCM deve ter 8 dígitos",IF(AND(C213="Serviço",LEN(T213)-1&lt;&gt;9),"NBS deve ter 9 dígitos",IF(L213&lt;&gt;"","Benefício depende do comprador: confira a coluna N",IF(G213&gt;1,"Mais de uma regra: confira o item do anexo na referência",IF(G213=0,"Sem redução na LC 214","Confira se o produto é o descrito no item"))))))</f>
        <v/>
      </c>
      <c r="N213" s="25"/>
      <c r="O213" s="23"/>
      <c r="P213" s="25"/>
      <c r="Q213" s="25"/>
      <c r="R213" s="31"/>
      <c r="S213" s="24"/>
      <c r="T213" s="4" t="str">
        <f aca="false">IF(D213="","",IF(C213="Serviço","S","P")&amp;SUBSTITUTE(SUBSTITUTE(SUBSTITUTE(D213,".",""),"-","")," ",""))</f>
        <v/>
      </c>
      <c r="U213" s="4" t="str">
        <f aca="false">IF(T213="","",IFERROR(MATCH(LEFT(T213,10),'Referência LC 214'!$N$6:$N$967,0),IFERROR(MATCH(LEFT(T213,9),'Referência LC 214'!$N$6:$N$967,0),IFERROR(MATCH(LEFT(T213,8),'Referência LC 214'!$N$6:$N$967,0),IFERROR(MATCH(LEFT(T213,7),'Referência LC 214'!$N$6:$N$967,0),IFERROR(MATCH(LEFT(T213,6),'Referência LC 214'!$N$6:$N$967,0),IFERROR(MATCH(LEFT(T213,5),'Referência LC 214'!$N$6:$N$967,0),IFERROR(MATCH(LEFT(T213,4),'Referência LC 214'!$N$6:$N$967,0),IFERROR(MATCH(LEFT(T213,3),'Referência LC 214'!$N$6:$N$967,0),"")))))))))</f>
        <v/>
      </c>
    </row>
    <row r="214" customFormat="false" ht="15" hidden="false" customHeight="false" outlineLevel="0" collapsed="false">
      <c r="A214" s="23"/>
      <c r="B214" s="24"/>
      <c r="C214" s="25"/>
      <c r="D214" s="23"/>
      <c r="E214" s="23"/>
      <c r="F214" s="25"/>
      <c r="G214" s="26" t="str">
        <f aca="false">IF(T214="","",SUMPRODUCT(--(LEFT(T214,LEN('Referência LC 214'!$N$6:$N$967))='Referência LC 214'!$N$6:$N$967)))</f>
        <v/>
      </c>
      <c r="H214" s="27" t="str">
        <f aca="false">IF(T214="","",IF(U214="","000001",INDEX('Referência LC 214'!$I$6:$I$967,U214)))</f>
        <v/>
      </c>
      <c r="I214" s="28" t="str">
        <f aca="false">IF(T214="","",IF(U214="","Sem anexo: tributação integral",INDEX('Referência LC 214'!$H$6:$H$967,U214)))</f>
        <v/>
      </c>
      <c r="J214" s="29" t="str">
        <f aca="false">IF(T214="","",IF(U214="",0,INDEX('Referência LC 214'!$K$6:$K$967,U214)))</f>
        <v/>
      </c>
      <c r="K214" s="28" t="str">
        <f aca="false">IF(OR(T214="",U214=""),"","Anexo "&amp;INDEX('Referência LC 214'!$E$6:$E$967,U214)&amp;", item "&amp;INDEX('Referência LC 214'!$F$6:$F$967,U214)&amp;": "&amp;INDEX('Referência LC 214'!$G$6:$G$967,U214))</f>
        <v/>
      </c>
      <c r="L214" s="28" t="str">
        <f aca="false">IF(OR(T214="",U214=""),"",IF(INDEX('Referência LC 214'!$L$6:$L$967,U214)&amp;""&lt;&gt;"",INDEX('Referência LC 214'!$L$6:$L$967,U214)&amp;"",IF(SUMPRODUCT((LEFT(T214,LEN('Referência LC 214'!$N$6:$N$967))='Referência LC 214'!$N$6:$N$967)*('Referência LC 214'!$L$6:$L$967&lt;&gt;""))&gt;0,"Há outro tratamento só para alguns compradores (ex.: órgão público/SUS) — veja a referência","")))</f>
        <v/>
      </c>
      <c r="M214" s="30" t="str">
        <f aca="false">IF(T214="","",IF(AND(C214&lt;&gt;"Serviço",LEN(T214)-1&lt;&gt;8),"NCM deve ter 8 dígitos",IF(AND(C214="Serviço",LEN(T214)-1&lt;&gt;9),"NBS deve ter 9 dígitos",IF(L214&lt;&gt;"","Benefício depende do comprador: confira a coluna N",IF(G214&gt;1,"Mais de uma regra: confira o item do anexo na referência",IF(G214=0,"Sem redução na LC 214","Confira se o produto é o descrito no item"))))))</f>
        <v/>
      </c>
      <c r="N214" s="25"/>
      <c r="O214" s="23"/>
      <c r="P214" s="25"/>
      <c r="Q214" s="25"/>
      <c r="R214" s="31"/>
      <c r="S214" s="24"/>
      <c r="T214" s="4" t="str">
        <f aca="false">IF(D214="","",IF(C214="Serviço","S","P")&amp;SUBSTITUTE(SUBSTITUTE(SUBSTITUTE(D214,".",""),"-","")," ",""))</f>
        <v/>
      </c>
      <c r="U214" s="4" t="str">
        <f aca="false">IF(T214="","",IFERROR(MATCH(LEFT(T214,10),'Referência LC 214'!$N$6:$N$967,0),IFERROR(MATCH(LEFT(T214,9),'Referência LC 214'!$N$6:$N$967,0),IFERROR(MATCH(LEFT(T214,8),'Referência LC 214'!$N$6:$N$967,0),IFERROR(MATCH(LEFT(T214,7),'Referência LC 214'!$N$6:$N$967,0),IFERROR(MATCH(LEFT(T214,6),'Referência LC 214'!$N$6:$N$967,0),IFERROR(MATCH(LEFT(T214,5),'Referência LC 214'!$N$6:$N$967,0),IFERROR(MATCH(LEFT(T214,4),'Referência LC 214'!$N$6:$N$967,0),IFERROR(MATCH(LEFT(T214,3),'Referência LC 214'!$N$6:$N$967,0),"")))))))))</f>
        <v/>
      </c>
    </row>
    <row r="215" customFormat="false" ht="15" hidden="false" customHeight="false" outlineLevel="0" collapsed="false">
      <c r="A215" s="23"/>
      <c r="B215" s="24"/>
      <c r="C215" s="25"/>
      <c r="D215" s="23"/>
      <c r="E215" s="23"/>
      <c r="F215" s="25"/>
      <c r="G215" s="26" t="str">
        <f aca="false">IF(T215="","",SUMPRODUCT(--(LEFT(T215,LEN('Referência LC 214'!$N$6:$N$967))='Referência LC 214'!$N$6:$N$967)))</f>
        <v/>
      </c>
      <c r="H215" s="27" t="str">
        <f aca="false">IF(T215="","",IF(U215="","000001",INDEX('Referência LC 214'!$I$6:$I$967,U215)))</f>
        <v/>
      </c>
      <c r="I215" s="28" t="str">
        <f aca="false">IF(T215="","",IF(U215="","Sem anexo: tributação integral",INDEX('Referência LC 214'!$H$6:$H$967,U215)))</f>
        <v/>
      </c>
      <c r="J215" s="29" t="str">
        <f aca="false">IF(T215="","",IF(U215="",0,INDEX('Referência LC 214'!$K$6:$K$967,U215)))</f>
        <v/>
      </c>
      <c r="K215" s="28" t="str">
        <f aca="false">IF(OR(T215="",U215=""),"","Anexo "&amp;INDEX('Referência LC 214'!$E$6:$E$967,U215)&amp;", item "&amp;INDEX('Referência LC 214'!$F$6:$F$967,U215)&amp;": "&amp;INDEX('Referência LC 214'!$G$6:$G$967,U215))</f>
        <v/>
      </c>
      <c r="L215" s="28" t="str">
        <f aca="false">IF(OR(T215="",U215=""),"",IF(INDEX('Referência LC 214'!$L$6:$L$967,U215)&amp;""&lt;&gt;"",INDEX('Referência LC 214'!$L$6:$L$967,U215)&amp;"",IF(SUMPRODUCT((LEFT(T215,LEN('Referência LC 214'!$N$6:$N$967))='Referência LC 214'!$N$6:$N$967)*('Referência LC 214'!$L$6:$L$967&lt;&gt;""))&gt;0,"Há outro tratamento só para alguns compradores (ex.: órgão público/SUS) — veja a referência","")))</f>
        <v/>
      </c>
      <c r="M215" s="30" t="str">
        <f aca="false">IF(T215="","",IF(AND(C215&lt;&gt;"Serviço",LEN(T215)-1&lt;&gt;8),"NCM deve ter 8 dígitos",IF(AND(C215="Serviço",LEN(T215)-1&lt;&gt;9),"NBS deve ter 9 dígitos",IF(L215&lt;&gt;"","Benefício depende do comprador: confira a coluna N",IF(G215&gt;1,"Mais de uma regra: confira o item do anexo na referência",IF(G215=0,"Sem redução na LC 214","Confira se o produto é o descrito no item"))))))</f>
        <v/>
      </c>
      <c r="N215" s="25"/>
      <c r="O215" s="23"/>
      <c r="P215" s="25"/>
      <c r="Q215" s="25"/>
      <c r="R215" s="31"/>
      <c r="S215" s="24"/>
      <c r="T215" s="4" t="str">
        <f aca="false">IF(D215="","",IF(C215="Serviço","S","P")&amp;SUBSTITUTE(SUBSTITUTE(SUBSTITUTE(D215,".",""),"-","")," ",""))</f>
        <v/>
      </c>
      <c r="U215" s="4" t="str">
        <f aca="false">IF(T215="","",IFERROR(MATCH(LEFT(T215,10),'Referência LC 214'!$N$6:$N$967,0),IFERROR(MATCH(LEFT(T215,9),'Referência LC 214'!$N$6:$N$967,0),IFERROR(MATCH(LEFT(T215,8),'Referência LC 214'!$N$6:$N$967,0),IFERROR(MATCH(LEFT(T215,7),'Referência LC 214'!$N$6:$N$967,0),IFERROR(MATCH(LEFT(T215,6),'Referência LC 214'!$N$6:$N$967,0),IFERROR(MATCH(LEFT(T215,5),'Referência LC 214'!$N$6:$N$967,0),IFERROR(MATCH(LEFT(T215,4),'Referência LC 214'!$N$6:$N$967,0),IFERROR(MATCH(LEFT(T215,3),'Referência LC 214'!$N$6:$N$967,0),"")))))))))</f>
        <v/>
      </c>
    </row>
    <row r="216" customFormat="false" ht="15" hidden="false" customHeight="false" outlineLevel="0" collapsed="false">
      <c r="A216" s="23"/>
      <c r="B216" s="24"/>
      <c r="C216" s="25"/>
      <c r="D216" s="23"/>
      <c r="E216" s="23"/>
      <c r="F216" s="25"/>
      <c r="G216" s="26" t="str">
        <f aca="false">IF(T216="","",SUMPRODUCT(--(LEFT(T216,LEN('Referência LC 214'!$N$6:$N$967))='Referência LC 214'!$N$6:$N$967)))</f>
        <v/>
      </c>
      <c r="H216" s="27" t="str">
        <f aca="false">IF(T216="","",IF(U216="","000001",INDEX('Referência LC 214'!$I$6:$I$967,U216)))</f>
        <v/>
      </c>
      <c r="I216" s="28" t="str">
        <f aca="false">IF(T216="","",IF(U216="","Sem anexo: tributação integral",INDEX('Referência LC 214'!$H$6:$H$967,U216)))</f>
        <v/>
      </c>
      <c r="J216" s="29" t="str">
        <f aca="false">IF(T216="","",IF(U216="",0,INDEX('Referência LC 214'!$K$6:$K$967,U216)))</f>
        <v/>
      </c>
      <c r="K216" s="28" t="str">
        <f aca="false">IF(OR(T216="",U216=""),"","Anexo "&amp;INDEX('Referência LC 214'!$E$6:$E$967,U216)&amp;", item "&amp;INDEX('Referência LC 214'!$F$6:$F$967,U216)&amp;": "&amp;INDEX('Referência LC 214'!$G$6:$G$967,U216))</f>
        <v/>
      </c>
      <c r="L216" s="28" t="str">
        <f aca="false">IF(OR(T216="",U216=""),"",IF(INDEX('Referência LC 214'!$L$6:$L$967,U216)&amp;""&lt;&gt;"",INDEX('Referência LC 214'!$L$6:$L$967,U216)&amp;"",IF(SUMPRODUCT((LEFT(T216,LEN('Referência LC 214'!$N$6:$N$967))='Referência LC 214'!$N$6:$N$967)*('Referência LC 214'!$L$6:$L$967&lt;&gt;""))&gt;0,"Há outro tratamento só para alguns compradores (ex.: órgão público/SUS) — veja a referência","")))</f>
        <v/>
      </c>
      <c r="M216" s="30" t="str">
        <f aca="false">IF(T216="","",IF(AND(C216&lt;&gt;"Serviço",LEN(T216)-1&lt;&gt;8),"NCM deve ter 8 dígitos",IF(AND(C216="Serviço",LEN(T216)-1&lt;&gt;9),"NBS deve ter 9 dígitos",IF(L216&lt;&gt;"","Benefício depende do comprador: confira a coluna N",IF(G216&gt;1,"Mais de uma regra: confira o item do anexo na referência",IF(G216=0,"Sem redução na LC 214","Confira se o produto é o descrito no item"))))))</f>
        <v/>
      </c>
      <c r="N216" s="25"/>
      <c r="O216" s="23"/>
      <c r="P216" s="25"/>
      <c r="Q216" s="25"/>
      <c r="R216" s="31"/>
      <c r="S216" s="24"/>
      <c r="T216" s="4" t="str">
        <f aca="false">IF(D216="","",IF(C216="Serviço","S","P")&amp;SUBSTITUTE(SUBSTITUTE(SUBSTITUTE(D216,".",""),"-","")," ",""))</f>
        <v/>
      </c>
      <c r="U216" s="4" t="str">
        <f aca="false">IF(T216="","",IFERROR(MATCH(LEFT(T216,10),'Referência LC 214'!$N$6:$N$967,0),IFERROR(MATCH(LEFT(T216,9),'Referência LC 214'!$N$6:$N$967,0),IFERROR(MATCH(LEFT(T216,8),'Referência LC 214'!$N$6:$N$967,0),IFERROR(MATCH(LEFT(T216,7),'Referência LC 214'!$N$6:$N$967,0),IFERROR(MATCH(LEFT(T216,6),'Referência LC 214'!$N$6:$N$967,0),IFERROR(MATCH(LEFT(T216,5),'Referência LC 214'!$N$6:$N$967,0),IFERROR(MATCH(LEFT(T216,4),'Referência LC 214'!$N$6:$N$967,0),IFERROR(MATCH(LEFT(T216,3),'Referência LC 214'!$N$6:$N$967,0),"")))))))))</f>
        <v/>
      </c>
    </row>
    <row r="217" customFormat="false" ht="15" hidden="false" customHeight="false" outlineLevel="0" collapsed="false">
      <c r="A217" s="23"/>
      <c r="B217" s="24"/>
      <c r="C217" s="25"/>
      <c r="D217" s="23"/>
      <c r="E217" s="23"/>
      <c r="F217" s="25"/>
      <c r="G217" s="26" t="str">
        <f aca="false">IF(T217="","",SUMPRODUCT(--(LEFT(T217,LEN('Referência LC 214'!$N$6:$N$967))='Referência LC 214'!$N$6:$N$967)))</f>
        <v/>
      </c>
      <c r="H217" s="27" t="str">
        <f aca="false">IF(T217="","",IF(U217="","000001",INDEX('Referência LC 214'!$I$6:$I$967,U217)))</f>
        <v/>
      </c>
      <c r="I217" s="28" t="str">
        <f aca="false">IF(T217="","",IF(U217="","Sem anexo: tributação integral",INDEX('Referência LC 214'!$H$6:$H$967,U217)))</f>
        <v/>
      </c>
      <c r="J217" s="29" t="str">
        <f aca="false">IF(T217="","",IF(U217="",0,INDEX('Referência LC 214'!$K$6:$K$967,U217)))</f>
        <v/>
      </c>
      <c r="K217" s="28" t="str">
        <f aca="false">IF(OR(T217="",U217=""),"","Anexo "&amp;INDEX('Referência LC 214'!$E$6:$E$967,U217)&amp;", item "&amp;INDEX('Referência LC 214'!$F$6:$F$967,U217)&amp;": "&amp;INDEX('Referência LC 214'!$G$6:$G$967,U217))</f>
        <v/>
      </c>
      <c r="L217" s="28" t="str">
        <f aca="false">IF(OR(T217="",U217=""),"",IF(INDEX('Referência LC 214'!$L$6:$L$967,U217)&amp;""&lt;&gt;"",INDEX('Referência LC 214'!$L$6:$L$967,U217)&amp;"",IF(SUMPRODUCT((LEFT(T217,LEN('Referência LC 214'!$N$6:$N$967))='Referência LC 214'!$N$6:$N$967)*('Referência LC 214'!$L$6:$L$967&lt;&gt;""))&gt;0,"Há outro tratamento só para alguns compradores (ex.: órgão público/SUS) — veja a referência","")))</f>
        <v/>
      </c>
      <c r="M217" s="30" t="str">
        <f aca="false">IF(T217="","",IF(AND(C217&lt;&gt;"Serviço",LEN(T217)-1&lt;&gt;8),"NCM deve ter 8 dígitos",IF(AND(C217="Serviço",LEN(T217)-1&lt;&gt;9),"NBS deve ter 9 dígitos",IF(L217&lt;&gt;"","Benefício depende do comprador: confira a coluna N",IF(G217&gt;1,"Mais de uma regra: confira o item do anexo na referência",IF(G217=0,"Sem redução na LC 214","Confira se o produto é o descrito no item"))))))</f>
        <v/>
      </c>
      <c r="N217" s="25"/>
      <c r="O217" s="23"/>
      <c r="P217" s="25"/>
      <c r="Q217" s="25"/>
      <c r="R217" s="31"/>
      <c r="S217" s="24"/>
      <c r="T217" s="4" t="str">
        <f aca="false">IF(D217="","",IF(C217="Serviço","S","P")&amp;SUBSTITUTE(SUBSTITUTE(SUBSTITUTE(D217,".",""),"-","")," ",""))</f>
        <v/>
      </c>
      <c r="U217" s="4" t="str">
        <f aca="false">IF(T217="","",IFERROR(MATCH(LEFT(T217,10),'Referência LC 214'!$N$6:$N$967,0),IFERROR(MATCH(LEFT(T217,9),'Referência LC 214'!$N$6:$N$967,0),IFERROR(MATCH(LEFT(T217,8),'Referência LC 214'!$N$6:$N$967,0),IFERROR(MATCH(LEFT(T217,7),'Referência LC 214'!$N$6:$N$967,0),IFERROR(MATCH(LEFT(T217,6),'Referência LC 214'!$N$6:$N$967,0),IFERROR(MATCH(LEFT(T217,5),'Referência LC 214'!$N$6:$N$967,0),IFERROR(MATCH(LEFT(T217,4),'Referência LC 214'!$N$6:$N$967,0),IFERROR(MATCH(LEFT(T217,3),'Referência LC 214'!$N$6:$N$967,0),"")))))))))</f>
        <v/>
      </c>
    </row>
    <row r="218" customFormat="false" ht="15" hidden="false" customHeight="false" outlineLevel="0" collapsed="false">
      <c r="A218" s="23"/>
      <c r="B218" s="24"/>
      <c r="C218" s="25"/>
      <c r="D218" s="23"/>
      <c r="E218" s="23"/>
      <c r="F218" s="25"/>
      <c r="G218" s="26" t="str">
        <f aca="false">IF(T218="","",SUMPRODUCT(--(LEFT(T218,LEN('Referência LC 214'!$N$6:$N$967))='Referência LC 214'!$N$6:$N$967)))</f>
        <v/>
      </c>
      <c r="H218" s="27" t="str">
        <f aca="false">IF(T218="","",IF(U218="","000001",INDEX('Referência LC 214'!$I$6:$I$967,U218)))</f>
        <v/>
      </c>
      <c r="I218" s="28" t="str">
        <f aca="false">IF(T218="","",IF(U218="","Sem anexo: tributação integral",INDEX('Referência LC 214'!$H$6:$H$967,U218)))</f>
        <v/>
      </c>
      <c r="J218" s="29" t="str">
        <f aca="false">IF(T218="","",IF(U218="",0,INDEX('Referência LC 214'!$K$6:$K$967,U218)))</f>
        <v/>
      </c>
      <c r="K218" s="28" t="str">
        <f aca="false">IF(OR(T218="",U218=""),"","Anexo "&amp;INDEX('Referência LC 214'!$E$6:$E$967,U218)&amp;", item "&amp;INDEX('Referência LC 214'!$F$6:$F$967,U218)&amp;": "&amp;INDEX('Referência LC 214'!$G$6:$G$967,U218))</f>
        <v/>
      </c>
      <c r="L218" s="28" t="str">
        <f aca="false">IF(OR(T218="",U218=""),"",IF(INDEX('Referência LC 214'!$L$6:$L$967,U218)&amp;""&lt;&gt;"",INDEX('Referência LC 214'!$L$6:$L$967,U218)&amp;"",IF(SUMPRODUCT((LEFT(T218,LEN('Referência LC 214'!$N$6:$N$967))='Referência LC 214'!$N$6:$N$967)*('Referência LC 214'!$L$6:$L$967&lt;&gt;""))&gt;0,"Há outro tratamento só para alguns compradores (ex.: órgão público/SUS) — veja a referência","")))</f>
        <v/>
      </c>
      <c r="M218" s="30" t="str">
        <f aca="false">IF(T218="","",IF(AND(C218&lt;&gt;"Serviço",LEN(T218)-1&lt;&gt;8),"NCM deve ter 8 dígitos",IF(AND(C218="Serviço",LEN(T218)-1&lt;&gt;9),"NBS deve ter 9 dígitos",IF(L218&lt;&gt;"","Benefício depende do comprador: confira a coluna N",IF(G218&gt;1,"Mais de uma regra: confira o item do anexo na referência",IF(G218=0,"Sem redução na LC 214","Confira se o produto é o descrito no item"))))))</f>
        <v/>
      </c>
      <c r="N218" s="25"/>
      <c r="O218" s="23"/>
      <c r="P218" s="25"/>
      <c r="Q218" s="25"/>
      <c r="R218" s="31"/>
      <c r="S218" s="24"/>
      <c r="T218" s="4" t="str">
        <f aca="false">IF(D218="","",IF(C218="Serviço","S","P")&amp;SUBSTITUTE(SUBSTITUTE(SUBSTITUTE(D218,".",""),"-","")," ",""))</f>
        <v/>
      </c>
      <c r="U218" s="4" t="str">
        <f aca="false">IF(T218="","",IFERROR(MATCH(LEFT(T218,10),'Referência LC 214'!$N$6:$N$967,0),IFERROR(MATCH(LEFT(T218,9),'Referência LC 214'!$N$6:$N$967,0),IFERROR(MATCH(LEFT(T218,8),'Referência LC 214'!$N$6:$N$967,0),IFERROR(MATCH(LEFT(T218,7),'Referência LC 214'!$N$6:$N$967,0),IFERROR(MATCH(LEFT(T218,6),'Referência LC 214'!$N$6:$N$967,0),IFERROR(MATCH(LEFT(T218,5),'Referência LC 214'!$N$6:$N$967,0),IFERROR(MATCH(LEFT(T218,4),'Referência LC 214'!$N$6:$N$967,0),IFERROR(MATCH(LEFT(T218,3),'Referência LC 214'!$N$6:$N$967,0),"")))))))))</f>
        <v/>
      </c>
    </row>
    <row r="219" customFormat="false" ht="15" hidden="false" customHeight="false" outlineLevel="0" collapsed="false">
      <c r="A219" s="23"/>
      <c r="B219" s="24"/>
      <c r="C219" s="25"/>
      <c r="D219" s="23"/>
      <c r="E219" s="23"/>
      <c r="F219" s="25"/>
      <c r="G219" s="26" t="str">
        <f aca="false">IF(T219="","",SUMPRODUCT(--(LEFT(T219,LEN('Referência LC 214'!$N$6:$N$967))='Referência LC 214'!$N$6:$N$967)))</f>
        <v/>
      </c>
      <c r="H219" s="27" t="str">
        <f aca="false">IF(T219="","",IF(U219="","000001",INDEX('Referência LC 214'!$I$6:$I$967,U219)))</f>
        <v/>
      </c>
      <c r="I219" s="28" t="str">
        <f aca="false">IF(T219="","",IF(U219="","Sem anexo: tributação integral",INDEX('Referência LC 214'!$H$6:$H$967,U219)))</f>
        <v/>
      </c>
      <c r="J219" s="29" t="str">
        <f aca="false">IF(T219="","",IF(U219="",0,INDEX('Referência LC 214'!$K$6:$K$967,U219)))</f>
        <v/>
      </c>
      <c r="K219" s="28" t="str">
        <f aca="false">IF(OR(T219="",U219=""),"","Anexo "&amp;INDEX('Referência LC 214'!$E$6:$E$967,U219)&amp;", item "&amp;INDEX('Referência LC 214'!$F$6:$F$967,U219)&amp;": "&amp;INDEX('Referência LC 214'!$G$6:$G$967,U219))</f>
        <v/>
      </c>
      <c r="L219" s="28" t="str">
        <f aca="false">IF(OR(T219="",U219=""),"",IF(INDEX('Referência LC 214'!$L$6:$L$967,U219)&amp;""&lt;&gt;"",INDEX('Referência LC 214'!$L$6:$L$967,U219)&amp;"",IF(SUMPRODUCT((LEFT(T219,LEN('Referência LC 214'!$N$6:$N$967))='Referência LC 214'!$N$6:$N$967)*('Referência LC 214'!$L$6:$L$967&lt;&gt;""))&gt;0,"Há outro tratamento só para alguns compradores (ex.: órgão público/SUS) — veja a referência","")))</f>
        <v/>
      </c>
      <c r="M219" s="30" t="str">
        <f aca="false">IF(T219="","",IF(AND(C219&lt;&gt;"Serviço",LEN(T219)-1&lt;&gt;8),"NCM deve ter 8 dígitos",IF(AND(C219="Serviço",LEN(T219)-1&lt;&gt;9),"NBS deve ter 9 dígitos",IF(L219&lt;&gt;"","Benefício depende do comprador: confira a coluna N",IF(G219&gt;1,"Mais de uma regra: confira o item do anexo na referência",IF(G219=0,"Sem redução na LC 214","Confira se o produto é o descrito no item"))))))</f>
        <v/>
      </c>
      <c r="N219" s="25"/>
      <c r="O219" s="23"/>
      <c r="P219" s="25"/>
      <c r="Q219" s="25"/>
      <c r="R219" s="31"/>
      <c r="S219" s="24"/>
      <c r="T219" s="4" t="str">
        <f aca="false">IF(D219="","",IF(C219="Serviço","S","P")&amp;SUBSTITUTE(SUBSTITUTE(SUBSTITUTE(D219,".",""),"-","")," ",""))</f>
        <v/>
      </c>
      <c r="U219" s="4" t="str">
        <f aca="false">IF(T219="","",IFERROR(MATCH(LEFT(T219,10),'Referência LC 214'!$N$6:$N$967,0),IFERROR(MATCH(LEFT(T219,9),'Referência LC 214'!$N$6:$N$967,0),IFERROR(MATCH(LEFT(T219,8),'Referência LC 214'!$N$6:$N$967,0),IFERROR(MATCH(LEFT(T219,7),'Referência LC 214'!$N$6:$N$967,0),IFERROR(MATCH(LEFT(T219,6),'Referência LC 214'!$N$6:$N$967,0),IFERROR(MATCH(LEFT(T219,5),'Referência LC 214'!$N$6:$N$967,0),IFERROR(MATCH(LEFT(T219,4),'Referência LC 214'!$N$6:$N$967,0),IFERROR(MATCH(LEFT(T219,3),'Referência LC 214'!$N$6:$N$967,0),"")))))))))</f>
        <v/>
      </c>
    </row>
    <row r="220" customFormat="false" ht="15" hidden="false" customHeight="false" outlineLevel="0" collapsed="false">
      <c r="A220" s="23"/>
      <c r="B220" s="24"/>
      <c r="C220" s="25"/>
      <c r="D220" s="23"/>
      <c r="E220" s="23"/>
      <c r="F220" s="25"/>
      <c r="G220" s="26" t="str">
        <f aca="false">IF(T220="","",SUMPRODUCT(--(LEFT(T220,LEN('Referência LC 214'!$N$6:$N$967))='Referência LC 214'!$N$6:$N$967)))</f>
        <v/>
      </c>
      <c r="H220" s="27" t="str">
        <f aca="false">IF(T220="","",IF(U220="","000001",INDEX('Referência LC 214'!$I$6:$I$967,U220)))</f>
        <v/>
      </c>
      <c r="I220" s="28" t="str">
        <f aca="false">IF(T220="","",IF(U220="","Sem anexo: tributação integral",INDEX('Referência LC 214'!$H$6:$H$967,U220)))</f>
        <v/>
      </c>
      <c r="J220" s="29" t="str">
        <f aca="false">IF(T220="","",IF(U220="",0,INDEX('Referência LC 214'!$K$6:$K$967,U220)))</f>
        <v/>
      </c>
      <c r="K220" s="28" t="str">
        <f aca="false">IF(OR(T220="",U220=""),"","Anexo "&amp;INDEX('Referência LC 214'!$E$6:$E$967,U220)&amp;", item "&amp;INDEX('Referência LC 214'!$F$6:$F$967,U220)&amp;": "&amp;INDEX('Referência LC 214'!$G$6:$G$967,U220))</f>
        <v/>
      </c>
      <c r="L220" s="28" t="str">
        <f aca="false">IF(OR(T220="",U220=""),"",IF(INDEX('Referência LC 214'!$L$6:$L$967,U220)&amp;""&lt;&gt;"",INDEX('Referência LC 214'!$L$6:$L$967,U220)&amp;"",IF(SUMPRODUCT((LEFT(T220,LEN('Referência LC 214'!$N$6:$N$967))='Referência LC 214'!$N$6:$N$967)*('Referência LC 214'!$L$6:$L$967&lt;&gt;""))&gt;0,"Há outro tratamento só para alguns compradores (ex.: órgão público/SUS) — veja a referência","")))</f>
        <v/>
      </c>
      <c r="M220" s="30" t="str">
        <f aca="false">IF(T220="","",IF(AND(C220&lt;&gt;"Serviço",LEN(T220)-1&lt;&gt;8),"NCM deve ter 8 dígitos",IF(AND(C220="Serviço",LEN(T220)-1&lt;&gt;9),"NBS deve ter 9 dígitos",IF(L220&lt;&gt;"","Benefício depende do comprador: confira a coluna N",IF(G220&gt;1,"Mais de uma regra: confira o item do anexo na referência",IF(G220=0,"Sem redução na LC 214","Confira se o produto é o descrito no item"))))))</f>
        <v/>
      </c>
      <c r="N220" s="25"/>
      <c r="O220" s="23"/>
      <c r="P220" s="25"/>
      <c r="Q220" s="25"/>
      <c r="R220" s="31"/>
      <c r="S220" s="24"/>
      <c r="T220" s="4" t="str">
        <f aca="false">IF(D220="","",IF(C220="Serviço","S","P")&amp;SUBSTITUTE(SUBSTITUTE(SUBSTITUTE(D220,".",""),"-","")," ",""))</f>
        <v/>
      </c>
      <c r="U220" s="4" t="str">
        <f aca="false">IF(T220="","",IFERROR(MATCH(LEFT(T220,10),'Referência LC 214'!$N$6:$N$967,0),IFERROR(MATCH(LEFT(T220,9),'Referência LC 214'!$N$6:$N$967,0),IFERROR(MATCH(LEFT(T220,8),'Referência LC 214'!$N$6:$N$967,0),IFERROR(MATCH(LEFT(T220,7),'Referência LC 214'!$N$6:$N$967,0),IFERROR(MATCH(LEFT(T220,6),'Referência LC 214'!$N$6:$N$967,0),IFERROR(MATCH(LEFT(T220,5),'Referência LC 214'!$N$6:$N$967,0),IFERROR(MATCH(LEFT(T220,4),'Referência LC 214'!$N$6:$N$967,0),IFERROR(MATCH(LEFT(T220,3),'Referência LC 214'!$N$6:$N$967,0),"")))))))))</f>
        <v/>
      </c>
    </row>
    <row r="221" customFormat="false" ht="15" hidden="false" customHeight="false" outlineLevel="0" collapsed="false">
      <c r="A221" s="23"/>
      <c r="B221" s="24"/>
      <c r="C221" s="25"/>
      <c r="D221" s="23"/>
      <c r="E221" s="23"/>
      <c r="F221" s="25"/>
      <c r="G221" s="26" t="str">
        <f aca="false">IF(T221="","",SUMPRODUCT(--(LEFT(T221,LEN('Referência LC 214'!$N$6:$N$967))='Referência LC 214'!$N$6:$N$967)))</f>
        <v/>
      </c>
      <c r="H221" s="27" t="str">
        <f aca="false">IF(T221="","",IF(U221="","000001",INDEX('Referência LC 214'!$I$6:$I$967,U221)))</f>
        <v/>
      </c>
      <c r="I221" s="28" t="str">
        <f aca="false">IF(T221="","",IF(U221="","Sem anexo: tributação integral",INDEX('Referência LC 214'!$H$6:$H$967,U221)))</f>
        <v/>
      </c>
      <c r="J221" s="29" t="str">
        <f aca="false">IF(T221="","",IF(U221="",0,INDEX('Referência LC 214'!$K$6:$K$967,U221)))</f>
        <v/>
      </c>
      <c r="K221" s="28" t="str">
        <f aca="false">IF(OR(T221="",U221=""),"","Anexo "&amp;INDEX('Referência LC 214'!$E$6:$E$967,U221)&amp;", item "&amp;INDEX('Referência LC 214'!$F$6:$F$967,U221)&amp;": "&amp;INDEX('Referência LC 214'!$G$6:$G$967,U221))</f>
        <v/>
      </c>
      <c r="L221" s="28" t="str">
        <f aca="false">IF(OR(T221="",U221=""),"",IF(INDEX('Referência LC 214'!$L$6:$L$967,U221)&amp;""&lt;&gt;"",INDEX('Referência LC 214'!$L$6:$L$967,U221)&amp;"",IF(SUMPRODUCT((LEFT(T221,LEN('Referência LC 214'!$N$6:$N$967))='Referência LC 214'!$N$6:$N$967)*('Referência LC 214'!$L$6:$L$967&lt;&gt;""))&gt;0,"Há outro tratamento só para alguns compradores (ex.: órgão público/SUS) — veja a referência","")))</f>
        <v/>
      </c>
      <c r="M221" s="30" t="str">
        <f aca="false">IF(T221="","",IF(AND(C221&lt;&gt;"Serviço",LEN(T221)-1&lt;&gt;8),"NCM deve ter 8 dígitos",IF(AND(C221="Serviço",LEN(T221)-1&lt;&gt;9),"NBS deve ter 9 dígitos",IF(L221&lt;&gt;"","Benefício depende do comprador: confira a coluna N",IF(G221&gt;1,"Mais de uma regra: confira o item do anexo na referência",IF(G221=0,"Sem redução na LC 214","Confira se o produto é o descrito no item"))))))</f>
        <v/>
      </c>
      <c r="N221" s="25"/>
      <c r="O221" s="23"/>
      <c r="P221" s="25"/>
      <c r="Q221" s="25"/>
      <c r="R221" s="31"/>
      <c r="S221" s="24"/>
      <c r="T221" s="4" t="str">
        <f aca="false">IF(D221="","",IF(C221="Serviço","S","P")&amp;SUBSTITUTE(SUBSTITUTE(SUBSTITUTE(D221,".",""),"-","")," ",""))</f>
        <v/>
      </c>
      <c r="U221" s="4" t="str">
        <f aca="false">IF(T221="","",IFERROR(MATCH(LEFT(T221,10),'Referência LC 214'!$N$6:$N$967,0),IFERROR(MATCH(LEFT(T221,9),'Referência LC 214'!$N$6:$N$967,0),IFERROR(MATCH(LEFT(T221,8),'Referência LC 214'!$N$6:$N$967,0),IFERROR(MATCH(LEFT(T221,7),'Referência LC 214'!$N$6:$N$967,0),IFERROR(MATCH(LEFT(T221,6),'Referência LC 214'!$N$6:$N$967,0),IFERROR(MATCH(LEFT(T221,5),'Referência LC 214'!$N$6:$N$967,0),IFERROR(MATCH(LEFT(T221,4),'Referência LC 214'!$N$6:$N$967,0),IFERROR(MATCH(LEFT(T221,3),'Referência LC 214'!$N$6:$N$967,0),"")))))))))</f>
        <v/>
      </c>
    </row>
    <row r="222" customFormat="false" ht="15" hidden="false" customHeight="false" outlineLevel="0" collapsed="false">
      <c r="A222" s="23"/>
      <c r="B222" s="24"/>
      <c r="C222" s="25"/>
      <c r="D222" s="23"/>
      <c r="E222" s="23"/>
      <c r="F222" s="25"/>
      <c r="G222" s="26" t="str">
        <f aca="false">IF(T222="","",SUMPRODUCT(--(LEFT(T222,LEN('Referência LC 214'!$N$6:$N$967))='Referência LC 214'!$N$6:$N$967)))</f>
        <v/>
      </c>
      <c r="H222" s="27" t="str">
        <f aca="false">IF(T222="","",IF(U222="","000001",INDEX('Referência LC 214'!$I$6:$I$967,U222)))</f>
        <v/>
      </c>
      <c r="I222" s="28" t="str">
        <f aca="false">IF(T222="","",IF(U222="","Sem anexo: tributação integral",INDEX('Referência LC 214'!$H$6:$H$967,U222)))</f>
        <v/>
      </c>
      <c r="J222" s="29" t="str">
        <f aca="false">IF(T222="","",IF(U222="",0,INDEX('Referência LC 214'!$K$6:$K$967,U222)))</f>
        <v/>
      </c>
      <c r="K222" s="28" t="str">
        <f aca="false">IF(OR(T222="",U222=""),"","Anexo "&amp;INDEX('Referência LC 214'!$E$6:$E$967,U222)&amp;", item "&amp;INDEX('Referência LC 214'!$F$6:$F$967,U222)&amp;": "&amp;INDEX('Referência LC 214'!$G$6:$G$967,U222))</f>
        <v/>
      </c>
      <c r="L222" s="28" t="str">
        <f aca="false">IF(OR(T222="",U222=""),"",IF(INDEX('Referência LC 214'!$L$6:$L$967,U222)&amp;""&lt;&gt;"",INDEX('Referência LC 214'!$L$6:$L$967,U222)&amp;"",IF(SUMPRODUCT((LEFT(T222,LEN('Referência LC 214'!$N$6:$N$967))='Referência LC 214'!$N$6:$N$967)*('Referência LC 214'!$L$6:$L$967&lt;&gt;""))&gt;0,"Há outro tratamento só para alguns compradores (ex.: órgão público/SUS) — veja a referência","")))</f>
        <v/>
      </c>
      <c r="M222" s="30" t="str">
        <f aca="false">IF(T222="","",IF(AND(C222&lt;&gt;"Serviço",LEN(T222)-1&lt;&gt;8),"NCM deve ter 8 dígitos",IF(AND(C222="Serviço",LEN(T222)-1&lt;&gt;9),"NBS deve ter 9 dígitos",IF(L222&lt;&gt;"","Benefício depende do comprador: confira a coluna N",IF(G222&gt;1,"Mais de uma regra: confira o item do anexo na referência",IF(G222=0,"Sem redução na LC 214","Confira se o produto é o descrito no item"))))))</f>
        <v/>
      </c>
      <c r="N222" s="25"/>
      <c r="O222" s="23"/>
      <c r="P222" s="25"/>
      <c r="Q222" s="25"/>
      <c r="R222" s="31"/>
      <c r="S222" s="24"/>
      <c r="T222" s="4" t="str">
        <f aca="false">IF(D222="","",IF(C222="Serviço","S","P")&amp;SUBSTITUTE(SUBSTITUTE(SUBSTITUTE(D222,".",""),"-","")," ",""))</f>
        <v/>
      </c>
      <c r="U222" s="4" t="str">
        <f aca="false">IF(T222="","",IFERROR(MATCH(LEFT(T222,10),'Referência LC 214'!$N$6:$N$967,0),IFERROR(MATCH(LEFT(T222,9),'Referência LC 214'!$N$6:$N$967,0),IFERROR(MATCH(LEFT(T222,8),'Referência LC 214'!$N$6:$N$967,0),IFERROR(MATCH(LEFT(T222,7),'Referência LC 214'!$N$6:$N$967,0),IFERROR(MATCH(LEFT(T222,6),'Referência LC 214'!$N$6:$N$967,0),IFERROR(MATCH(LEFT(T222,5),'Referência LC 214'!$N$6:$N$967,0),IFERROR(MATCH(LEFT(T222,4),'Referência LC 214'!$N$6:$N$967,0),IFERROR(MATCH(LEFT(T222,3),'Referência LC 214'!$N$6:$N$967,0),"")))))))))</f>
        <v/>
      </c>
    </row>
    <row r="223" customFormat="false" ht="15" hidden="false" customHeight="false" outlineLevel="0" collapsed="false">
      <c r="A223" s="23"/>
      <c r="B223" s="24"/>
      <c r="C223" s="25"/>
      <c r="D223" s="23"/>
      <c r="E223" s="23"/>
      <c r="F223" s="25"/>
      <c r="G223" s="26" t="str">
        <f aca="false">IF(T223="","",SUMPRODUCT(--(LEFT(T223,LEN('Referência LC 214'!$N$6:$N$967))='Referência LC 214'!$N$6:$N$967)))</f>
        <v/>
      </c>
      <c r="H223" s="27" t="str">
        <f aca="false">IF(T223="","",IF(U223="","000001",INDEX('Referência LC 214'!$I$6:$I$967,U223)))</f>
        <v/>
      </c>
      <c r="I223" s="28" t="str">
        <f aca="false">IF(T223="","",IF(U223="","Sem anexo: tributação integral",INDEX('Referência LC 214'!$H$6:$H$967,U223)))</f>
        <v/>
      </c>
      <c r="J223" s="29" t="str">
        <f aca="false">IF(T223="","",IF(U223="",0,INDEX('Referência LC 214'!$K$6:$K$967,U223)))</f>
        <v/>
      </c>
      <c r="K223" s="28" t="str">
        <f aca="false">IF(OR(T223="",U223=""),"","Anexo "&amp;INDEX('Referência LC 214'!$E$6:$E$967,U223)&amp;", item "&amp;INDEX('Referência LC 214'!$F$6:$F$967,U223)&amp;": "&amp;INDEX('Referência LC 214'!$G$6:$G$967,U223))</f>
        <v/>
      </c>
      <c r="L223" s="28" t="str">
        <f aca="false">IF(OR(T223="",U223=""),"",IF(INDEX('Referência LC 214'!$L$6:$L$967,U223)&amp;""&lt;&gt;"",INDEX('Referência LC 214'!$L$6:$L$967,U223)&amp;"",IF(SUMPRODUCT((LEFT(T223,LEN('Referência LC 214'!$N$6:$N$967))='Referência LC 214'!$N$6:$N$967)*('Referência LC 214'!$L$6:$L$967&lt;&gt;""))&gt;0,"Há outro tratamento só para alguns compradores (ex.: órgão público/SUS) — veja a referência","")))</f>
        <v/>
      </c>
      <c r="M223" s="30" t="str">
        <f aca="false">IF(T223="","",IF(AND(C223&lt;&gt;"Serviço",LEN(T223)-1&lt;&gt;8),"NCM deve ter 8 dígitos",IF(AND(C223="Serviço",LEN(T223)-1&lt;&gt;9),"NBS deve ter 9 dígitos",IF(L223&lt;&gt;"","Benefício depende do comprador: confira a coluna N",IF(G223&gt;1,"Mais de uma regra: confira o item do anexo na referência",IF(G223=0,"Sem redução na LC 214","Confira se o produto é o descrito no item"))))))</f>
        <v/>
      </c>
      <c r="N223" s="25"/>
      <c r="O223" s="23"/>
      <c r="P223" s="25"/>
      <c r="Q223" s="25"/>
      <c r="R223" s="31"/>
      <c r="S223" s="24"/>
      <c r="T223" s="4" t="str">
        <f aca="false">IF(D223="","",IF(C223="Serviço","S","P")&amp;SUBSTITUTE(SUBSTITUTE(SUBSTITUTE(D223,".",""),"-","")," ",""))</f>
        <v/>
      </c>
      <c r="U223" s="4" t="str">
        <f aca="false">IF(T223="","",IFERROR(MATCH(LEFT(T223,10),'Referência LC 214'!$N$6:$N$967,0),IFERROR(MATCH(LEFT(T223,9),'Referência LC 214'!$N$6:$N$967,0),IFERROR(MATCH(LEFT(T223,8),'Referência LC 214'!$N$6:$N$967,0),IFERROR(MATCH(LEFT(T223,7),'Referência LC 214'!$N$6:$N$967,0),IFERROR(MATCH(LEFT(T223,6),'Referência LC 214'!$N$6:$N$967,0),IFERROR(MATCH(LEFT(T223,5),'Referência LC 214'!$N$6:$N$967,0),IFERROR(MATCH(LEFT(T223,4),'Referência LC 214'!$N$6:$N$967,0),IFERROR(MATCH(LEFT(T223,3),'Referência LC 214'!$N$6:$N$967,0),"")))))))))</f>
        <v/>
      </c>
    </row>
    <row r="224" customFormat="false" ht="15" hidden="false" customHeight="false" outlineLevel="0" collapsed="false">
      <c r="A224" s="23"/>
      <c r="B224" s="24"/>
      <c r="C224" s="25"/>
      <c r="D224" s="23"/>
      <c r="E224" s="23"/>
      <c r="F224" s="25"/>
      <c r="G224" s="26" t="str">
        <f aca="false">IF(T224="","",SUMPRODUCT(--(LEFT(T224,LEN('Referência LC 214'!$N$6:$N$967))='Referência LC 214'!$N$6:$N$967)))</f>
        <v/>
      </c>
      <c r="H224" s="27" t="str">
        <f aca="false">IF(T224="","",IF(U224="","000001",INDEX('Referência LC 214'!$I$6:$I$967,U224)))</f>
        <v/>
      </c>
      <c r="I224" s="28" t="str">
        <f aca="false">IF(T224="","",IF(U224="","Sem anexo: tributação integral",INDEX('Referência LC 214'!$H$6:$H$967,U224)))</f>
        <v/>
      </c>
      <c r="J224" s="29" t="str">
        <f aca="false">IF(T224="","",IF(U224="",0,INDEX('Referência LC 214'!$K$6:$K$967,U224)))</f>
        <v/>
      </c>
      <c r="K224" s="28" t="str">
        <f aca="false">IF(OR(T224="",U224=""),"","Anexo "&amp;INDEX('Referência LC 214'!$E$6:$E$967,U224)&amp;", item "&amp;INDEX('Referência LC 214'!$F$6:$F$967,U224)&amp;": "&amp;INDEX('Referência LC 214'!$G$6:$G$967,U224))</f>
        <v/>
      </c>
      <c r="L224" s="28" t="str">
        <f aca="false">IF(OR(T224="",U224=""),"",IF(INDEX('Referência LC 214'!$L$6:$L$967,U224)&amp;""&lt;&gt;"",INDEX('Referência LC 214'!$L$6:$L$967,U224)&amp;"",IF(SUMPRODUCT((LEFT(T224,LEN('Referência LC 214'!$N$6:$N$967))='Referência LC 214'!$N$6:$N$967)*('Referência LC 214'!$L$6:$L$967&lt;&gt;""))&gt;0,"Há outro tratamento só para alguns compradores (ex.: órgão público/SUS) — veja a referência","")))</f>
        <v/>
      </c>
      <c r="M224" s="30" t="str">
        <f aca="false">IF(T224="","",IF(AND(C224&lt;&gt;"Serviço",LEN(T224)-1&lt;&gt;8),"NCM deve ter 8 dígitos",IF(AND(C224="Serviço",LEN(T224)-1&lt;&gt;9),"NBS deve ter 9 dígitos",IF(L224&lt;&gt;"","Benefício depende do comprador: confira a coluna N",IF(G224&gt;1,"Mais de uma regra: confira o item do anexo na referência",IF(G224=0,"Sem redução na LC 214","Confira se o produto é o descrito no item"))))))</f>
        <v/>
      </c>
      <c r="N224" s="25"/>
      <c r="O224" s="23"/>
      <c r="P224" s="25"/>
      <c r="Q224" s="25"/>
      <c r="R224" s="31"/>
      <c r="S224" s="24"/>
      <c r="T224" s="4" t="str">
        <f aca="false">IF(D224="","",IF(C224="Serviço","S","P")&amp;SUBSTITUTE(SUBSTITUTE(SUBSTITUTE(D224,".",""),"-","")," ",""))</f>
        <v/>
      </c>
      <c r="U224" s="4" t="str">
        <f aca="false">IF(T224="","",IFERROR(MATCH(LEFT(T224,10),'Referência LC 214'!$N$6:$N$967,0),IFERROR(MATCH(LEFT(T224,9),'Referência LC 214'!$N$6:$N$967,0),IFERROR(MATCH(LEFT(T224,8),'Referência LC 214'!$N$6:$N$967,0),IFERROR(MATCH(LEFT(T224,7),'Referência LC 214'!$N$6:$N$967,0),IFERROR(MATCH(LEFT(T224,6),'Referência LC 214'!$N$6:$N$967,0),IFERROR(MATCH(LEFT(T224,5),'Referência LC 214'!$N$6:$N$967,0),IFERROR(MATCH(LEFT(T224,4),'Referência LC 214'!$N$6:$N$967,0),IFERROR(MATCH(LEFT(T224,3),'Referência LC 214'!$N$6:$N$967,0),"")))))))))</f>
        <v/>
      </c>
    </row>
    <row r="225" customFormat="false" ht="15" hidden="false" customHeight="false" outlineLevel="0" collapsed="false">
      <c r="A225" s="23"/>
      <c r="B225" s="24"/>
      <c r="C225" s="25"/>
      <c r="D225" s="23"/>
      <c r="E225" s="23"/>
      <c r="F225" s="25"/>
      <c r="G225" s="26" t="str">
        <f aca="false">IF(T225="","",SUMPRODUCT(--(LEFT(T225,LEN('Referência LC 214'!$N$6:$N$967))='Referência LC 214'!$N$6:$N$967)))</f>
        <v/>
      </c>
      <c r="H225" s="27" t="str">
        <f aca="false">IF(T225="","",IF(U225="","000001",INDEX('Referência LC 214'!$I$6:$I$967,U225)))</f>
        <v/>
      </c>
      <c r="I225" s="28" t="str">
        <f aca="false">IF(T225="","",IF(U225="","Sem anexo: tributação integral",INDEX('Referência LC 214'!$H$6:$H$967,U225)))</f>
        <v/>
      </c>
      <c r="J225" s="29" t="str">
        <f aca="false">IF(T225="","",IF(U225="",0,INDEX('Referência LC 214'!$K$6:$K$967,U225)))</f>
        <v/>
      </c>
      <c r="K225" s="28" t="str">
        <f aca="false">IF(OR(T225="",U225=""),"","Anexo "&amp;INDEX('Referência LC 214'!$E$6:$E$967,U225)&amp;", item "&amp;INDEX('Referência LC 214'!$F$6:$F$967,U225)&amp;": "&amp;INDEX('Referência LC 214'!$G$6:$G$967,U225))</f>
        <v/>
      </c>
      <c r="L225" s="28" t="str">
        <f aca="false">IF(OR(T225="",U225=""),"",IF(INDEX('Referência LC 214'!$L$6:$L$967,U225)&amp;""&lt;&gt;"",INDEX('Referência LC 214'!$L$6:$L$967,U225)&amp;"",IF(SUMPRODUCT((LEFT(T225,LEN('Referência LC 214'!$N$6:$N$967))='Referência LC 214'!$N$6:$N$967)*('Referência LC 214'!$L$6:$L$967&lt;&gt;""))&gt;0,"Há outro tratamento só para alguns compradores (ex.: órgão público/SUS) — veja a referência","")))</f>
        <v/>
      </c>
      <c r="M225" s="30" t="str">
        <f aca="false">IF(T225="","",IF(AND(C225&lt;&gt;"Serviço",LEN(T225)-1&lt;&gt;8),"NCM deve ter 8 dígitos",IF(AND(C225="Serviço",LEN(T225)-1&lt;&gt;9),"NBS deve ter 9 dígitos",IF(L225&lt;&gt;"","Benefício depende do comprador: confira a coluna N",IF(G225&gt;1,"Mais de uma regra: confira o item do anexo na referência",IF(G225=0,"Sem redução na LC 214","Confira se o produto é o descrito no item"))))))</f>
        <v/>
      </c>
      <c r="N225" s="25"/>
      <c r="O225" s="23"/>
      <c r="P225" s="25"/>
      <c r="Q225" s="25"/>
      <c r="R225" s="31"/>
      <c r="S225" s="24"/>
      <c r="T225" s="4" t="str">
        <f aca="false">IF(D225="","",IF(C225="Serviço","S","P")&amp;SUBSTITUTE(SUBSTITUTE(SUBSTITUTE(D225,".",""),"-","")," ",""))</f>
        <v/>
      </c>
      <c r="U225" s="4" t="str">
        <f aca="false">IF(T225="","",IFERROR(MATCH(LEFT(T225,10),'Referência LC 214'!$N$6:$N$967,0),IFERROR(MATCH(LEFT(T225,9),'Referência LC 214'!$N$6:$N$967,0),IFERROR(MATCH(LEFT(T225,8),'Referência LC 214'!$N$6:$N$967,0),IFERROR(MATCH(LEFT(T225,7),'Referência LC 214'!$N$6:$N$967,0),IFERROR(MATCH(LEFT(T225,6),'Referência LC 214'!$N$6:$N$967,0),IFERROR(MATCH(LEFT(T225,5),'Referência LC 214'!$N$6:$N$967,0),IFERROR(MATCH(LEFT(T225,4),'Referência LC 214'!$N$6:$N$967,0),IFERROR(MATCH(LEFT(T225,3),'Referência LC 214'!$N$6:$N$967,0),"")))))))))</f>
        <v/>
      </c>
    </row>
    <row r="226" customFormat="false" ht="15" hidden="false" customHeight="false" outlineLevel="0" collapsed="false">
      <c r="A226" s="23"/>
      <c r="B226" s="24"/>
      <c r="C226" s="25"/>
      <c r="D226" s="23"/>
      <c r="E226" s="23"/>
      <c r="F226" s="25"/>
      <c r="G226" s="26" t="str">
        <f aca="false">IF(T226="","",SUMPRODUCT(--(LEFT(T226,LEN('Referência LC 214'!$N$6:$N$967))='Referência LC 214'!$N$6:$N$967)))</f>
        <v/>
      </c>
      <c r="H226" s="27" t="str">
        <f aca="false">IF(T226="","",IF(U226="","000001",INDEX('Referência LC 214'!$I$6:$I$967,U226)))</f>
        <v/>
      </c>
      <c r="I226" s="28" t="str">
        <f aca="false">IF(T226="","",IF(U226="","Sem anexo: tributação integral",INDEX('Referência LC 214'!$H$6:$H$967,U226)))</f>
        <v/>
      </c>
      <c r="J226" s="29" t="str">
        <f aca="false">IF(T226="","",IF(U226="",0,INDEX('Referência LC 214'!$K$6:$K$967,U226)))</f>
        <v/>
      </c>
      <c r="K226" s="28" t="str">
        <f aca="false">IF(OR(T226="",U226=""),"","Anexo "&amp;INDEX('Referência LC 214'!$E$6:$E$967,U226)&amp;", item "&amp;INDEX('Referência LC 214'!$F$6:$F$967,U226)&amp;": "&amp;INDEX('Referência LC 214'!$G$6:$G$967,U226))</f>
        <v/>
      </c>
      <c r="L226" s="28" t="str">
        <f aca="false">IF(OR(T226="",U226=""),"",IF(INDEX('Referência LC 214'!$L$6:$L$967,U226)&amp;""&lt;&gt;"",INDEX('Referência LC 214'!$L$6:$L$967,U226)&amp;"",IF(SUMPRODUCT((LEFT(T226,LEN('Referência LC 214'!$N$6:$N$967))='Referência LC 214'!$N$6:$N$967)*('Referência LC 214'!$L$6:$L$967&lt;&gt;""))&gt;0,"Há outro tratamento só para alguns compradores (ex.: órgão público/SUS) — veja a referência","")))</f>
        <v/>
      </c>
      <c r="M226" s="30" t="str">
        <f aca="false">IF(T226="","",IF(AND(C226&lt;&gt;"Serviço",LEN(T226)-1&lt;&gt;8),"NCM deve ter 8 dígitos",IF(AND(C226="Serviço",LEN(T226)-1&lt;&gt;9),"NBS deve ter 9 dígitos",IF(L226&lt;&gt;"","Benefício depende do comprador: confira a coluna N",IF(G226&gt;1,"Mais de uma regra: confira o item do anexo na referência",IF(G226=0,"Sem redução na LC 214","Confira se o produto é o descrito no item"))))))</f>
        <v/>
      </c>
      <c r="N226" s="25"/>
      <c r="O226" s="23"/>
      <c r="P226" s="25"/>
      <c r="Q226" s="25"/>
      <c r="R226" s="31"/>
      <c r="S226" s="24"/>
      <c r="T226" s="4" t="str">
        <f aca="false">IF(D226="","",IF(C226="Serviço","S","P")&amp;SUBSTITUTE(SUBSTITUTE(SUBSTITUTE(D226,".",""),"-","")," ",""))</f>
        <v/>
      </c>
      <c r="U226" s="4" t="str">
        <f aca="false">IF(T226="","",IFERROR(MATCH(LEFT(T226,10),'Referência LC 214'!$N$6:$N$967,0),IFERROR(MATCH(LEFT(T226,9),'Referência LC 214'!$N$6:$N$967,0),IFERROR(MATCH(LEFT(T226,8),'Referência LC 214'!$N$6:$N$967,0),IFERROR(MATCH(LEFT(T226,7),'Referência LC 214'!$N$6:$N$967,0),IFERROR(MATCH(LEFT(T226,6),'Referência LC 214'!$N$6:$N$967,0),IFERROR(MATCH(LEFT(T226,5),'Referência LC 214'!$N$6:$N$967,0),IFERROR(MATCH(LEFT(T226,4),'Referência LC 214'!$N$6:$N$967,0),IFERROR(MATCH(LEFT(T226,3),'Referência LC 214'!$N$6:$N$967,0),"")))))))))</f>
        <v/>
      </c>
    </row>
    <row r="227" customFormat="false" ht="15" hidden="false" customHeight="false" outlineLevel="0" collapsed="false">
      <c r="A227" s="23"/>
      <c r="B227" s="24"/>
      <c r="C227" s="25"/>
      <c r="D227" s="23"/>
      <c r="E227" s="23"/>
      <c r="F227" s="25"/>
      <c r="G227" s="26" t="str">
        <f aca="false">IF(T227="","",SUMPRODUCT(--(LEFT(T227,LEN('Referência LC 214'!$N$6:$N$967))='Referência LC 214'!$N$6:$N$967)))</f>
        <v/>
      </c>
      <c r="H227" s="27" t="str">
        <f aca="false">IF(T227="","",IF(U227="","000001",INDEX('Referência LC 214'!$I$6:$I$967,U227)))</f>
        <v/>
      </c>
      <c r="I227" s="28" t="str">
        <f aca="false">IF(T227="","",IF(U227="","Sem anexo: tributação integral",INDEX('Referência LC 214'!$H$6:$H$967,U227)))</f>
        <v/>
      </c>
      <c r="J227" s="29" t="str">
        <f aca="false">IF(T227="","",IF(U227="",0,INDEX('Referência LC 214'!$K$6:$K$967,U227)))</f>
        <v/>
      </c>
      <c r="K227" s="28" t="str">
        <f aca="false">IF(OR(T227="",U227=""),"","Anexo "&amp;INDEX('Referência LC 214'!$E$6:$E$967,U227)&amp;", item "&amp;INDEX('Referência LC 214'!$F$6:$F$967,U227)&amp;": "&amp;INDEX('Referência LC 214'!$G$6:$G$967,U227))</f>
        <v/>
      </c>
      <c r="L227" s="28" t="str">
        <f aca="false">IF(OR(T227="",U227=""),"",IF(INDEX('Referência LC 214'!$L$6:$L$967,U227)&amp;""&lt;&gt;"",INDEX('Referência LC 214'!$L$6:$L$967,U227)&amp;"",IF(SUMPRODUCT((LEFT(T227,LEN('Referência LC 214'!$N$6:$N$967))='Referência LC 214'!$N$6:$N$967)*('Referência LC 214'!$L$6:$L$967&lt;&gt;""))&gt;0,"Há outro tratamento só para alguns compradores (ex.: órgão público/SUS) — veja a referência","")))</f>
        <v/>
      </c>
      <c r="M227" s="30" t="str">
        <f aca="false">IF(T227="","",IF(AND(C227&lt;&gt;"Serviço",LEN(T227)-1&lt;&gt;8),"NCM deve ter 8 dígitos",IF(AND(C227="Serviço",LEN(T227)-1&lt;&gt;9),"NBS deve ter 9 dígitos",IF(L227&lt;&gt;"","Benefício depende do comprador: confira a coluna N",IF(G227&gt;1,"Mais de uma regra: confira o item do anexo na referência",IF(G227=0,"Sem redução na LC 214","Confira se o produto é o descrito no item"))))))</f>
        <v/>
      </c>
      <c r="N227" s="25"/>
      <c r="O227" s="23"/>
      <c r="P227" s="25"/>
      <c r="Q227" s="25"/>
      <c r="R227" s="31"/>
      <c r="S227" s="24"/>
      <c r="T227" s="4" t="str">
        <f aca="false">IF(D227="","",IF(C227="Serviço","S","P")&amp;SUBSTITUTE(SUBSTITUTE(SUBSTITUTE(D227,".",""),"-","")," ",""))</f>
        <v/>
      </c>
      <c r="U227" s="4" t="str">
        <f aca="false">IF(T227="","",IFERROR(MATCH(LEFT(T227,10),'Referência LC 214'!$N$6:$N$967,0),IFERROR(MATCH(LEFT(T227,9),'Referência LC 214'!$N$6:$N$967,0),IFERROR(MATCH(LEFT(T227,8),'Referência LC 214'!$N$6:$N$967,0),IFERROR(MATCH(LEFT(T227,7),'Referência LC 214'!$N$6:$N$967,0),IFERROR(MATCH(LEFT(T227,6),'Referência LC 214'!$N$6:$N$967,0),IFERROR(MATCH(LEFT(T227,5),'Referência LC 214'!$N$6:$N$967,0),IFERROR(MATCH(LEFT(T227,4),'Referência LC 214'!$N$6:$N$967,0),IFERROR(MATCH(LEFT(T227,3),'Referência LC 214'!$N$6:$N$967,0),"")))))))))</f>
        <v/>
      </c>
    </row>
    <row r="228" customFormat="false" ht="15" hidden="false" customHeight="false" outlineLevel="0" collapsed="false">
      <c r="A228" s="23"/>
      <c r="B228" s="24"/>
      <c r="C228" s="25"/>
      <c r="D228" s="23"/>
      <c r="E228" s="23"/>
      <c r="F228" s="25"/>
      <c r="G228" s="26" t="str">
        <f aca="false">IF(T228="","",SUMPRODUCT(--(LEFT(T228,LEN('Referência LC 214'!$N$6:$N$967))='Referência LC 214'!$N$6:$N$967)))</f>
        <v/>
      </c>
      <c r="H228" s="27" t="str">
        <f aca="false">IF(T228="","",IF(U228="","000001",INDEX('Referência LC 214'!$I$6:$I$967,U228)))</f>
        <v/>
      </c>
      <c r="I228" s="28" t="str">
        <f aca="false">IF(T228="","",IF(U228="","Sem anexo: tributação integral",INDEX('Referência LC 214'!$H$6:$H$967,U228)))</f>
        <v/>
      </c>
      <c r="J228" s="29" t="str">
        <f aca="false">IF(T228="","",IF(U228="",0,INDEX('Referência LC 214'!$K$6:$K$967,U228)))</f>
        <v/>
      </c>
      <c r="K228" s="28" t="str">
        <f aca="false">IF(OR(T228="",U228=""),"","Anexo "&amp;INDEX('Referência LC 214'!$E$6:$E$967,U228)&amp;", item "&amp;INDEX('Referência LC 214'!$F$6:$F$967,U228)&amp;": "&amp;INDEX('Referência LC 214'!$G$6:$G$967,U228))</f>
        <v/>
      </c>
      <c r="L228" s="28" t="str">
        <f aca="false">IF(OR(T228="",U228=""),"",IF(INDEX('Referência LC 214'!$L$6:$L$967,U228)&amp;""&lt;&gt;"",INDEX('Referência LC 214'!$L$6:$L$967,U228)&amp;"",IF(SUMPRODUCT((LEFT(T228,LEN('Referência LC 214'!$N$6:$N$967))='Referência LC 214'!$N$6:$N$967)*('Referência LC 214'!$L$6:$L$967&lt;&gt;""))&gt;0,"Há outro tratamento só para alguns compradores (ex.: órgão público/SUS) — veja a referência","")))</f>
        <v/>
      </c>
      <c r="M228" s="30" t="str">
        <f aca="false">IF(T228="","",IF(AND(C228&lt;&gt;"Serviço",LEN(T228)-1&lt;&gt;8),"NCM deve ter 8 dígitos",IF(AND(C228="Serviço",LEN(T228)-1&lt;&gt;9),"NBS deve ter 9 dígitos",IF(L228&lt;&gt;"","Benefício depende do comprador: confira a coluna N",IF(G228&gt;1,"Mais de uma regra: confira o item do anexo na referência",IF(G228=0,"Sem redução na LC 214","Confira se o produto é o descrito no item"))))))</f>
        <v/>
      </c>
      <c r="N228" s="25"/>
      <c r="O228" s="23"/>
      <c r="P228" s="25"/>
      <c r="Q228" s="25"/>
      <c r="R228" s="31"/>
      <c r="S228" s="24"/>
      <c r="T228" s="4" t="str">
        <f aca="false">IF(D228="","",IF(C228="Serviço","S","P")&amp;SUBSTITUTE(SUBSTITUTE(SUBSTITUTE(D228,".",""),"-","")," ",""))</f>
        <v/>
      </c>
      <c r="U228" s="4" t="str">
        <f aca="false">IF(T228="","",IFERROR(MATCH(LEFT(T228,10),'Referência LC 214'!$N$6:$N$967,0),IFERROR(MATCH(LEFT(T228,9),'Referência LC 214'!$N$6:$N$967,0),IFERROR(MATCH(LEFT(T228,8),'Referência LC 214'!$N$6:$N$967,0),IFERROR(MATCH(LEFT(T228,7),'Referência LC 214'!$N$6:$N$967,0),IFERROR(MATCH(LEFT(T228,6),'Referência LC 214'!$N$6:$N$967,0),IFERROR(MATCH(LEFT(T228,5),'Referência LC 214'!$N$6:$N$967,0),IFERROR(MATCH(LEFT(T228,4),'Referência LC 214'!$N$6:$N$967,0),IFERROR(MATCH(LEFT(T228,3),'Referência LC 214'!$N$6:$N$967,0),"")))))))))</f>
        <v/>
      </c>
    </row>
    <row r="229" customFormat="false" ht="15" hidden="false" customHeight="false" outlineLevel="0" collapsed="false">
      <c r="A229" s="23"/>
      <c r="B229" s="24"/>
      <c r="C229" s="25"/>
      <c r="D229" s="23"/>
      <c r="E229" s="23"/>
      <c r="F229" s="25"/>
      <c r="G229" s="26" t="str">
        <f aca="false">IF(T229="","",SUMPRODUCT(--(LEFT(T229,LEN('Referência LC 214'!$N$6:$N$967))='Referência LC 214'!$N$6:$N$967)))</f>
        <v/>
      </c>
      <c r="H229" s="27" t="str">
        <f aca="false">IF(T229="","",IF(U229="","000001",INDEX('Referência LC 214'!$I$6:$I$967,U229)))</f>
        <v/>
      </c>
      <c r="I229" s="28" t="str">
        <f aca="false">IF(T229="","",IF(U229="","Sem anexo: tributação integral",INDEX('Referência LC 214'!$H$6:$H$967,U229)))</f>
        <v/>
      </c>
      <c r="J229" s="29" t="str">
        <f aca="false">IF(T229="","",IF(U229="",0,INDEX('Referência LC 214'!$K$6:$K$967,U229)))</f>
        <v/>
      </c>
      <c r="K229" s="28" t="str">
        <f aca="false">IF(OR(T229="",U229=""),"","Anexo "&amp;INDEX('Referência LC 214'!$E$6:$E$967,U229)&amp;", item "&amp;INDEX('Referência LC 214'!$F$6:$F$967,U229)&amp;": "&amp;INDEX('Referência LC 214'!$G$6:$G$967,U229))</f>
        <v/>
      </c>
      <c r="L229" s="28" t="str">
        <f aca="false">IF(OR(T229="",U229=""),"",IF(INDEX('Referência LC 214'!$L$6:$L$967,U229)&amp;""&lt;&gt;"",INDEX('Referência LC 214'!$L$6:$L$967,U229)&amp;"",IF(SUMPRODUCT((LEFT(T229,LEN('Referência LC 214'!$N$6:$N$967))='Referência LC 214'!$N$6:$N$967)*('Referência LC 214'!$L$6:$L$967&lt;&gt;""))&gt;0,"Há outro tratamento só para alguns compradores (ex.: órgão público/SUS) — veja a referência","")))</f>
        <v/>
      </c>
      <c r="M229" s="30" t="str">
        <f aca="false">IF(T229="","",IF(AND(C229&lt;&gt;"Serviço",LEN(T229)-1&lt;&gt;8),"NCM deve ter 8 dígitos",IF(AND(C229="Serviço",LEN(T229)-1&lt;&gt;9),"NBS deve ter 9 dígitos",IF(L229&lt;&gt;"","Benefício depende do comprador: confira a coluna N",IF(G229&gt;1,"Mais de uma regra: confira o item do anexo na referência",IF(G229=0,"Sem redução na LC 214","Confira se o produto é o descrito no item"))))))</f>
        <v/>
      </c>
      <c r="N229" s="25"/>
      <c r="O229" s="23"/>
      <c r="P229" s="25"/>
      <c r="Q229" s="25"/>
      <c r="R229" s="31"/>
      <c r="S229" s="24"/>
      <c r="T229" s="4" t="str">
        <f aca="false">IF(D229="","",IF(C229="Serviço","S","P")&amp;SUBSTITUTE(SUBSTITUTE(SUBSTITUTE(D229,".",""),"-","")," ",""))</f>
        <v/>
      </c>
      <c r="U229" s="4" t="str">
        <f aca="false">IF(T229="","",IFERROR(MATCH(LEFT(T229,10),'Referência LC 214'!$N$6:$N$967,0),IFERROR(MATCH(LEFT(T229,9),'Referência LC 214'!$N$6:$N$967,0),IFERROR(MATCH(LEFT(T229,8),'Referência LC 214'!$N$6:$N$967,0),IFERROR(MATCH(LEFT(T229,7),'Referência LC 214'!$N$6:$N$967,0),IFERROR(MATCH(LEFT(T229,6),'Referência LC 214'!$N$6:$N$967,0),IFERROR(MATCH(LEFT(T229,5),'Referência LC 214'!$N$6:$N$967,0),IFERROR(MATCH(LEFT(T229,4),'Referência LC 214'!$N$6:$N$967,0),IFERROR(MATCH(LEFT(T229,3),'Referência LC 214'!$N$6:$N$967,0),"")))))))))</f>
        <v/>
      </c>
    </row>
    <row r="230" customFormat="false" ht="15" hidden="false" customHeight="false" outlineLevel="0" collapsed="false">
      <c r="A230" s="23"/>
      <c r="B230" s="24"/>
      <c r="C230" s="25"/>
      <c r="D230" s="23"/>
      <c r="E230" s="23"/>
      <c r="F230" s="25"/>
      <c r="G230" s="26" t="str">
        <f aca="false">IF(T230="","",SUMPRODUCT(--(LEFT(T230,LEN('Referência LC 214'!$N$6:$N$967))='Referência LC 214'!$N$6:$N$967)))</f>
        <v/>
      </c>
      <c r="H230" s="27" t="str">
        <f aca="false">IF(T230="","",IF(U230="","000001",INDEX('Referência LC 214'!$I$6:$I$967,U230)))</f>
        <v/>
      </c>
      <c r="I230" s="28" t="str">
        <f aca="false">IF(T230="","",IF(U230="","Sem anexo: tributação integral",INDEX('Referência LC 214'!$H$6:$H$967,U230)))</f>
        <v/>
      </c>
      <c r="J230" s="29" t="str">
        <f aca="false">IF(T230="","",IF(U230="",0,INDEX('Referência LC 214'!$K$6:$K$967,U230)))</f>
        <v/>
      </c>
      <c r="K230" s="28" t="str">
        <f aca="false">IF(OR(T230="",U230=""),"","Anexo "&amp;INDEX('Referência LC 214'!$E$6:$E$967,U230)&amp;", item "&amp;INDEX('Referência LC 214'!$F$6:$F$967,U230)&amp;": "&amp;INDEX('Referência LC 214'!$G$6:$G$967,U230))</f>
        <v/>
      </c>
      <c r="L230" s="28" t="str">
        <f aca="false">IF(OR(T230="",U230=""),"",IF(INDEX('Referência LC 214'!$L$6:$L$967,U230)&amp;""&lt;&gt;"",INDEX('Referência LC 214'!$L$6:$L$967,U230)&amp;"",IF(SUMPRODUCT((LEFT(T230,LEN('Referência LC 214'!$N$6:$N$967))='Referência LC 214'!$N$6:$N$967)*('Referência LC 214'!$L$6:$L$967&lt;&gt;""))&gt;0,"Há outro tratamento só para alguns compradores (ex.: órgão público/SUS) — veja a referência","")))</f>
        <v/>
      </c>
      <c r="M230" s="30" t="str">
        <f aca="false">IF(T230="","",IF(AND(C230&lt;&gt;"Serviço",LEN(T230)-1&lt;&gt;8),"NCM deve ter 8 dígitos",IF(AND(C230="Serviço",LEN(T230)-1&lt;&gt;9),"NBS deve ter 9 dígitos",IF(L230&lt;&gt;"","Benefício depende do comprador: confira a coluna N",IF(G230&gt;1,"Mais de uma regra: confira o item do anexo na referência",IF(G230=0,"Sem redução na LC 214","Confira se o produto é o descrito no item"))))))</f>
        <v/>
      </c>
      <c r="N230" s="25"/>
      <c r="O230" s="23"/>
      <c r="P230" s="25"/>
      <c r="Q230" s="25"/>
      <c r="R230" s="31"/>
      <c r="S230" s="24"/>
      <c r="T230" s="4" t="str">
        <f aca="false">IF(D230="","",IF(C230="Serviço","S","P")&amp;SUBSTITUTE(SUBSTITUTE(SUBSTITUTE(D230,".",""),"-","")," ",""))</f>
        <v/>
      </c>
      <c r="U230" s="4" t="str">
        <f aca="false">IF(T230="","",IFERROR(MATCH(LEFT(T230,10),'Referência LC 214'!$N$6:$N$967,0),IFERROR(MATCH(LEFT(T230,9),'Referência LC 214'!$N$6:$N$967,0),IFERROR(MATCH(LEFT(T230,8),'Referência LC 214'!$N$6:$N$967,0),IFERROR(MATCH(LEFT(T230,7),'Referência LC 214'!$N$6:$N$967,0),IFERROR(MATCH(LEFT(T230,6),'Referência LC 214'!$N$6:$N$967,0),IFERROR(MATCH(LEFT(T230,5),'Referência LC 214'!$N$6:$N$967,0),IFERROR(MATCH(LEFT(T230,4),'Referência LC 214'!$N$6:$N$967,0),IFERROR(MATCH(LEFT(T230,3),'Referência LC 214'!$N$6:$N$967,0),"")))))))))</f>
        <v/>
      </c>
    </row>
    <row r="231" customFormat="false" ht="15" hidden="false" customHeight="false" outlineLevel="0" collapsed="false">
      <c r="A231" s="23"/>
      <c r="B231" s="24"/>
      <c r="C231" s="25"/>
      <c r="D231" s="23"/>
      <c r="E231" s="23"/>
      <c r="F231" s="25"/>
      <c r="G231" s="26" t="str">
        <f aca="false">IF(T231="","",SUMPRODUCT(--(LEFT(T231,LEN('Referência LC 214'!$N$6:$N$967))='Referência LC 214'!$N$6:$N$967)))</f>
        <v/>
      </c>
      <c r="H231" s="27" t="str">
        <f aca="false">IF(T231="","",IF(U231="","000001",INDEX('Referência LC 214'!$I$6:$I$967,U231)))</f>
        <v/>
      </c>
      <c r="I231" s="28" t="str">
        <f aca="false">IF(T231="","",IF(U231="","Sem anexo: tributação integral",INDEX('Referência LC 214'!$H$6:$H$967,U231)))</f>
        <v/>
      </c>
      <c r="J231" s="29" t="str">
        <f aca="false">IF(T231="","",IF(U231="",0,INDEX('Referência LC 214'!$K$6:$K$967,U231)))</f>
        <v/>
      </c>
      <c r="K231" s="28" t="str">
        <f aca="false">IF(OR(T231="",U231=""),"","Anexo "&amp;INDEX('Referência LC 214'!$E$6:$E$967,U231)&amp;", item "&amp;INDEX('Referência LC 214'!$F$6:$F$967,U231)&amp;": "&amp;INDEX('Referência LC 214'!$G$6:$G$967,U231))</f>
        <v/>
      </c>
      <c r="L231" s="28" t="str">
        <f aca="false">IF(OR(T231="",U231=""),"",IF(INDEX('Referência LC 214'!$L$6:$L$967,U231)&amp;""&lt;&gt;"",INDEX('Referência LC 214'!$L$6:$L$967,U231)&amp;"",IF(SUMPRODUCT((LEFT(T231,LEN('Referência LC 214'!$N$6:$N$967))='Referência LC 214'!$N$6:$N$967)*('Referência LC 214'!$L$6:$L$967&lt;&gt;""))&gt;0,"Há outro tratamento só para alguns compradores (ex.: órgão público/SUS) — veja a referência","")))</f>
        <v/>
      </c>
      <c r="M231" s="30" t="str">
        <f aca="false">IF(T231="","",IF(AND(C231&lt;&gt;"Serviço",LEN(T231)-1&lt;&gt;8),"NCM deve ter 8 dígitos",IF(AND(C231="Serviço",LEN(T231)-1&lt;&gt;9),"NBS deve ter 9 dígitos",IF(L231&lt;&gt;"","Benefício depende do comprador: confira a coluna N",IF(G231&gt;1,"Mais de uma regra: confira o item do anexo na referência",IF(G231=0,"Sem redução na LC 214","Confira se o produto é o descrito no item"))))))</f>
        <v/>
      </c>
      <c r="N231" s="25"/>
      <c r="O231" s="23"/>
      <c r="P231" s="25"/>
      <c r="Q231" s="25"/>
      <c r="R231" s="31"/>
      <c r="S231" s="24"/>
      <c r="T231" s="4" t="str">
        <f aca="false">IF(D231="","",IF(C231="Serviço","S","P")&amp;SUBSTITUTE(SUBSTITUTE(SUBSTITUTE(D231,".",""),"-","")," ",""))</f>
        <v/>
      </c>
      <c r="U231" s="4" t="str">
        <f aca="false">IF(T231="","",IFERROR(MATCH(LEFT(T231,10),'Referência LC 214'!$N$6:$N$967,0),IFERROR(MATCH(LEFT(T231,9),'Referência LC 214'!$N$6:$N$967,0),IFERROR(MATCH(LEFT(T231,8),'Referência LC 214'!$N$6:$N$967,0),IFERROR(MATCH(LEFT(T231,7),'Referência LC 214'!$N$6:$N$967,0),IFERROR(MATCH(LEFT(T231,6),'Referência LC 214'!$N$6:$N$967,0),IFERROR(MATCH(LEFT(T231,5),'Referência LC 214'!$N$6:$N$967,0),IFERROR(MATCH(LEFT(T231,4),'Referência LC 214'!$N$6:$N$967,0),IFERROR(MATCH(LEFT(T231,3),'Referência LC 214'!$N$6:$N$967,0),"")))))))))</f>
        <v/>
      </c>
    </row>
    <row r="232" customFormat="false" ht="15" hidden="false" customHeight="false" outlineLevel="0" collapsed="false">
      <c r="A232" s="23"/>
      <c r="B232" s="24"/>
      <c r="C232" s="25"/>
      <c r="D232" s="23"/>
      <c r="E232" s="23"/>
      <c r="F232" s="25"/>
      <c r="G232" s="26" t="str">
        <f aca="false">IF(T232="","",SUMPRODUCT(--(LEFT(T232,LEN('Referência LC 214'!$N$6:$N$967))='Referência LC 214'!$N$6:$N$967)))</f>
        <v/>
      </c>
      <c r="H232" s="27" t="str">
        <f aca="false">IF(T232="","",IF(U232="","000001",INDEX('Referência LC 214'!$I$6:$I$967,U232)))</f>
        <v/>
      </c>
      <c r="I232" s="28" t="str">
        <f aca="false">IF(T232="","",IF(U232="","Sem anexo: tributação integral",INDEX('Referência LC 214'!$H$6:$H$967,U232)))</f>
        <v/>
      </c>
      <c r="J232" s="29" t="str">
        <f aca="false">IF(T232="","",IF(U232="",0,INDEX('Referência LC 214'!$K$6:$K$967,U232)))</f>
        <v/>
      </c>
      <c r="K232" s="28" t="str">
        <f aca="false">IF(OR(T232="",U232=""),"","Anexo "&amp;INDEX('Referência LC 214'!$E$6:$E$967,U232)&amp;", item "&amp;INDEX('Referência LC 214'!$F$6:$F$967,U232)&amp;": "&amp;INDEX('Referência LC 214'!$G$6:$G$967,U232))</f>
        <v/>
      </c>
      <c r="L232" s="28" t="str">
        <f aca="false">IF(OR(T232="",U232=""),"",IF(INDEX('Referência LC 214'!$L$6:$L$967,U232)&amp;""&lt;&gt;"",INDEX('Referência LC 214'!$L$6:$L$967,U232)&amp;"",IF(SUMPRODUCT((LEFT(T232,LEN('Referência LC 214'!$N$6:$N$967))='Referência LC 214'!$N$6:$N$967)*('Referência LC 214'!$L$6:$L$967&lt;&gt;""))&gt;0,"Há outro tratamento só para alguns compradores (ex.: órgão público/SUS) — veja a referência","")))</f>
        <v/>
      </c>
      <c r="M232" s="30" t="str">
        <f aca="false">IF(T232="","",IF(AND(C232&lt;&gt;"Serviço",LEN(T232)-1&lt;&gt;8),"NCM deve ter 8 dígitos",IF(AND(C232="Serviço",LEN(T232)-1&lt;&gt;9),"NBS deve ter 9 dígitos",IF(L232&lt;&gt;"","Benefício depende do comprador: confira a coluna N",IF(G232&gt;1,"Mais de uma regra: confira o item do anexo na referência",IF(G232=0,"Sem redução na LC 214","Confira se o produto é o descrito no item"))))))</f>
        <v/>
      </c>
      <c r="N232" s="25"/>
      <c r="O232" s="23"/>
      <c r="P232" s="25"/>
      <c r="Q232" s="25"/>
      <c r="R232" s="31"/>
      <c r="S232" s="24"/>
      <c r="T232" s="4" t="str">
        <f aca="false">IF(D232="","",IF(C232="Serviço","S","P")&amp;SUBSTITUTE(SUBSTITUTE(SUBSTITUTE(D232,".",""),"-","")," ",""))</f>
        <v/>
      </c>
      <c r="U232" s="4" t="str">
        <f aca="false">IF(T232="","",IFERROR(MATCH(LEFT(T232,10),'Referência LC 214'!$N$6:$N$967,0),IFERROR(MATCH(LEFT(T232,9),'Referência LC 214'!$N$6:$N$967,0),IFERROR(MATCH(LEFT(T232,8),'Referência LC 214'!$N$6:$N$967,0),IFERROR(MATCH(LEFT(T232,7),'Referência LC 214'!$N$6:$N$967,0),IFERROR(MATCH(LEFT(T232,6),'Referência LC 214'!$N$6:$N$967,0),IFERROR(MATCH(LEFT(T232,5),'Referência LC 214'!$N$6:$N$967,0),IFERROR(MATCH(LEFT(T232,4),'Referência LC 214'!$N$6:$N$967,0),IFERROR(MATCH(LEFT(T232,3),'Referência LC 214'!$N$6:$N$967,0),"")))))))))</f>
        <v/>
      </c>
    </row>
    <row r="233" customFormat="false" ht="15" hidden="false" customHeight="false" outlineLevel="0" collapsed="false">
      <c r="A233" s="23"/>
      <c r="B233" s="24"/>
      <c r="C233" s="25"/>
      <c r="D233" s="23"/>
      <c r="E233" s="23"/>
      <c r="F233" s="25"/>
      <c r="G233" s="26" t="str">
        <f aca="false">IF(T233="","",SUMPRODUCT(--(LEFT(T233,LEN('Referência LC 214'!$N$6:$N$967))='Referência LC 214'!$N$6:$N$967)))</f>
        <v/>
      </c>
      <c r="H233" s="27" t="str">
        <f aca="false">IF(T233="","",IF(U233="","000001",INDEX('Referência LC 214'!$I$6:$I$967,U233)))</f>
        <v/>
      </c>
      <c r="I233" s="28" t="str">
        <f aca="false">IF(T233="","",IF(U233="","Sem anexo: tributação integral",INDEX('Referência LC 214'!$H$6:$H$967,U233)))</f>
        <v/>
      </c>
      <c r="J233" s="29" t="str">
        <f aca="false">IF(T233="","",IF(U233="",0,INDEX('Referência LC 214'!$K$6:$K$967,U233)))</f>
        <v/>
      </c>
      <c r="K233" s="28" t="str">
        <f aca="false">IF(OR(T233="",U233=""),"","Anexo "&amp;INDEX('Referência LC 214'!$E$6:$E$967,U233)&amp;", item "&amp;INDEX('Referência LC 214'!$F$6:$F$967,U233)&amp;": "&amp;INDEX('Referência LC 214'!$G$6:$G$967,U233))</f>
        <v/>
      </c>
      <c r="L233" s="28" t="str">
        <f aca="false">IF(OR(T233="",U233=""),"",IF(INDEX('Referência LC 214'!$L$6:$L$967,U233)&amp;""&lt;&gt;"",INDEX('Referência LC 214'!$L$6:$L$967,U233)&amp;"",IF(SUMPRODUCT((LEFT(T233,LEN('Referência LC 214'!$N$6:$N$967))='Referência LC 214'!$N$6:$N$967)*('Referência LC 214'!$L$6:$L$967&lt;&gt;""))&gt;0,"Há outro tratamento só para alguns compradores (ex.: órgão público/SUS) — veja a referência","")))</f>
        <v/>
      </c>
      <c r="M233" s="30" t="str">
        <f aca="false">IF(T233="","",IF(AND(C233&lt;&gt;"Serviço",LEN(T233)-1&lt;&gt;8),"NCM deve ter 8 dígitos",IF(AND(C233="Serviço",LEN(T233)-1&lt;&gt;9),"NBS deve ter 9 dígitos",IF(L233&lt;&gt;"","Benefício depende do comprador: confira a coluna N",IF(G233&gt;1,"Mais de uma regra: confira o item do anexo na referência",IF(G233=0,"Sem redução na LC 214","Confira se o produto é o descrito no item"))))))</f>
        <v/>
      </c>
      <c r="N233" s="25"/>
      <c r="O233" s="23"/>
      <c r="P233" s="25"/>
      <c r="Q233" s="25"/>
      <c r="R233" s="31"/>
      <c r="S233" s="24"/>
      <c r="T233" s="4" t="str">
        <f aca="false">IF(D233="","",IF(C233="Serviço","S","P")&amp;SUBSTITUTE(SUBSTITUTE(SUBSTITUTE(D233,".",""),"-","")," ",""))</f>
        <v/>
      </c>
      <c r="U233" s="4" t="str">
        <f aca="false">IF(T233="","",IFERROR(MATCH(LEFT(T233,10),'Referência LC 214'!$N$6:$N$967,0),IFERROR(MATCH(LEFT(T233,9),'Referência LC 214'!$N$6:$N$967,0),IFERROR(MATCH(LEFT(T233,8),'Referência LC 214'!$N$6:$N$967,0),IFERROR(MATCH(LEFT(T233,7),'Referência LC 214'!$N$6:$N$967,0),IFERROR(MATCH(LEFT(T233,6),'Referência LC 214'!$N$6:$N$967,0),IFERROR(MATCH(LEFT(T233,5),'Referência LC 214'!$N$6:$N$967,0),IFERROR(MATCH(LEFT(T233,4),'Referência LC 214'!$N$6:$N$967,0),IFERROR(MATCH(LEFT(T233,3),'Referência LC 214'!$N$6:$N$967,0),"")))))))))</f>
        <v/>
      </c>
    </row>
    <row r="234" customFormat="false" ht="15" hidden="false" customHeight="false" outlineLevel="0" collapsed="false">
      <c r="A234" s="23"/>
      <c r="B234" s="24"/>
      <c r="C234" s="25"/>
      <c r="D234" s="23"/>
      <c r="E234" s="23"/>
      <c r="F234" s="25"/>
      <c r="G234" s="26" t="str">
        <f aca="false">IF(T234="","",SUMPRODUCT(--(LEFT(T234,LEN('Referência LC 214'!$N$6:$N$967))='Referência LC 214'!$N$6:$N$967)))</f>
        <v/>
      </c>
      <c r="H234" s="27" t="str">
        <f aca="false">IF(T234="","",IF(U234="","000001",INDEX('Referência LC 214'!$I$6:$I$967,U234)))</f>
        <v/>
      </c>
      <c r="I234" s="28" t="str">
        <f aca="false">IF(T234="","",IF(U234="","Sem anexo: tributação integral",INDEX('Referência LC 214'!$H$6:$H$967,U234)))</f>
        <v/>
      </c>
      <c r="J234" s="29" t="str">
        <f aca="false">IF(T234="","",IF(U234="",0,INDEX('Referência LC 214'!$K$6:$K$967,U234)))</f>
        <v/>
      </c>
      <c r="K234" s="28" t="str">
        <f aca="false">IF(OR(T234="",U234=""),"","Anexo "&amp;INDEX('Referência LC 214'!$E$6:$E$967,U234)&amp;", item "&amp;INDEX('Referência LC 214'!$F$6:$F$967,U234)&amp;": "&amp;INDEX('Referência LC 214'!$G$6:$G$967,U234))</f>
        <v/>
      </c>
      <c r="L234" s="28" t="str">
        <f aca="false">IF(OR(T234="",U234=""),"",IF(INDEX('Referência LC 214'!$L$6:$L$967,U234)&amp;""&lt;&gt;"",INDEX('Referência LC 214'!$L$6:$L$967,U234)&amp;"",IF(SUMPRODUCT((LEFT(T234,LEN('Referência LC 214'!$N$6:$N$967))='Referência LC 214'!$N$6:$N$967)*('Referência LC 214'!$L$6:$L$967&lt;&gt;""))&gt;0,"Há outro tratamento só para alguns compradores (ex.: órgão público/SUS) — veja a referência","")))</f>
        <v/>
      </c>
      <c r="M234" s="30" t="str">
        <f aca="false">IF(T234="","",IF(AND(C234&lt;&gt;"Serviço",LEN(T234)-1&lt;&gt;8),"NCM deve ter 8 dígitos",IF(AND(C234="Serviço",LEN(T234)-1&lt;&gt;9),"NBS deve ter 9 dígitos",IF(L234&lt;&gt;"","Benefício depende do comprador: confira a coluna N",IF(G234&gt;1,"Mais de uma regra: confira o item do anexo na referência",IF(G234=0,"Sem redução na LC 214","Confira se o produto é o descrito no item"))))))</f>
        <v/>
      </c>
      <c r="N234" s="25"/>
      <c r="O234" s="23"/>
      <c r="P234" s="25"/>
      <c r="Q234" s="25"/>
      <c r="R234" s="31"/>
      <c r="S234" s="24"/>
      <c r="T234" s="4" t="str">
        <f aca="false">IF(D234="","",IF(C234="Serviço","S","P")&amp;SUBSTITUTE(SUBSTITUTE(SUBSTITUTE(D234,".",""),"-","")," ",""))</f>
        <v/>
      </c>
      <c r="U234" s="4" t="str">
        <f aca="false">IF(T234="","",IFERROR(MATCH(LEFT(T234,10),'Referência LC 214'!$N$6:$N$967,0),IFERROR(MATCH(LEFT(T234,9),'Referência LC 214'!$N$6:$N$967,0),IFERROR(MATCH(LEFT(T234,8),'Referência LC 214'!$N$6:$N$967,0),IFERROR(MATCH(LEFT(T234,7),'Referência LC 214'!$N$6:$N$967,0),IFERROR(MATCH(LEFT(T234,6),'Referência LC 214'!$N$6:$N$967,0),IFERROR(MATCH(LEFT(T234,5),'Referência LC 214'!$N$6:$N$967,0),IFERROR(MATCH(LEFT(T234,4),'Referência LC 214'!$N$6:$N$967,0),IFERROR(MATCH(LEFT(T234,3),'Referência LC 214'!$N$6:$N$967,0),"")))))))))</f>
        <v/>
      </c>
    </row>
    <row r="235" customFormat="false" ht="15" hidden="false" customHeight="false" outlineLevel="0" collapsed="false">
      <c r="A235" s="23"/>
      <c r="B235" s="24"/>
      <c r="C235" s="25"/>
      <c r="D235" s="23"/>
      <c r="E235" s="23"/>
      <c r="F235" s="25"/>
      <c r="G235" s="26" t="str">
        <f aca="false">IF(T235="","",SUMPRODUCT(--(LEFT(T235,LEN('Referência LC 214'!$N$6:$N$967))='Referência LC 214'!$N$6:$N$967)))</f>
        <v/>
      </c>
      <c r="H235" s="27" t="str">
        <f aca="false">IF(T235="","",IF(U235="","000001",INDEX('Referência LC 214'!$I$6:$I$967,U235)))</f>
        <v/>
      </c>
      <c r="I235" s="28" t="str">
        <f aca="false">IF(T235="","",IF(U235="","Sem anexo: tributação integral",INDEX('Referência LC 214'!$H$6:$H$967,U235)))</f>
        <v/>
      </c>
      <c r="J235" s="29" t="str">
        <f aca="false">IF(T235="","",IF(U235="",0,INDEX('Referência LC 214'!$K$6:$K$967,U235)))</f>
        <v/>
      </c>
      <c r="K235" s="28" t="str">
        <f aca="false">IF(OR(T235="",U235=""),"","Anexo "&amp;INDEX('Referência LC 214'!$E$6:$E$967,U235)&amp;", item "&amp;INDEX('Referência LC 214'!$F$6:$F$967,U235)&amp;": "&amp;INDEX('Referência LC 214'!$G$6:$G$967,U235))</f>
        <v/>
      </c>
      <c r="L235" s="28" t="str">
        <f aca="false">IF(OR(T235="",U235=""),"",IF(INDEX('Referência LC 214'!$L$6:$L$967,U235)&amp;""&lt;&gt;"",INDEX('Referência LC 214'!$L$6:$L$967,U235)&amp;"",IF(SUMPRODUCT((LEFT(T235,LEN('Referência LC 214'!$N$6:$N$967))='Referência LC 214'!$N$6:$N$967)*('Referência LC 214'!$L$6:$L$967&lt;&gt;""))&gt;0,"Há outro tratamento só para alguns compradores (ex.: órgão público/SUS) — veja a referência","")))</f>
        <v/>
      </c>
      <c r="M235" s="30" t="str">
        <f aca="false">IF(T235="","",IF(AND(C235&lt;&gt;"Serviço",LEN(T235)-1&lt;&gt;8),"NCM deve ter 8 dígitos",IF(AND(C235="Serviço",LEN(T235)-1&lt;&gt;9),"NBS deve ter 9 dígitos",IF(L235&lt;&gt;"","Benefício depende do comprador: confira a coluna N",IF(G235&gt;1,"Mais de uma regra: confira o item do anexo na referência",IF(G235=0,"Sem redução na LC 214","Confira se o produto é o descrito no item"))))))</f>
        <v/>
      </c>
      <c r="N235" s="25"/>
      <c r="O235" s="23"/>
      <c r="P235" s="25"/>
      <c r="Q235" s="25"/>
      <c r="R235" s="31"/>
      <c r="S235" s="24"/>
      <c r="T235" s="4" t="str">
        <f aca="false">IF(D235="","",IF(C235="Serviço","S","P")&amp;SUBSTITUTE(SUBSTITUTE(SUBSTITUTE(D235,".",""),"-","")," ",""))</f>
        <v/>
      </c>
      <c r="U235" s="4" t="str">
        <f aca="false">IF(T235="","",IFERROR(MATCH(LEFT(T235,10),'Referência LC 214'!$N$6:$N$967,0),IFERROR(MATCH(LEFT(T235,9),'Referência LC 214'!$N$6:$N$967,0),IFERROR(MATCH(LEFT(T235,8),'Referência LC 214'!$N$6:$N$967,0),IFERROR(MATCH(LEFT(T235,7),'Referência LC 214'!$N$6:$N$967,0),IFERROR(MATCH(LEFT(T235,6),'Referência LC 214'!$N$6:$N$967,0),IFERROR(MATCH(LEFT(T235,5),'Referência LC 214'!$N$6:$N$967,0),IFERROR(MATCH(LEFT(T235,4),'Referência LC 214'!$N$6:$N$967,0),IFERROR(MATCH(LEFT(T235,3),'Referência LC 214'!$N$6:$N$967,0),"")))))))))</f>
        <v/>
      </c>
    </row>
    <row r="236" customFormat="false" ht="15" hidden="false" customHeight="false" outlineLevel="0" collapsed="false">
      <c r="A236" s="23"/>
      <c r="B236" s="24"/>
      <c r="C236" s="25"/>
      <c r="D236" s="23"/>
      <c r="E236" s="23"/>
      <c r="F236" s="25"/>
      <c r="G236" s="26" t="str">
        <f aca="false">IF(T236="","",SUMPRODUCT(--(LEFT(T236,LEN('Referência LC 214'!$N$6:$N$967))='Referência LC 214'!$N$6:$N$967)))</f>
        <v/>
      </c>
      <c r="H236" s="27" t="str">
        <f aca="false">IF(T236="","",IF(U236="","000001",INDEX('Referência LC 214'!$I$6:$I$967,U236)))</f>
        <v/>
      </c>
      <c r="I236" s="28" t="str">
        <f aca="false">IF(T236="","",IF(U236="","Sem anexo: tributação integral",INDEX('Referência LC 214'!$H$6:$H$967,U236)))</f>
        <v/>
      </c>
      <c r="J236" s="29" t="str">
        <f aca="false">IF(T236="","",IF(U236="",0,INDEX('Referência LC 214'!$K$6:$K$967,U236)))</f>
        <v/>
      </c>
      <c r="K236" s="28" t="str">
        <f aca="false">IF(OR(T236="",U236=""),"","Anexo "&amp;INDEX('Referência LC 214'!$E$6:$E$967,U236)&amp;", item "&amp;INDEX('Referência LC 214'!$F$6:$F$967,U236)&amp;": "&amp;INDEX('Referência LC 214'!$G$6:$G$967,U236))</f>
        <v/>
      </c>
      <c r="L236" s="28" t="str">
        <f aca="false">IF(OR(T236="",U236=""),"",IF(INDEX('Referência LC 214'!$L$6:$L$967,U236)&amp;""&lt;&gt;"",INDEX('Referência LC 214'!$L$6:$L$967,U236)&amp;"",IF(SUMPRODUCT((LEFT(T236,LEN('Referência LC 214'!$N$6:$N$967))='Referência LC 214'!$N$6:$N$967)*('Referência LC 214'!$L$6:$L$967&lt;&gt;""))&gt;0,"Há outro tratamento só para alguns compradores (ex.: órgão público/SUS) — veja a referência","")))</f>
        <v/>
      </c>
      <c r="M236" s="30" t="str">
        <f aca="false">IF(T236="","",IF(AND(C236&lt;&gt;"Serviço",LEN(T236)-1&lt;&gt;8),"NCM deve ter 8 dígitos",IF(AND(C236="Serviço",LEN(T236)-1&lt;&gt;9),"NBS deve ter 9 dígitos",IF(L236&lt;&gt;"","Benefício depende do comprador: confira a coluna N",IF(G236&gt;1,"Mais de uma regra: confira o item do anexo na referência",IF(G236=0,"Sem redução na LC 214","Confira se o produto é o descrito no item"))))))</f>
        <v/>
      </c>
      <c r="N236" s="25"/>
      <c r="O236" s="23"/>
      <c r="P236" s="25"/>
      <c r="Q236" s="25"/>
      <c r="R236" s="31"/>
      <c r="S236" s="24"/>
      <c r="T236" s="4" t="str">
        <f aca="false">IF(D236="","",IF(C236="Serviço","S","P")&amp;SUBSTITUTE(SUBSTITUTE(SUBSTITUTE(D236,".",""),"-","")," ",""))</f>
        <v/>
      </c>
      <c r="U236" s="4" t="str">
        <f aca="false">IF(T236="","",IFERROR(MATCH(LEFT(T236,10),'Referência LC 214'!$N$6:$N$967,0),IFERROR(MATCH(LEFT(T236,9),'Referência LC 214'!$N$6:$N$967,0),IFERROR(MATCH(LEFT(T236,8),'Referência LC 214'!$N$6:$N$967,0),IFERROR(MATCH(LEFT(T236,7),'Referência LC 214'!$N$6:$N$967,0),IFERROR(MATCH(LEFT(T236,6),'Referência LC 214'!$N$6:$N$967,0),IFERROR(MATCH(LEFT(T236,5),'Referência LC 214'!$N$6:$N$967,0),IFERROR(MATCH(LEFT(T236,4),'Referência LC 214'!$N$6:$N$967,0),IFERROR(MATCH(LEFT(T236,3),'Referência LC 214'!$N$6:$N$967,0),"")))))))))</f>
        <v/>
      </c>
    </row>
    <row r="237" customFormat="false" ht="15" hidden="false" customHeight="false" outlineLevel="0" collapsed="false">
      <c r="A237" s="23"/>
      <c r="B237" s="24"/>
      <c r="C237" s="25"/>
      <c r="D237" s="23"/>
      <c r="E237" s="23"/>
      <c r="F237" s="25"/>
      <c r="G237" s="26" t="str">
        <f aca="false">IF(T237="","",SUMPRODUCT(--(LEFT(T237,LEN('Referência LC 214'!$N$6:$N$967))='Referência LC 214'!$N$6:$N$967)))</f>
        <v/>
      </c>
      <c r="H237" s="27" t="str">
        <f aca="false">IF(T237="","",IF(U237="","000001",INDEX('Referência LC 214'!$I$6:$I$967,U237)))</f>
        <v/>
      </c>
      <c r="I237" s="28" t="str">
        <f aca="false">IF(T237="","",IF(U237="","Sem anexo: tributação integral",INDEX('Referência LC 214'!$H$6:$H$967,U237)))</f>
        <v/>
      </c>
      <c r="J237" s="29" t="str">
        <f aca="false">IF(T237="","",IF(U237="",0,INDEX('Referência LC 214'!$K$6:$K$967,U237)))</f>
        <v/>
      </c>
      <c r="K237" s="28" t="str">
        <f aca="false">IF(OR(T237="",U237=""),"","Anexo "&amp;INDEX('Referência LC 214'!$E$6:$E$967,U237)&amp;", item "&amp;INDEX('Referência LC 214'!$F$6:$F$967,U237)&amp;": "&amp;INDEX('Referência LC 214'!$G$6:$G$967,U237))</f>
        <v/>
      </c>
      <c r="L237" s="28" t="str">
        <f aca="false">IF(OR(T237="",U237=""),"",IF(INDEX('Referência LC 214'!$L$6:$L$967,U237)&amp;""&lt;&gt;"",INDEX('Referência LC 214'!$L$6:$L$967,U237)&amp;"",IF(SUMPRODUCT((LEFT(T237,LEN('Referência LC 214'!$N$6:$N$967))='Referência LC 214'!$N$6:$N$967)*('Referência LC 214'!$L$6:$L$967&lt;&gt;""))&gt;0,"Há outro tratamento só para alguns compradores (ex.: órgão público/SUS) — veja a referência","")))</f>
        <v/>
      </c>
      <c r="M237" s="30" t="str">
        <f aca="false">IF(T237="","",IF(AND(C237&lt;&gt;"Serviço",LEN(T237)-1&lt;&gt;8),"NCM deve ter 8 dígitos",IF(AND(C237="Serviço",LEN(T237)-1&lt;&gt;9),"NBS deve ter 9 dígitos",IF(L237&lt;&gt;"","Benefício depende do comprador: confira a coluna N",IF(G237&gt;1,"Mais de uma regra: confira o item do anexo na referência",IF(G237=0,"Sem redução na LC 214","Confira se o produto é o descrito no item"))))))</f>
        <v/>
      </c>
      <c r="N237" s="25"/>
      <c r="O237" s="23"/>
      <c r="P237" s="25"/>
      <c r="Q237" s="25"/>
      <c r="R237" s="31"/>
      <c r="S237" s="24"/>
      <c r="T237" s="4" t="str">
        <f aca="false">IF(D237="","",IF(C237="Serviço","S","P")&amp;SUBSTITUTE(SUBSTITUTE(SUBSTITUTE(D237,".",""),"-","")," ",""))</f>
        <v/>
      </c>
      <c r="U237" s="4" t="str">
        <f aca="false">IF(T237="","",IFERROR(MATCH(LEFT(T237,10),'Referência LC 214'!$N$6:$N$967,0),IFERROR(MATCH(LEFT(T237,9),'Referência LC 214'!$N$6:$N$967,0),IFERROR(MATCH(LEFT(T237,8),'Referência LC 214'!$N$6:$N$967,0),IFERROR(MATCH(LEFT(T237,7),'Referência LC 214'!$N$6:$N$967,0),IFERROR(MATCH(LEFT(T237,6),'Referência LC 214'!$N$6:$N$967,0),IFERROR(MATCH(LEFT(T237,5),'Referência LC 214'!$N$6:$N$967,0),IFERROR(MATCH(LEFT(T237,4),'Referência LC 214'!$N$6:$N$967,0),IFERROR(MATCH(LEFT(T237,3),'Referência LC 214'!$N$6:$N$967,0),"")))))))))</f>
        <v/>
      </c>
    </row>
    <row r="238" customFormat="false" ht="15" hidden="false" customHeight="false" outlineLevel="0" collapsed="false">
      <c r="A238" s="23"/>
      <c r="B238" s="24"/>
      <c r="C238" s="25"/>
      <c r="D238" s="23"/>
      <c r="E238" s="23"/>
      <c r="F238" s="25"/>
      <c r="G238" s="26" t="str">
        <f aca="false">IF(T238="","",SUMPRODUCT(--(LEFT(T238,LEN('Referência LC 214'!$N$6:$N$967))='Referência LC 214'!$N$6:$N$967)))</f>
        <v/>
      </c>
      <c r="H238" s="27" t="str">
        <f aca="false">IF(T238="","",IF(U238="","000001",INDEX('Referência LC 214'!$I$6:$I$967,U238)))</f>
        <v/>
      </c>
      <c r="I238" s="28" t="str">
        <f aca="false">IF(T238="","",IF(U238="","Sem anexo: tributação integral",INDEX('Referência LC 214'!$H$6:$H$967,U238)))</f>
        <v/>
      </c>
      <c r="J238" s="29" t="str">
        <f aca="false">IF(T238="","",IF(U238="",0,INDEX('Referência LC 214'!$K$6:$K$967,U238)))</f>
        <v/>
      </c>
      <c r="K238" s="28" t="str">
        <f aca="false">IF(OR(T238="",U238=""),"","Anexo "&amp;INDEX('Referência LC 214'!$E$6:$E$967,U238)&amp;", item "&amp;INDEX('Referência LC 214'!$F$6:$F$967,U238)&amp;": "&amp;INDEX('Referência LC 214'!$G$6:$G$967,U238))</f>
        <v/>
      </c>
      <c r="L238" s="28" t="str">
        <f aca="false">IF(OR(T238="",U238=""),"",IF(INDEX('Referência LC 214'!$L$6:$L$967,U238)&amp;""&lt;&gt;"",INDEX('Referência LC 214'!$L$6:$L$967,U238)&amp;"",IF(SUMPRODUCT((LEFT(T238,LEN('Referência LC 214'!$N$6:$N$967))='Referência LC 214'!$N$6:$N$967)*('Referência LC 214'!$L$6:$L$967&lt;&gt;""))&gt;0,"Há outro tratamento só para alguns compradores (ex.: órgão público/SUS) — veja a referência","")))</f>
        <v/>
      </c>
      <c r="M238" s="30" t="str">
        <f aca="false">IF(T238="","",IF(AND(C238&lt;&gt;"Serviço",LEN(T238)-1&lt;&gt;8),"NCM deve ter 8 dígitos",IF(AND(C238="Serviço",LEN(T238)-1&lt;&gt;9),"NBS deve ter 9 dígitos",IF(L238&lt;&gt;"","Benefício depende do comprador: confira a coluna N",IF(G238&gt;1,"Mais de uma regra: confira o item do anexo na referência",IF(G238=0,"Sem redução na LC 214","Confira se o produto é o descrito no item"))))))</f>
        <v/>
      </c>
      <c r="N238" s="25"/>
      <c r="O238" s="23"/>
      <c r="P238" s="25"/>
      <c r="Q238" s="25"/>
      <c r="R238" s="31"/>
      <c r="S238" s="24"/>
      <c r="T238" s="4" t="str">
        <f aca="false">IF(D238="","",IF(C238="Serviço","S","P")&amp;SUBSTITUTE(SUBSTITUTE(SUBSTITUTE(D238,".",""),"-","")," ",""))</f>
        <v/>
      </c>
      <c r="U238" s="4" t="str">
        <f aca="false">IF(T238="","",IFERROR(MATCH(LEFT(T238,10),'Referência LC 214'!$N$6:$N$967,0),IFERROR(MATCH(LEFT(T238,9),'Referência LC 214'!$N$6:$N$967,0),IFERROR(MATCH(LEFT(T238,8),'Referência LC 214'!$N$6:$N$967,0),IFERROR(MATCH(LEFT(T238,7),'Referência LC 214'!$N$6:$N$967,0),IFERROR(MATCH(LEFT(T238,6),'Referência LC 214'!$N$6:$N$967,0),IFERROR(MATCH(LEFT(T238,5),'Referência LC 214'!$N$6:$N$967,0),IFERROR(MATCH(LEFT(T238,4),'Referência LC 214'!$N$6:$N$967,0),IFERROR(MATCH(LEFT(T238,3),'Referência LC 214'!$N$6:$N$967,0),"")))))))))</f>
        <v/>
      </c>
    </row>
    <row r="239" customFormat="false" ht="15" hidden="false" customHeight="false" outlineLevel="0" collapsed="false">
      <c r="A239" s="23"/>
      <c r="B239" s="24"/>
      <c r="C239" s="25"/>
      <c r="D239" s="23"/>
      <c r="E239" s="23"/>
      <c r="F239" s="25"/>
      <c r="G239" s="26" t="str">
        <f aca="false">IF(T239="","",SUMPRODUCT(--(LEFT(T239,LEN('Referência LC 214'!$N$6:$N$967))='Referência LC 214'!$N$6:$N$967)))</f>
        <v/>
      </c>
      <c r="H239" s="27" t="str">
        <f aca="false">IF(T239="","",IF(U239="","000001",INDEX('Referência LC 214'!$I$6:$I$967,U239)))</f>
        <v/>
      </c>
      <c r="I239" s="28" t="str">
        <f aca="false">IF(T239="","",IF(U239="","Sem anexo: tributação integral",INDEX('Referência LC 214'!$H$6:$H$967,U239)))</f>
        <v/>
      </c>
      <c r="J239" s="29" t="str">
        <f aca="false">IF(T239="","",IF(U239="",0,INDEX('Referência LC 214'!$K$6:$K$967,U239)))</f>
        <v/>
      </c>
      <c r="K239" s="28" t="str">
        <f aca="false">IF(OR(T239="",U239=""),"","Anexo "&amp;INDEX('Referência LC 214'!$E$6:$E$967,U239)&amp;", item "&amp;INDEX('Referência LC 214'!$F$6:$F$967,U239)&amp;": "&amp;INDEX('Referência LC 214'!$G$6:$G$967,U239))</f>
        <v/>
      </c>
      <c r="L239" s="28" t="str">
        <f aca="false">IF(OR(T239="",U239=""),"",IF(INDEX('Referência LC 214'!$L$6:$L$967,U239)&amp;""&lt;&gt;"",INDEX('Referência LC 214'!$L$6:$L$967,U239)&amp;"",IF(SUMPRODUCT((LEFT(T239,LEN('Referência LC 214'!$N$6:$N$967))='Referência LC 214'!$N$6:$N$967)*('Referência LC 214'!$L$6:$L$967&lt;&gt;""))&gt;0,"Há outro tratamento só para alguns compradores (ex.: órgão público/SUS) — veja a referência","")))</f>
        <v/>
      </c>
      <c r="M239" s="30" t="str">
        <f aca="false">IF(T239="","",IF(AND(C239&lt;&gt;"Serviço",LEN(T239)-1&lt;&gt;8),"NCM deve ter 8 dígitos",IF(AND(C239="Serviço",LEN(T239)-1&lt;&gt;9),"NBS deve ter 9 dígitos",IF(L239&lt;&gt;"","Benefício depende do comprador: confira a coluna N",IF(G239&gt;1,"Mais de uma regra: confira o item do anexo na referência",IF(G239=0,"Sem redução na LC 214","Confira se o produto é o descrito no item"))))))</f>
        <v/>
      </c>
      <c r="N239" s="25"/>
      <c r="O239" s="23"/>
      <c r="P239" s="25"/>
      <c r="Q239" s="25"/>
      <c r="R239" s="31"/>
      <c r="S239" s="24"/>
      <c r="T239" s="4" t="str">
        <f aca="false">IF(D239="","",IF(C239="Serviço","S","P")&amp;SUBSTITUTE(SUBSTITUTE(SUBSTITUTE(D239,".",""),"-","")," ",""))</f>
        <v/>
      </c>
      <c r="U239" s="4" t="str">
        <f aca="false">IF(T239="","",IFERROR(MATCH(LEFT(T239,10),'Referência LC 214'!$N$6:$N$967,0),IFERROR(MATCH(LEFT(T239,9),'Referência LC 214'!$N$6:$N$967,0),IFERROR(MATCH(LEFT(T239,8),'Referência LC 214'!$N$6:$N$967,0),IFERROR(MATCH(LEFT(T239,7),'Referência LC 214'!$N$6:$N$967,0),IFERROR(MATCH(LEFT(T239,6),'Referência LC 214'!$N$6:$N$967,0),IFERROR(MATCH(LEFT(T239,5),'Referência LC 214'!$N$6:$N$967,0),IFERROR(MATCH(LEFT(T239,4),'Referência LC 214'!$N$6:$N$967,0),IFERROR(MATCH(LEFT(T239,3),'Referência LC 214'!$N$6:$N$967,0),"")))))))))</f>
        <v/>
      </c>
    </row>
    <row r="240" customFormat="false" ht="15" hidden="false" customHeight="false" outlineLevel="0" collapsed="false">
      <c r="A240" s="23"/>
      <c r="B240" s="24"/>
      <c r="C240" s="25"/>
      <c r="D240" s="23"/>
      <c r="E240" s="23"/>
      <c r="F240" s="25"/>
      <c r="G240" s="26" t="str">
        <f aca="false">IF(T240="","",SUMPRODUCT(--(LEFT(T240,LEN('Referência LC 214'!$N$6:$N$967))='Referência LC 214'!$N$6:$N$967)))</f>
        <v/>
      </c>
      <c r="H240" s="27" t="str">
        <f aca="false">IF(T240="","",IF(U240="","000001",INDEX('Referência LC 214'!$I$6:$I$967,U240)))</f>
        <v/>
      </c>
      <c r="I240" s="28" t="str">
        <f aca="false">IF(T240="","",IF(U240="","Sem anexo: tributação integral",INDEX('Referência LC 214'!$H$6:$H$967,U240)))</f>
        <v/>
      </c>
      <c r="J240" s="29" t="str">
        <f aca="false">IF(T240="","",IF(U240="",0,INDEX('Referência LC 214'!$K$6:$K$967,U240)))</f>
        <v/>
      </c>
      <c r="K240" s="28" t="str">
        <f aca="false">IF(OR(T240="",U240=""),"","Anexo "&amp;INDEX('Referência LC 214'!$E$6:$E$967,U240)&amp;", item "&amp;INDEX('Referência LC 214'!$F$6:$F$967,U240)&amp;": "&amp;INDEX('Referência LC 214'!$G$6:$G$967,U240))</f>
        <v/>
      </c>
      <c r="L240" s="28" t="str">
        <f aca="false">IF(OR(T240="",U240=""),"",IF(INDEX('Referência LC 214'!$L$6:$L$967,U240)&amp;""&lt;&gt;"",INDEX('Referência LC 214'!$L$6:$L$967,U240)&amp;"",IF(SUMPRODUCT((LEFT(T240,LEN('Referência LC 214'!$N$6:$N$967))='Referência LC 214'!$N$6:$N$967)*('Referência LC 214'!$L$6:$L$967&lt;&gt;""))&gt;0,"Há outro tratamento só para alguns compradores (ex.: órgão público/SUS) — veja a referência","")))</f>
        <v/>
      </c>
      <c r="M240" s="30" t="str">
        <f aca="false">IF(T240="","",IF(AND(C240&lt;&gt;"Serviço",LEN(T240)-1&lt;&gt;8),"NCM deve ter 8 dígitos",IF(AND(C240="Serviço",LEN(T240)-1&lt;&gt;9),"NBS deve ter 9 dígitos",IF(L240&lt;&gt;"","Benefício depende do comprador: confira a coluna N",IF(G240&gt;1,"Mais de uma regra: confira o item do anexo na referência",IF(G240=0,"Sem redução na LC 214","Confira se o produto é o descrito no item"))))))</f>
        <v/>
      </c>
      <c r="N240" s="25"/>
      <c r="O240" s="23"/>
      <c r="P240" s="25"/>
      <c r="Q240" s="25"/>
      <c r="R240" s="31"/>
      <c r="S240" s="24"/>
      <c r="T240" s="4" t="str">
        <f aca="false">IF(D240="","",IF(C240="Serviço","S","P")&amp;SUBSTITUTE(SUBSTITUTE(SUBSTITUTE(D240,".",""),"-","")," ",""))</f>
        <v/>
      </c>
      <c r="U240" s="4" t="str">
        <f aca="false">IF(T240="","",IFERROR(MATCH(LEFT(T240,10),'Referência LC 214'!$N$6:$N$967,0),IFERROR(MATCH(LEFT(T240,9),'Referência LC 214'!$N$6:$N$967,0),IFERROR(MATCH(LEFT(T240,8),'Referência LC 214'!$N$6:$N$967,0),IFERROR(MATCH(LEFT(T240,7),'Referência LC 214'!$N$6:$N$967,0),IFERROR(MATCH(LEFT(T240,6),'Referência LC 214'!$N$6:$N$967,0),IFERROR(MATCH(LEFT(T240,5),'Referência LC 214'!$N$6:$N$967,0),IFERROR(MATCH(LEFT(T240,4),'Referência LC 214'!$N$6:$N$967,0),IFERROR(MATCH(LEFT(T240,3),'Referência LC 214'!$N$6:$N$967,0),"")))))))))</f>
        <v/>
      </c>
    </row>
    <row r="241" customFormat="false" ht="15" hidden="false" customHeight="false" outlineLevel="0" collapsed="false">
      <c r="A241" s="23"/>
      <c r="B241" s="24"/>
      <c r="C241" s="25"/>
      <c r="D241" s="23"/>
      <c r="E241" s="23"/>
      <c r="F241" s="25"/>
      <c r="G241" s="26" t="str">
        <f aca="false">IF(T241="","",SUMPRODUCT(--(LEFT(T241,LEN('Referência LC 214'!$N$6:$N$967))='Referência LC 214'!$N$6:$N$967)))</f>
        <v/>
      </c>
      <c r="H241" s="27" t="str">
        <f aca="false">IF(T241="","",IF(U241="","000001",INDEX('Referência LC 214'!$I$6:$I$967,U241)))</f>
        <v/>
      </c>
      <c r="I241" s="28" t="str">
        <f aca="false">IF(T241="","",IF(U241="","Sem anexo: tributação integral",INDEX('Referência LC 214'!$H$6:$H$967,U241)))</f>
        <v/>
      </c>
      <c r="J241" s="29" t="str">
        <f aca="false">IF(T241="","",IF(U241="",0,INDEX('Referência LC 214'!$K$6:$K$967,U241)))</f>
        <v/>
      </c>
      <c r="K241" s="28" t="str">
        <f aca="false">IF(OR(T241="",U241=""),"","Anexo "&amp;INDEX('Referência LC 214'!$E$6:$E$967,U241)&amp;", item "&amp;INDEX('Referência LC 214'!$F$6:$F$967,U241)&amp;": "&amp;INDEX('Referência LC 214'!$G$6:$G$967,U241))</f>
        <v/>
      </c>
      <c r="L241" s="28" t="str">
        <f aca="false">IF(OR(T241="",U241=""),"",IF(INDEX('Referência LC 214'!$L$6:$L$967,U241)&amp;""&lt;&gt;"",INDEX('Referência LC 214'!$L$6:$L$967,U241)&amp;"",IF(SUMPRODUCT((LEFT(T241,LEN('Referência LC 214'!$N$6:$N$967))='Referência LC 214'!$N$6:$N$967)*('Referência LC 214'!$L$6:$L$967&lt;&gt;""))&gt;0,"Há outro tratamento só para alguns compradores (ex.: órgão público/SUS) — veja a referência","")))</f>
        <v/>
      </c>
      <c r="M241" s="30" t="str">
        <f aca="false">IF(T241="","",IF(AND(C241&lt;&gt;"Serviço",LEN(T241)-1&lt;&gt;8),"NCM deve ter 8 dígitos",IF(AND(C241="Serviço",LEN(T241)-1&lt;&gt;9),"NBS deve ter 9 dígitos",IF(L241&lt;&gt;"","Benefício depende do comprador: confira a coluna N",IF(G241&gt;1,"Mais de uma regra: confira o item do anexo na referência",IF(G241=0,"Sem redução na LC 214","Confira se o produto é o descrito no item"))))))</f>
        <v/>
      </c>
      <c r="N241" s="25"/>
      <c r="O241" s="23"/>
      <c r="P241" s="25"/>
      <c r="Q241" s="25"/>
      <c r="R241" s="31"/>
      <c r="S241" s="24"/>
      <c r="T241" s="4" t="str">
        <f aca="false">IF(D241="","",IF(C241="Serviço","S","P")&amp;SUBSTITUTE(SUBSTITUTE(SUBSTITUTE(D241,".",""),"-","")," ",""))</f>
        <v/>
      </c>
      <c r="U241" s="4" t="str">
        <f aca="false">IF(T241="","",IFERROR(MATCH(LEFT(T241,10),'Referência LC 214'!$N$6:$N$967,0),IFERROR(MATCH(LEFT(T241,9),'Referência LC 214'!$N$6:$N$967,0),IFERROR(MATCH(LEFT(T241,8),'Referência LC 214'!$N$6:$N$967,0),IFERROR(MATCH(LEFT(T241,7),'Referência LC 214'!$N$6:$N$967,0),IFERROR(MATCH(LEFT(T241,6),'Referência LC 214'!$N$6:$N$967,0),IFERROR(MATCH(LEFT(T241,5),'Referência LC 214'!$N$6:$N$967,0),IFERROR(MATCH(LEFT(T241,4),'Referência LC 214'!$N$6:$N$967,0),IFERROR(MATCH(LEFT(T241,3),'Referência LC 214'!$N$6:$N$967,0),"")))))))))</f>
        <v/>
      </c>
    </row>
    <row r="242" customFormat="false" ht="15" hidden="false" customHeight="false" outlineLevel="0" collapsed="false">
      <c r="A242" s="23"/>
      <c r="B242" s="24"/>
      <c r="C242" s="25"/>
      <c r="D242" s="23"/>
      <c r="E242" s="23"/>
      <c r="F242" s="25"/>
      <c r="G242" s="26" t="str">
        <f aca="false">IF(T242="","",SUMPRODUCT(--(LEFT(T242,LEN('Referência LC 214'!$N$6:$N$967))='Referência LC 214'!$N$6:$N$967)))</f>
        <v/>
      </c>
      <c r="H242" s="27" t="str">
        <f aca="false">IF(T242="","",IF(U242="","000001",INDEX('Referência LC 214'!$I$6:$I$967,U242)))</f>
        <v/>
      </c>
      <c r="I242" s="28" t="str">
        <f aca="false">IF(T242="","",IF(U242="","Sem anexo: tributação integral",INDEX('Referência LC 214'!$H$6:$H$967,U242)))</f>
        <v/>
      </c>
      <c r="J242" s="29" t="str">
        <f aca="false">IF(T242="","",IF(U242="",0,INDEX('Referência LC 214'!$K$6:$K$967,U242)))</f>
        <v/>
      </c>
      <c r="K242" s="28" t="str">
        <f aca="false">IF(OR(T242="",U242=""),"","Anexo "&amp;INDEX('Referência LC 214'!$E$6:$E$967,U242)&amp;", item "&amp;INDEX('Referência LC 214'!$F$6:$F$967,U242)&amp;": "&amp;INDEX('Referência LC 214'!$G$6:$G$967,U242))</f>
        <v/>
      </c>
      <c r="L242" s="28" t="str">
        <f aca="false">IF(OR(T242="",U242=""),"",IF(INDEX('Referência LC 214'!$L$6:$L$967,U242)&amp;""&lt;&gt;"",INDEX('Referência LC 214'!$L$6:$L$967,U242)&amp;"",IF(SUMPRODUCT((LEFT(T242,LEN('Referência LC 214'!$N$6:$N$967))='Referência LC 214'!$N$6:$N$967)*('Referência LC 214'!$L$6:$L$967&lt;&gt;""))&gt;0,"Há outro tratamento só para alguns compradores (ex.: órgão público/SUS) — veja a referência","")))</f>
        <v/>
      </c>
      <c r="M242" s="30" t="str">
        <f aca="false">IF(T242="","",IF(AND(C242&lt;&gt;"Serviço",LEN(T242)-1&lt;&gt;8),"NCM deve ter 8 dígitos",IF(AND(C242="Serviço",LEN(T242)-1&lt;&gt;9),"NBS deve ter 9 dígitos",IF(L242&lt;&gt;"","Benefício depende do comprador: confira a coluna N",IF(G242&gt;1,"Mais de uma regra: confira o item do anexo na referência",IF(G242=0,"Sem redução na LC 214","Confira se o produto é o descrito no item"))))))</f>
        <v/>
      </c>
      <c r="N242" s="25"/>
      <c r="O242" s="23"/>
      <c r="P242" s="25"/>
      <c r="Q242" s="25"/>
      <c r="R242" s="31"/>
      <c r="S242" s="24"/>
      <c r="T242" s="4" t="str">
        <f aca="false">IF(D242="","",IF(C242="Serviço","S","P")&amp;SUBSTITUTE(SUBSTITUTE(SUBSTITUTE(D242,".",""),"-","")," ",""))</f>
        <v/>
      </c>
      <c r="U242" s="4" t="str">
        <f aca="false">IF(T242="","",IFERROR(MATCH(LEFT(T242,10),'Referência LC 214'!$N$6:$N$967,0),IFERROR(MATCH(LEFT(T242,9),'Referência LC 214'!$N$6:$N$967,0),IFERROR(MATCH(LEFT(T242,8),'Referência LC 214'!$N$6:$N$967,0),IFERROR(MATCH(LEFT(T242,7),'Referência LC 214'!$N$6:$N$967,0),IFERROR(MATCH(LEFT(T242,6),'Referência LC 214'!$N$6:$N$967,0),IFERROR(MATCH(LEFT(T242,5),'Referência LC 214'!$N$6:$N$967,0),IFERROR(MATCH(LEFT(T242,4),'Referência LC 214'!$N$6:$N$967,0),IFERROR(MATCH(LEFT(T242,3),'Referência LC 214'!$N$6:$N$967,0),"")))))))))</f>
        <v/>
      </c>
    </row>
    <row r="243" customFormat="false" ht="15" hidden="false" customHeight="false" outlineLevel="0" collapsed="false">
      <c r="A243" s="23"/>
      <c r="B243" s="24"/>
      <c r="C243" s="25"/>
      <c r="D243" s="23"/>
      <c r="E243" s="23"/>
      <c r="F243" s="25"/>
      <c r="G243" s="26" t="str">
        <f aca="false">IF(T243="","",SUMPRODUCT(--(LEFT(T243,LEN('Referência LC 214'!$N$6:$N$967))='Referência LC 214'!$N$6:$N$967)))</f>
        <v/>
      </c>
      <c r="H243" s="27" t="str">
        <f aca="false">IF(T243="","",IF(U243="","000001",INDEX('Referência LC 214'!$I$6:$I$967,U243)))</f>
        <v/>
      </c>
      <c r="I243" s="28" t="str">
        <f aca="false">IF(T243="","",IF(U243="","Sem anexo: tributação integral",INDEX('Referência LC 214'!$H$6:$H$967,U243)))</f>
        <v/>
      </c>
      <c r="J243" s="29" t="str">
        <f aca="false">IF(T243="","",IF(U243="",0,INDEX('Referência LC 214'!$K$6:$K$967,U243)))</f>
        <v/>
      </c>
      <c r="K243" s="28" t="str">
        <f aca="false">IF(OR(T243="",U243=""),"","Anexo "&amp;INDEX('Referência LC 214'!$E$6:$E$967,U243)&amp;", item "&amp;INDEX('Referência LC 214'!$F$6:$F$967,U243)&amp;": "&amp;INDEX('Referência LC 214'!$G$6:$G$967,U243))</f>
        <v/>
      </c>
      <c r="L243" s="28" t="str">
        <f aca="false">IF(OR(T243="",U243=""),"",IF(INDEX('Referência LC 214'!$L$6:$L$967,U243)&amp;""&lt;&gt;"",INDEX('Referência LC 214'!$L$6:$L$967,U243)&amp;"",IF(SUMPRODUCT((LEFT(T243,LEN('Referência LC 214'!$N$6:$N$967))='Referência LC 214'!$N$6:$N$967)*('Referência LC 214'!$L$6:$L$967&lt;&gt;""))&gt;0,"Há outro tratamento só para alguns compradores (ex.: órgão público/SUS) — veja a referência","")))</f>
        <v/>
      </c>
      <c r="M243" s="30" t="str">
        <f aca="false">IF(T243="","",IF(AND(C243&lt;&gt;"Serviço",LEN(T243)-1&lt;&gt;8),"NCM deve ter 8 dígitos",IF(AND(C243="Serviço",LEN(T243)-1&lt;&gt;9),"NBS deve ter 9 dígitos",IF(L243&lt;&gt;"","Benefício depende do comprador: confira a coluna N",IF(G243&gt;1,"Mais de uma regra: confira o item do anexo na referência",IF(G243=0,"Sem redução na LC 214","Confira se o produto é o descrito no item"))))))</f>
        <v/>
      </c>
      <c r="N243" s="25"/>
      <c r="O243" s="23"/>
      <c r="P243" s="25"/>
      <c r="Q243" s="25"/>
      <c r="R243" s="31"/>
      <c r="S243" s="24"/>
      <c r="T243" s="4" t="str">
        <f aca="false">IF(D243="","",IF(C243="Serviço","S","P")&amp;SUBSTITUTE(SUBSTITUTE(SUBSTITUTE(D243,".",""),"-","")," ",""))</f>
        <v/>
      </c>
      <c r="U243" s="4" t="str">
        <f aca="false">IF(T243="","",IFERROR(MATCH(LEFT(T243,10),'Referência LC 214'!$N$6:$N$967,0),IFERROR(MATCH(LEFT(T243,9),'Referência LC 214'!$N$6:$N$967,0),IFERROR(MATCH(LEFT(T243,8),'Referência LC 214'!$N$6:$N$967,0),IFERROR(MATCH(LEFT(T243,7),'Referência LC 214'!$N$6:$N$967,0),IFERROR(MATCH(LEFT(T243,6),'Referência LC 214'!$N$6:$N$967,0),IFERROR(MATCH(LEFT(T243,5),'Referência LC 214'!$N$6:$N$967,0),IFERROR(MATCH(LEFT(T243,4),'Referência LC 214'!$N$6:$N$967,0),IFERROR(MATCH(LEFT(T243,3),'Referência LC 214'!$N$6:$N$967,0),"")))))))))</f>
        <v/>
      </c>
    </row>
    <row r="244" customFormat="false" ht="15" hidden="false" customHeight="false" outlineLevel="0" collapsed="false">
      <c r="A244" s="23"/>
      <c r="B244" s="24"/>
      <c r="C244" s="25"/>
      <c r="D244" s="23"/>
      <c r="E244" s="23"/>
      <c r="F244" s="25"/>
      <c r="G244" s="26" t="str">
        <f aca="false">IF(T244="","",SUMPRODUCT(--(LEFT(T244,LEN('Referência LC 214'!$N$6:$N$967))='Referência LC 214'!$N$6:$N$967)))</f>
        <v/>
      </c>
      <c r="H244" s="27" t="str">
        <f aca="false">IF(T244="","",IF(U244="","000001",INDEX('Referência LC 214'!$I$6:$I$967,U244)))</f>
        <v/>
      </c>
      <c r="I244" s="28" t="str">
        <f aca="false">IF(T244="","",IF(U244="","Sem anexo: tributação integral",INDEX('Referência LC 214'!$H$6:$H$967,U244)))</f>
        <v/>
      </c>
      <c r="J244" s="29" t="str">
        <f aca="false">IF(T244="","",IF(U244="",0,INDEX('Referência LC 214'!$K$6:$K$967,U244)))</f>
        <v/>
      </c>
      <c r="K244" s="28" t="str">
        <f aca="false">IF(OR(T244="",U244=""),"","Anexo "&amp;INDEX('Referência LC 214'!$E$6:$E$967,U244)&amp;", item "&amp;INDEX('Referência LC 214'!$F$6:$F$967,U244)&amp;": "&amp;INDEX('Referência LC 214'!$G$6:$G$967,U244))</f>
        <v/>
      </c>
      <c r="L244" s="28" t="str">
        <f aca="false">IF(OR(T244="",U244=""),"",IF(INDEX('Referência LC 214'!$L$6:$L$967,U244)&amp;""&lt;&gt;"",INDEX('Referência LC 214'!$L$6:$L$967,U244)&amp;"",IF(SUMPRODUCT((LEFT(T244,LEN('Referência LC 214'!$N$6:$N$967))='Referência LC 214'!$N$6:$N$967)*('Referência LC 214'!$L$6:$L$967&lt;&gt;""))&gt;0,"Há outro tratamento só para alguns compradores (ex.: órgão público/SUS) — veja a referência","")))</f>
        <v/>
      </c>
      <c r="M244" s="30" t="str">
        <f aca="false">IF(T244="","",IF(AND(C244&lt;&gt;"Serviço",LEN(T244)-1&lt;&gt;8),"NCM deve ter 8 dígitos",IF(AND(C244="Serviço",LEN(T244)-1&lt;&gt;9),"NBS deve ter 9 dígitos",IF(L244&lt;&gt;"","Benefício depende do comprador: confira a coluna N",IF(G244&gt;1,"Mais de uma regra: confira o item do anexo na referência",IF(G244=0,"Sem redução na LC 214","Confira se o produto é o descrito no item"))))))</f>
        <v/>
      </c>
      <c r="N244" s="25"/>
      <c r="O244" s="23"/>
      <c r="P244" s="25"/>
      <c r="Q244" s="25"/>
      <c r="R244" s="31"/>
      <c r="S244" s="24"/>
      <c r="T244" s="4" t="str">
        <f aca="false">IF(D244="","",IF(C244="Serviço","S","P")&amp;SUBSTITUTE(SUBSTITUTE(SUBSTITUTE(D244,".",""),"-","")," ",""))</f>
        <v/>
      </c>
      <c r="U244" s="4" t="str">
        <f aca="false">IF(T244="","",IFERROR(MATCH(LEFT(T244,10),'Referência LC 214'!$N$6:$N$967,0),IFERROR(MATCH(LEFT(T244,9),'Referência LC 214'!$N$6:$N$967,0),IFERROR(MATCH(LEFT(T244,8),'Referência LC 214'!$N$6:$N$967,0),IFERROR(MATCH(LEFT(T244,7),'Referência LC 214'!$N$6:$N$967,0),IFERROR(MATCH(LEFT(T244,6),'Referência LC 214'!$N$6:$N$967,0),IFERROR(MATCH(LEFT(T244,5),'Referência LC 214'!$N$6:$N$967,0),IFERROR(MATCH(LEFT(T244,4),'Referência LC 214'!$N$6:$N$967,0),IFERROR(MATCH(LEFT(T244,3),'Referência LC 214'!$N$6:$N$967,0),"")))))))))</f>
        <v/>
      </c>
    </row>
    <row r="245" customFormat="false" ht="15" hidden="false" customHeight="false" outlineLevel="0" collapsed="false">
      <c r="A245" s="23"/>
      <c r="B245" s="24"/>
      <c r="C245" s="25"/>
      <c r="D245" s="23"/>
      <c r="E245" s="23"/>
      <c r="F245" s="25"/>
      <c r="G245" s="26" t="str">
        <f aca="false">IF(T245="","",SUMPRODUCT(--(LEFT(T245,LEN('Referência LC 214'!$N$6:$N$967))='Referência LC 214'!$N$6:$N$967)))</f>
        <v/>
      </c>
      <c r="H245" s="27" t="str">
        <f aca="false">IF(T245="","",IF(U245="","000001",INDEX('Referência LC 214'!$I$6:$I$967,U245)))</f>
        <v/>
      </c>
      <c r="I245" s="28" t="str">
        <f aca="false">IF(T245="","",IF(U245="","Sem anexo: tributação integral",INDEX('Referência LC 214'!$H$6:$H$967,U245)))</f>
        <v/>
      </c>
      <c r="J245" s="29" t="str">
        <f aca="false">IF(T245="","",IF(U245="",0,INDEX('Referência LC 214'!$K$6:$K$967,U245)))</f>
        <v/>
      </c>
      <c r="K245" s="28" t="str">
        <f aca="false">IF(OR(T245="",U245=""),"","Anexo "&amp;INDEX('Referência LC 214'!$E$6:$E$967,U245)&amp;", item "&amp;INDEX('Referência LC 214'!$F$6:$F$967,U245)&amp;": "&amp;INDEX('Referência LC 214'!$G$6:$G$967,U245))</f>
        <v/>
      </c>
      <c r="L245" s="28" t="str">
        <f aca="false">IF(OR(T245="",U245=""),"",IF(INDEX('Referência LC 214'!$L$6:$L$967,U245)&amp;""&lt;&gt;"",INDEX('Referência LC 214'!$L$6:$L$967,U245)&amp;"",IF(SUMPRODUCT((LEFT(T245,LEN('Referência LC 214'!$N$6:$N$967))='Referência LC 214'!$N$6:$N$967)*('Referência LC 214'!$L$6:$L$967&lt;&gt;""))&gt;0,"Há outro tratamento só para alguns compradores (ex.: órgão público/SUS) — veja a referência","")))</f>
        <v/>
      </c>
      <c r="M245" s="30" t="str">
        <f aca="false">IF(T245="","",IF(AND(C245&lt;&gt;"Serviço",LEN(T245)-1&lt;&gt;8),"NCM deve ter 8 dígitos",IF(AND(C245="Serviço",LEN(T245)-1&lt;&gt;9),"NBS deve ter 9 dígitos",IF(L245&lt;&gt;"","Benefício depende do comprador: confira a coluna N",IF(G245&gt;1,"Mais de uma regra: confira o item do anexo na referência",IF(G245=0,"Sem redução na LC 214","Confira se o produto é o descrito no item"))))))</f>
        <v/>
      </c>
      <c r="N245" s="25"/>
      <c r="O245" s="23"/>
      <c r="P245" s="25"/>
      <c r="Q245" s="25"/>
      <c r="R245" s="31"/>
      <c r="S245" s="24"/>
      <c r="T245" s="4" t="str">
        <f aca="false">IF(D245="","",IF(C245="Serviço","S","P")&amp;SUBSTITUTE(SUBSTITUTE(SUBSTITUTE(D245,".",""),"-","")," ",""))</f>
        <v/>
      </c>
      <c r="U245" s="4" t="str">
        <f aca="false">IF(T245="","",IFERROR(MATCH(LEFT(T245,10),'Referência LC 214'!$N$6:$N$967,0),IFERROR(MATCH(LEFT(T245,9),'Referência LC 214'!$N$6:$N$967,0),IFERROR(MATCH(LEFT(T245,8),'Referência LC 214'!$N$6:$N$967,0),IFERROR(MATCH(LEFT(T245,7),'Referência LC 214'!$N$6:$N$967,0),IFERROR(MATCH(LEFT(T245,6),'Referência LC 214'!$N$6:$N$967,0),IFERROR(MATCH(LEFT(T245,5),'Referência LC 214'!$N$6:$N$967,0),IFERROR(MATCH(LEFT(T245,4),'Referência LC 214'!$N$6:$N$967,0),IFERROR(MATCH(LEFT(T245,3),'Referência LC 214'!$N$6:$N$967,0),"")))))))))</f>
        <v/>
      </c>
    </row>
    <row r="246" customFormat="false" ht="15" hidden="false" customHeight="false" outlineLevel="0" collapsed="false">
      <c r="A246" s="23"/>
      <c r="B246" s="24"/>
      <c r="C246" s="25"/>
      <c r="D246" s="23"/>
      <c r="E246" s="23"/>
      <c r="F246" s="25"/>
      <c r="G246" s="26" t="str">
        <f aca="false">IF(T246="","",SUMPRODUCT(--(LEFT(T246,LEN('Referência LC 214'!$N$6:$N$967))='Referência LC 214'!$N$6:$N$967)))</f>
        <v/>
      </c>
      <c r="H246" s="27" t="str">
        <f aca="false">IF(T246="","",IF(U246="","000001",INDEX('Referência LC 214'!$I$6:$I$967,U246)))</f>
        <v/>
      </c>
      <c r="I246" s="28" t="str">
        <f aca="false">IF(T246="","",IF(U246="","Sem anexo: tributação integral",INDEX('Referência LC 214'!$H$6:$H$967,U246)))</f>
        <v/>
      </c>
      <c r="J246" s="29" t="str">
        <f aca="false">IF(T246="","",IF(U246="",0,INDEX('Referência LC 214'!$K$6:$K$967,U246)))</f>
        <v/>
      </c>
      <c r="K246" s="28" t="str">
        <f aca="false">IF(OR(T246="",U246=""),"","Anexo "&amp;INDEX('Referência LC 214'!$E$6:$E$967,U246)&amp;", item "&amp;INDEX('Referência LC 214'!$F$6:$F$967,U246)&amp;": "&amp;INDEX('Referência LC 214'!$G$6:$G$967,U246))</f>
        <v/>
      </c>
      <c r="L246" s="28" t="str">
        <f aca="false">IF(OR(T246="",U246=""),"",IF(INDEX('Referência LC 214'!$L$6:$L$967,U246)&amp;""&lt;&gt;"",INDEX('Referência LC 214'!$L$6:$L$967,U246)&amp;"",IF(SUMPRODUCT((LEFT(T246,LEN('Referência LC 214'!$N$6:$N$967))='Referência LC 214'!$N$6:$N$967)*('Referência LC 214'!$L$6:$L$967&lt;&gt;""))&gt;0,"Há outro tratamento só para alguns compradores (ex.: órgão público/SUS) — veja a referência","")))</f>
        <v/>
      </c>
      <c r="M246" s="30" t="str">
        <f aca="false">IF(T246="","",IF(AND(C246&lt;&gt;"Serviço",LEN(T246)-1&lt;&gt;8),"NCM deve ter 8 dígitos",IF(AND(C246="Serviço",LEN(T246)-1&lt;&gt;9),"NBS deve ter 9 dígitos",IF(L246&lt;&gt;"","Benefício depende do comprador: confira a coluna N",IF(G246&gt;1,"Mais de uma regra: confira o item do anexo na referência",IF(G246=0,"Sem redução na LC 214","Confira se o produto é o descrito no item"))))))</f>
        <v/>
      </c>
      <c r="N246" s="25"/>
      <c r="O246" s="23"/>
      <c r="P246" s="25"/>
      <c r="Q246" s="25"/>
      <c r="R246" s="31"/>
      <c r="S246" s="24"/>
      <c r="T246" s="4" t="str">
        <f aca="false">IF(D246="","",IF(C246="Serviço","S","P")&amp;SUBSTITUTE(SUBSTITUTE(SUBSTITUTE(D246,".",""),"-","")," ",""))</f>
        <v/>
      </c>
      <c r="U246" s="4" t="str">
        <f aca="false">IF(T246="","",IFERROR(MATCH(LEFT(T246,10),'Referência LC 214'!$N$6:$N$967,0),IFERROR(MATCH(LEFT(T246,9),'Referência LC 214'!$N$6:$N$967,0),IFERROR(MATCH(LEFT(T246,8),'Referência LC 214'!$N$6:$N$967,0),IFERROR(MATCH(LEFT(T246,7),'Referência LC 214'!$N$6:$N$967,0),IFERROR(MATCH(LEFT(T246,6),'Referência LC 214'!$N$6:$N$967,0),IFERROR(MATCH(LEFT(T246,5),'Referência LC 214'!$N$6:$N$967,0),IFERROR(MATCH(LEFT(T246,4),'Referência LC 214'!$N$6:$N$967,0),IFERROR(MATCH(LEFT(T246,3),'Referência LC 214'!$N$6:$N$967,0),"")))))))))</f>
        <v/>
      </c>
    </row>
    <row r="247" customFormat="false" ht="15" hidden="false" customHeight="false" outlineLevel="0" collapsed="false">
      <c r="A247" s="23"/>
      <c r="B247" s="24"/>
      <c r="C247" s="25"/>
      <c r="D247" s="23"/>
      <c r="E247" s="23"/>
      <c r="F247" s="25"/>
      <c r="G247" s="26" t="str">
        <f aca="false">IF(T247="","",SUMPRODUCT(--(LEFT(T247,LEN('Referência LC 214'!$N$6:$N$967))='Referência LC 214'!$N$6:$N$967)))</f>
        <v/>
      </c>
      <c r="H247" s="27" t="str">
        <f aca="false">IF(T247="","",IF(U247="","000001",INDEX('Referência LC 214'!$I$6:$I$967,U247)))</f>
        <v/>
      </c>
      <c r="I247" s="28" t="str">
        <f aca="false">IF(T247="","",IF(U247="","Sem anexo: tributação integral",INDEX('Referência LC 214'!$H$6:$H$967,U247)))</f>
        <v/>
      </c>
      <c r="J247" s="29" t="str">
        <f aca="false">IF(T247="","",IF(U247="",0,INDEX('Referência LC 214'!$K$6:$K$967,U247)))</f>
        <v/>
      </c>
      <c r="K247" s="28" t="str">
        <f aca="false">IF(OR(T247="",U247=""),"","Anexo "&amp;INDEX('Referência LC 214'!$E$6:$E$967,U247)&amp;", item "&amp;INDEX('Referência LC 214'!$F$6:$F$967,U247)&amp;": "&amp;INDEX('Referência LC 214'!$G$6:$G$967,U247))</f>
        <v/>
      </c>
      <c r="L247" s="28" t="str">
        <f aca="false">IF(OR(T247="",U247=""),"",IF(INDEX('Referência LC 214'!$L$6:$L$967,U247)&amp;""&lt;&gt;"",INDEX('Referência LC 214'!$L$6:$L$967,U247)&amp;"",IF(SUMPRODUCT((LEFT(T247,LEN('Referência LC 214'!$N$6:$N$967))='Referência LC 214'!$N$6:$N$967)*('Referência LC 214'!$L$6:$L$967&lt;&gt;""))&gt;0,"Há outro tratamento só para alguns compradores (ex.: órgão público/SUS) — veja a referência","")))</f>
        <v/>
      </c>
      <c r="M247" s="30" t="str">
        <f aca="false">IF(T247="","",IF(AND(C247&lt;&gt;"Serviço",LEN(T247)-1&lt;&gt;8),"NCM deve ter 8 dígitos",IF(AND(C247="Serviço",LEN(T247)-1&lt;&gt;9),"NBS deve ter 9 dígitos",IF(L247&lt;&gt;"","Benefício depende do comprador: confira a coluna N",IF(G247&gt;1,"Mais de uma regra: confira o item do anexo na referência",IF(G247=0,"Sem redução na LC 214","Confira se o produto é o descrito no item"))))))</f>
        <v/>
      </c>
      <c r="N247" s="25"/>
      <c r="O247" s="23"/>
      <c r="P247" s="25"/>
      <c r="Q247" s="25"/>
      <c r="R247" s="31"/>
      <c r="S247" s="24"/>
      <c r="T247" s="4" t="str">
        <f aca="false">IF(D247="","",IF(C247="Serviço","S","P")&amp;SUBSTITUTE(SUBSTITUTE(SUBSTITUTE(D247,".",""),"-","")," ",""))</f>
        <v/>
      </c>
      <c r="U247" s="4" t="str">
        <f aca="false">IF(T247="","",IFERROR(MATCH(LEFT(T247,10),'Referência LC 214'!$N$6:$N$967,0),IFERROR(MATCH(LEFT(T247,9),'Referência LC 214'!$N$6:$N$967,0),IFERROR(MATCH(LEFT(T247,8),'Referência LC 214'!$N$6:$N$967,0),IFERROR(MATCH(LEFT(T247,7),'Referência LC 214'!$N$6:$N$967,0),IFERROR(MATCH(LEFT(T247,6),'Referência LC 214'!$N$6:$N$967,0),IFERROR(MATCH(LEFT(T247,5),'Referência LC 214'!$N$6:$N$967,0),IFERROR(MATCH(LEFT(T247,4),'Referência LC 214'!$N$6:$N$967,0),IFERROR(MATCH(LEFT(T247,3),'Referência LC 214'!$N$6:$N$967,0),"")))))))))</f>
        <v/>
      </c>
    </row>
    <row r="248" customFormat="false" ht="15" hidden="false" customHeight="false" outlineLevel="0" collapsed="false">
      <c r="A248" s="23"/>
      <c r="B248" s="24"/>
      <c r="C248" s="25"/>
      <c r="D248" s="23"/>
      <c r="E248" s="23"/>
      <c r="F248" s="25"/>
      <c r="G248" s="26" t="str">
        <f aca="false">IF(T248="","",SUMPRODUCT(--(LEFT(T248,LEN('Referência LC 214'!$N$6:$N$967))='Referência LC 214'!$N$6:$N$967)))</f>
        <v/>
      </c>
      <c r="H248" s="27" t="str">
        <f aca="false">IF(T248="","",IF(U248="","000001",INDEX('Referência LC 214'!$I$6:$I$967,U248)))</f>
        <v/>
      </c>
      <c r="I248" s="28" t="str">
        <f aca="false">IF(T248="","",IF(U248="","Sem anexo: tributação integral",INDEX('Referência LC 214'!$H$6:$H$967,U248)))</f>
        <v/>
      </c>
      <c r="J248" s="29" t="str">
        <f aca="false">IF(T248="","",IF(U248="",0,INDEX('Referência LC 214'!$K$6:$K$967,U248)))</f>
        <v/>
      </c>
      <c r="K248" s="28" t="str">
        <f aca="false">IF(OR(T248="",U248=""),"","Anexo "&amp;INDEX('Referência LC 214'!$E$6:$E$967,U248)&amp;", item "&amp;INDEX('Referência LC 214'!$F$6:$F$967,U248)&amp;": "&amp;INDEX('Referência LC 214'!$G$6:$G$967,U248))</f>
        <v/>
      </c>
      <c r="L248" s="28" t="str">
        <f aca="false">IF(OR(T248="",U248=""),"",IF(INDEX('Referência LC 214'!$L$6:$L$967,U248)&amp;""&lt;&gt;"",INDEX('Referência LC 214'!$L$6:$L$967,U248)&amp;"",IF(SUMPRODUCT((LEFT(T248,LEN('Referência LC 214'!$N$6:$N$967))='Referência LC 214'!$N$6:$N$967)*('Referência LC 214'!$L$6:$L$967&lt;&gt;""))&gt;0,"Há outro tratamento só para alguns compradores (ex.: órgão público/SUS) — veja a referência","")))</f>
        <v/>
      </c>
      <c r="M248" s="30" t="str">
        <f aca="false">IF(T248="","",IF(AND(C248&lt;&gt;"Serviço",LEN(T248)-1&lt;&gt;8),"NCM deve ter 8 dígitos",IF(AND(C248="Serviço",LEN(T248)-1&lt;&gt;9),"NBS deve ter 9 dígitos",IF(L248&lt;&gt;"","Benefício depende do comprador: confira a coluna N",IF(G248&gt;1,"Mais de uma regra: confira o item do anexo na referência",IF(G248=0,"Sem redução na LC 214","Confira se o produto é o descrito no item"))))))</f>
        <v/>
      </c>
      <c r="N248" s="25"/>
      <c r="O248" s="23"/>
      <c r="P248" s="25"/>
      <c r="Q248" s="25"/>
      <c r="R248" s="31"/>
      <c r="S248" s="24"/>
      <c r="T248" s="4" t="str">
        <f aca="false">IF(D248="","",IF(C248="Serviço","S","P")&amp;SUBSTITUTE(SUBSTITUTE(SUBSTITUTE(D248,".",""),"-","")," ",""))</f>
        <v/>
      </c>
      <c r="U248" s="4" t="str">
        <f aca="false">IF(T248="","",IFERROR(MATCH(LEFT(T248,10),'Referência LC 214'!$N$6:$N$967,0),IFERROR(MATCH(LEFT(T248,9),'Referência LC 214'!$N$6:$N$967,0),IFERROR(MATCH(LEFT(T248,8),'Referência LC 214'!$N$6:$N$967,0),IFERROR(MATCH(LEFT(T248,7),'Referência LC 214'!$N$6:$N$967,0),IFERROR(MATCH(LEFT(T248,6),'Referência LC 214'!$N$6:$N$967,0),IFERROR(MATCH(LEFT(T248,5),'Referência LC 214'!$N$6:$N$967,0),IFERROR(MATCH(LEFT(T248,4),'Referência LC 214'!$N$6:$N$967,0),IFERROR(MATCH(LEFT(T248,3),'Referência LC 214'!$N$6:$N$967,0),"")))))))))</f>
        <v/>
      </c>
    </row>
    <row r="249" customFormat="false" ht="15" hidden="false" customHeight="false" outlineLevel="0" collapsed="false">
      <c r="A249" s="23"/>
      <c r="B249" s="24"/>
      <c r="C249" s="25"/>
      <c r="D249" s="23"/>
      <c r="E249" s="23"/>
      <c r="F249" s="25"/>
      <c r="G249" s="26" t="str">
        <f aca="false">IF(T249="","",SUMPRODUCT(--(LEFT(T249,LEN('Referência LC 214'!$N$6:$N$967))='Referência LC 214'!$N$6:$N$967)))</f>
        <v/>
      </c>
      <c r="H249" s="27" t="str">
        <f aca="false">IF(T249="","",IF(U249="","000001",INDEX('Referência LC 214'!$I$6:$I$967,U249)))</f>
        <v/>
      </c>
      <c r="I249" s="28" t="str">
        <f aca="false">IF(T249="","",IF(U249="","Sem anexo: tributação integral",INDEX('Referência LC 214'!$H$6:$H$967,U249)))</f>
        <v/>
      </c>
      <c r="J249" s="29" t="str">
        <f aca="false">IF(T249="","",IF(U249="",0,INDEX('Referência LC 214'!$K$6:$K$967,U249)))</f>
        <v/>
      </c>
      <c r="K249" s="28" t="str">
        <f aca="false">IF(OR(T249="",U249=""),"","Anexo "&amp;INDEX('Referência LC 214'!$E$6:$E$967,U249)&amp;", item "&amp;INDEX('Referência LC 214'!$F$6:$F$967,U249)&amp;": "&amp;INDEX('Referência LC 214'!$G$6:$G$967,U249))</f>
        <v/>
      </c>
      <c r="L249" s="28" t="str">
        <f aca="false">IF(OR(T249="",U249=""),"",IF(INDEX('Referência LC 214'!$L$6:$L$967,U249)&amp;""&lt;&gt;"",INDEX('Referência LC 214'!$L$6:$L$967,U249)&amp;"",IF(SUMPRODUCT((LEFT(T249,LEN('Referência LC 214'!$N$6:$N$967))='Referência LC 214'!$N$6:$N$967)*('Referência LC 214'!$L$6:$L$967&lt;&gt;""))&gt;0,"Há outro tratamento só para alguns compradores (ex.: órgão público/SUS) — veja a referência","")))</f>
        <v/>
      </c>
      <c r="M249" s="30" t="str">
        <f aca="false">IF(T249="","",IF(AND(C249&lt;&gt;"Serviço",LEN(T249)-1&lt;&gt;8),"NCM deve ter 8 dígitos",IF(AND(C249="Serviço",LEN(T249)-1&lt;&gt;9),"NBS deve ter 9 dígitos",IF(L249&lt;&gt;"","Benefício depende do comprador: confira a coluna N",IF(G249&gt;1,"Mais de uma regra: confira o item do anexo na referência",IF(G249=0,"Sem redução na LC 214","Confira se o produto é o descrito no item"))))))</f>
        <v/>
      </c>
      <c r="N249" s="25"/>
      <c r="O249" s="23"/>
      <c r="P249" s="25"/>
      <c r="Q249" s="25"/>
      <c r="R249" s="31"/>
      <c r="S249" s="24"/>
      <c r="T249" s="4" t="str">
        <f aca="false">IF(D249="","",IF(C249="Serviço","S","P")&amp;SUBSTITUTE(SUBSTITUTE(SUBSTITUTE(D249,".",""),"-","")," ",""))</f>
        <v/>
      </c>
      <c r="U249" s="4" t="str">
        <f aca="false">IF(T249="","",IFERROR(MATCH(LEFT(T249,10),'Referência LC 214'!$N$6:$N$967,0),IFERROR(MATCH(LEFT(T249,9),'Referência LC 214'!$N$6:$N$967,0),IFERROR(MATCH(LEFT(T249,8),'Referência LC 214'!$N$6:$N$967,0),IFERROR(MATCH(LEFT(T249,7),'Referência LC 214'!$N$6:$N$967,0),IFERROR(MATCH(LEFT(T249,6),'Referência LC 214'!$N$6:$N$967,0),IFERROR(MATCH(LEFT(T249,5),'Referência LC 214'!$N$6:$N$967,0),IFERROR(MATCH(LEFT(T249,4),'Referência LC 214'!$N$6:$N$967,0),IFERROR(MATCH(LEFT(T249,3),'Referência LC 214'!$N$6:$N$967,0),"")))))))))</f>
        <v/>
      </c>
    </row>
    <row r="250" customFormat="false" ht="15" hidden="false" customHeight="false" outlineLevel="0" collapsed="false">
      <c r="A250" s="23"/>
      <c r="B250" s="24"/>
      <c r="C250" s="25"/>
      <c r="D250" s="23"/>
      <c r="E250" s="23"/>
      <c r="F250" s="25"/>
      <c r="G250" s="26" t="str">
        <f aca="false">IF(T250="","",SUMPRODUCT(--(LEFT(T250,LEN('Referência LC 214'!$N$6:$N$967))='Referência LC 214'!$N$6:$N$967)))</f>
        <v/>
      </c>
      <c r="H250" s="27" t="str">
        <f aca="false">IF(T250="","",IF(U250="","000001",INDEX('Referência LC 214'!$I$6:$I$967,U250)))</f>
        <v/>
      </c>
      <c r="I250" s="28" t="str">
        <f aca="false">IF(T250="","",IF(U250="","Sem anexo: tributação integral",INDEX('Referência LC 214'!$H$6:$H$967,U250)))</f>
        <v/>
      </c>
      <c r="J250" s="29" t="str">
        <f aca="false">IF(T250="","",IF(U250="",0,INDEX('Referência LC 214'!$K$6:$K$967,U250)))</f>
        <v/>
      </c>
      <c r="K250" s="28" t="str">
        <f aca="false">IF(OR(T250="",U250=""),"","Anexo "&amp;INDEX('Referência LC 214'!$E$6:$E$967,U250)&amp;", item "&amp;INDEX('Referência LC 214'!$F$6:$F$967,U250)&amp;": "&amp;INDEX('Referência LC 214'!$G$6:$G$967,U250))</f>
        <v/>
      </c>
      <c r="L250" s="28" t="str">
        <f aca="false">IF(OR(T250="",U250=""),"",IF(INDEX('Referência LC 214'!$L$6:$L$967,U250)&amp;""&lt;&gt;"",INDEX('Referência LC 214'!$L$6:$L$967,U250)&amp;"",IF(SUMPRODUCT((LEFT(T250,LEN('Referência LC 214'!$N$6:$N$967))='Referência LC 214'!$N$6:$N$967)*('Referência LC 214'!$L$6:$L$967&lt;&gt;""))&gt;0,"Há outro tratamento só para alguns compradores (ex.: órgão público/SUS) — veja a referência","")))</f>
        <v/>
      </c>
      <c r="M250" s="30" t="str">
        <f aca="false">IF(T250="","",IF(AND(C250&lt;&gt;"Serviço",LEN(T250)-1&lt;&gt;8),"NCM deve ter 8 dígitos",IF(AND(C250="Serviço",LEN(T250)-1&lt;&gt;9),"NBS deve ter 9 dígitos",IF(L250&lt;&gt;"","Benefício depende do comprador: confira a coluna N",IF(G250&gt;1,"Mais de uma regra: confira o item do anexo na referência",IF(G250=0,"Sem redução na LC 214","Confira se o produto é o descrito no item"))))))</f>
        <v/>
      </c>
      <c r="N250" s="25"/>
      <c r="O250" s="23"/>
      <c r="P250" s="25"/>
      <c r="Q250" s="25"/>
      <c r="R250" s="31"/>
      <c r="S250" s="24"/>
      <c r="T250" s="4" t="str">
        <f aca="false">IF(D250="","",IF(C250="Serviço","S","P")&amp;SUBSTITUTE(SUBSTITUTE(SUBSTITUTE(D250,".",""),"-","")," ",""))</f>
        <v/>
      </c>
      <c r="U250" s="4" t="str">
        <f aca="false">IF(T250="","",IFERROR(MATCH(LEFT(T250,10),'Referência LC 214'!$N$6:$N$967,0),IFERROR(MATCH(LEFT(T250,9),'Referência LC 214'!$N$6:$N$967,0),IFERROR(MATCH(LEFT(T250,8),'Referência LC 214'!$N$6:$N$967,0),IFERROR(MATCH(LEFT(T250,7),'Referência LC 214'!$N$6:$N$967,0),IFERROR(MATCH(LEFT(T250,6),'Referência LC 214'!$N$6:$N$967,0),IFERROR(MATCH(LEFT(T250,5),'Referência LC 214'!$N$6:$N$967,0),IFERROR(MATCH(LEFT(T250,4),'Referência LC 214'!$N$6:$N$967,0),IFERROR(MATCH(LEFT(T250,3),'Referência LC 214'!$N$6:$N$967,0),"")))))))))</f>
        <v/>
      </c>
    </row>
    <row r="251" customFormat="false" ht="15" hidden="false" customHeight="false" outlineLevel="0" collapsed="false">
      <c r="A251" s="23"/>
      <c r="B251" s="24"/>
      <c r="C251" s="25"/>
      <c r="D251" s="23"/>
      <c r="E251" s="23"/>
      <c r="F251" s="25"/>
      <c r="G251" s="26" t="str">
        <f aca="false">IF(T251="","",SUMPRODUCT(--(LEFT(T251,LEN('Referência LC 214'!$N$6:$N$967))='Referência LC 214'!$N$6:$N$967)))</f>
        <v/>
      </c>
      <c r="H251" s="27" t="str">
        <f aca="false">IF(T251="","",IF(U251="","000001",INDEX('Referência LC 214'!$I$6:$I$967,U251)))</f>
        <v/>
      </c>
      <c r="I251" s="28" t="str">
        <f aca="false">IF(T251="","",IF(U251="","Sem anexo: tributação integral",INDEX('Referência LC 214'!$H$6:$H$967,U251)))</f>
        <v/>
      </c>
      <c r="J251" s="29" t="str">
        <f aca="false">IF(T251="","",IF(U251="",0,INDEX('Referência LC 214'!$K$6:$K$967,U251)))</f>
        <v/>
      </c>
      <c r="K251" s="28" t="str">
        <f aca="false">IF(OR(T251="",U251=""),"","Anexo "&amp;INDEX('Referência LC 214'!$E$6:$E$967,U251)&amp;", item "&amp;INDEX('Referência LC 214'!$F$6:$F$967,U251)&amp;": "&amp;INDEX('Referência LC 214'!$G$6:$G$967,U251))</f>
        <v/>
      </c>
      <c r="L251" s="28" t="str">
        <f aca="false">IF(OR(T251="",U251=""),"",IF(INDEX('Referência LC 214'!$L$6:$L$967,U251)&amp;""&lt;&gt;"",INDEX('Referência LC 214'!$L$6:$L$967,U251)&amp;"",IF(SUMPRODUCT((LEFT(T251,LEN('Referência LC 214'!$N$6:$N$967))='Referência LC 214'!$N$6:$N$967)*('Referência LC 214'!$L$6:$L$967&lt;&gt;""))&gt;0,"Há outro tratamento só para alguns compradores (ex.: órgão público/SUS) — veja a referência","")))</f>
        <v/>
      </c>
      <c r="M251" s="30" t="str">
        <f aca="false">IF(T251="","",IF(AND(C251&lt;&gt;"Serviço",LEN(T251)-1&lt;&gt;8),"NCM deve ter 8 dígitos",IF(AND(C251="Serviço",LEN(T251)-1&lt;&gt;9),"NBS deve ter 9 dígitos",IF(L251&lt;&gt;"","Benefício depende do comprador: confira a coluna N",IF(G251&gt;1,"Mais de uma regra: confira o item do anexo na referência",IF(G251=0,"Sem redução na LC 214","Confira se o produto é o descrito no item"))))))</f>
        <v/>
      </c>
      <c r="N251" s="25"/>
      <c r="O251" s="23"/>
      <c r="P251" s="25"/>
      <c r="Q251" s="25"/>
      <c r="R251" s="31"/>
      <c r="S251" s="24"/>
      <c r="T251" s="4" t="str">
        <f aca="false">IF(D251="","",IF(C251="Serviço","S","P")&amp;SUBSTITUTE(SUBSTITUTE(SUBSTITUTE(D251,".",""),"-","")," ",""))</f>
        <v/>
      </c>
      <c r="U251" s="4" t="str">
        <f aca="false">IF(T251="","",IFERROR(MATCH(LEFT(T251,10),'Referência LC 214'!$N$6:$N$967,0),IFERROR(MATCH(LEFT(T251,9),'Referência LC 214'!$N$6:$N$967,0),IFERROR(MATCH(LEFT(T251,8),'Referência LC 214'!$N$6:$N$967,0),IFERROR(MATCH(LEFT(T251,7),'Referência LC 214'!$N$6:$N$967,0),IFERROR(MATCH(LEFT(T251,6),'Referência LC 214'!$N$6:$N$967,0),IFERROR(MATCH(LEFT(T251,5),'Referência LC 214'!$N$6:$N$967,0),IFERROR(MATCH(LEFT(T251,4),'Referência LC 214'!$N$6:$N$967,0),IFERROR(MATCH(LEFT(T251,3),'Referência LC 214'!$N$6:$N$967,0),"")))))))))</f>
        <v/>
      </c>
    </row>
    <row r="252" customFormat="false" ht="15" hidden="false" customHeight="false" outlineLevel="0" collapsed="false">
      <c r="A252" s="23"/>
      <c r="B252" s="24"/>
      <c r="C252" s="25"/>
      <c r="D252" s="23"/>
      <c r="E252" s="23"/>
      <c r="F252" s="25"/>
      <c r="G252" s="26" t="str">
        <f aca="false">IF(T252="","",SUMPRODUCT(--(LEFT(T252,LEN('Referência LC 214'!$N$6:$N$967))='Referência LC 214'!$N$6:$N$967)))</f>
        <v/>
      </c>
      <c r="H252" s="27" t="str">
        <f aca="false">IF(T252="","",IF(U252="","000001",INDEX('Referência LC 214'!$I$6:$I$967,U252)))</f>
        <v/>
      </c>
      <c r="I252" s="28" t="str">
        <f aca="false">IF(T252="","",IF(U252="","Sem anexo: tributação integral",INDEX('Referência LC 214'!$H$6:$H$967,U252)))</f>
        <v/>
      </c>
      <c r="J252" s="29" t="str">
        <f aca="false">IF(T252="","",IF(U252="",0,INDEX('Referência LC 214'!$K$6:$K$967,U252)))</f>
        <v/>
      </c>
      <c r="K252" s="28" t="str">
        <f aca="false">IF(OR(T252="",U252=""),"","Anexo "&amp;INDEX('Referência LC 214'!$E$6:$E$967,U252)&amp;", item "&amp;INDEX('Referência LC 214'!$F$6:$F$967,U252)&amp;": "&amp;INDEX('Referência LC 214'!$G$6:$G$967,U252))</f>
        <v/>
      </c>
      <c r="L252" s="28" t="str">
        <f aca="false">IF(OR(T252="",U252=""),"",IF(INDEX('Referência LC 214'!$L$6:$L$967,U252)&amp;""&lt;&gt;"",INDEX('Referência LC 214'!$L$6:$L$967,U252)&amp;"",IF(SUMPRODUCT((LEFT(T252,LEN('Referência LC 214'!$N$6:$N$967))='Referência LC 214'!$N$6:$N$967)*('Referência LC 214'!$L$6:$L$967&lt;&gt;""))&gt;0,"Há outro tratamento só para alguns compradores (ex.: órgão público/SUS) — veja a referência","")))</f>
        <v/>
      </c>
      <c r="M252" s="30" t="str">
        <f aca="false">IF(T252="","",IF(AND(C252&lt;&gt;"Serviço",LEN(T252)-1&lt;&gt;8),"NCM deve ter 8 dígitos",IF(AND(C252="Serviço",LEN(T252)-1&lt;&gt;9),"NBS deve ter 9 dígitos",IF(L252&lt;&gt;"","Benefício depende do comprador: confira a coluna N",IF(G252&gt;1,"Mais de uma regra: confira o item do anexo na referência",IF(G252=0,"Sem redução na LC 214","Confira se o produto é o descrito no item"))))))</f>
        <v/>
      </c>
      <c r="N252" s="25"/>
      <c r="O252" s="23"/>
      <c r="P252" s="25"/>
      <c r="Q252" s="25"/>
      <c r="R252" s="31"/>
      <c r="S252" s="24"/>
      <c r="T252" s="4" t="str">
        <f aca="false">IF(D252="","",IF(C252="Serviço","S","P")&amp;SUBSTITUTE(SUBSTITUTE(SUBSTITUTE(D252,".",""),"-","")," ",""))</f>
        <v/>
      </c>
      <c r="U252" s="4" t="str">
        <f aca="false">IF(T252="","",IFERROR(MATCH(LEFT(T252,10),'Referência LC 214'!$N$6:$N$967,0),IFERROR(MATCH(LEFT(T252,9),'Referência LC 214'!$N$6:$N$967,0),IFERROR(MATCH(LEFT(T252,8),'Referência LC 214'!$N$6:$N$967,0),IFERROR(MATCH(LEFT(T252,7),'Referência LC 214'!$N$6:$N$967,0),IFERROR(MATCH(LEFT(T252,6),'Referência LC 214'!$N$6:$N$967,0),IFERROR(MATCH(LEFT(T252,5),'Referência LC 214'!$N$6:$N$967,0),IFERROR(MATCH(LEFT(T252,4),'Referência LC 214'!$N$6:$N$967,0),IFERROR(MATCH(LEFT(T252,3),'Referência LC 214'!$N$6:$N$967,0),"")))))))))</f>
        <v/>
      </c>
    </row>
    <row r="253" customFormat="false" ht="15" hidden="false" customHeight="false" outlineLevel="0" collapsed="false">
      <c r="A253" s="23"/>
      <c r="B253" s="24"/>
      <c r="C253" s="25"/>
      <c r="D253" s="23"/>
      <c r="E253" s="23"/>
      <c r="F253" s="25"/>
      <c r="G253" s="26" t="str">
        <f aca="false">IF(T253="","",SUMPRODUCT(--(LEFT(T253,LEN('Referência LC 214'!$N$6:$N$967))='Referência LC 214'!$N$6:$N$967)))</f>
        <v/>
      </c>
      <c r="H253" s="27" t="str">
        <f aca="false">IF(T253="","",IF(U253="","000001",INDEX('Referência LC 214'!$I$6:$I$967,U253)))</f>
        <v/>
      </c>
      <c r="I253" s="28" t="str">
        <f aca="false">IF(T253="","",IF(U253="","Sem anexo: tributação integral",INDEX('Referência LC 214'!$H$6:$H$967,U253)))</f>
        <v/>
      </c>
      <c r="J253" s="29" t="str">
        <f aca="false">IF(T253="","",IF(U253="",0,INDEX('Referência LC 214'!$K$6:$K$967,U253)))</f>
        <v/>
      </c>
      <c r="K253" s="28" t="str">
        <f aca="false">IF(OR(T253="",U253=""),"","Anexo "&amp;INDEX('Referência LC 214'!$E$6:$E$967,U253)&amp;", item "&amp;INDEX('Referência LC 214'!$F$6:$F$967,U253)&amp;": "&amp;INDEX('Referência LC 214'!$G$6:$G$967,U253))</f>
        <v/>
      </c>
      <c r="L253" s="28" t="str">
        <f aca="false">IF(OR(T253="",U253=""),"",IF(INDEX('Referência LC 214'!$L$6:$L$967,U253)&amp;""&lt;&gt;"",INDEX('Referência LC 214'!$L$6:$L$967,U253)&amp;"",IF(SUMPRODUCT((LEFT(T253,LEN('Referência LC 214'!$N$6:$N$967))='Referência LC 214'!$N$6:$N$967)*('Referência LC 214'!$L$6:$L$967&lt;&gt;""))&gt;0,"Há outro tratamento só para alguns compradores (ex.: órgão público/SUS) — veja a referência","")))</f>
        <v/>
      </c>
      <c r="M253" s="30" t="str">
        <f aca="false">IF(T253="","",IF(AND(C253&lt;&gt;"Serviço",LEN(T253)-1&lt;&gt;8),"NCM deve ter 8 dígitos",IF(AND(C253="Serviço",LEN(T253)-1&lt;&gt;9),"NBS deve ter 9 dígitos",IF(L253&lt;&gt;"","Benefício depende do comprador: confira a coluna N",IF(G253&gt;1,"Mais de uma regra: confira o item do anexo na referência",IF(G253=0,"Sem redução na LC 214","Confira se o produto é o descrito no item"))))))</f>
        <v/>
      </c>
      <c r="N253" s="25"/>
      <c r="O253" s="23"/>
      <c r="P253" s="25"/>
      <c r="Q253" s="25"/>
      <c r="R253" s="31"/>
      <c r="S253" s="24"/>
      <c r="T253" s="4" t="str">
        <f aca="false">IF(D253="","",IF(C253="Serviço","S","P")&amp;SUBSTITUTE(SUBSTITUTE(SUBSTITUTE(D253,".",""),"-","")," ",""))</f>
        <v/>
      </c>
      <c r="U253" s="4" t="str">
        <f aca="false">IF(T253="","",IFERROR(MATCH(LEFT(T253,10),'Referência LC 214'!$N$6:$N$967,0),IFERROR(MATCH(LEFT(T253,9),'Referência LC 214'!$N$6:$N$967,0),IFERROR(MATCH(LEFT(T253,8),'Referência LC 214'!$N$6:$N$967,0),IFERROR(MATCH(LEFT(T253,7),'Referência LC 214'!$N$6:$N$967,0),IFERROR(MATCH(LEFT(T253,6),'Referência LC 214'!$N$6:$N$967,0),IFERROR(MATCH(LEFT(T253,5),'Referência LC 214'!$N$6:$N$967,0),IFERROR(MATCH(LEFT(T253,4),'Referência LC 214'!$N$6:$N$967,0),IFERROR(MATCH(LEFT(T253,3),'Referência LC 214'!$N$6:$N$967,0),"")))))))))</f>
        <v/>
      </c>
    </row>
    <row r="254" customFormat="false" ht="15" hidden="false" customHeight="false" outlineLevel="0" collapsed="false">
      <c r="A254" s="23"/>
      <c r="B254" s="24"/>
      <c r="C254" s="25"/>
      <c r="D254" s="23"/>
      <c r="E254" s="23"/>
      <c r="F254" s="25"/>
      <c r="G254" s="26" t="str">
        <f aca="false">IF(T254="","",SUMPRODUCT(--(LEFT(T254,LEN('Referência LC 214'!$N$6:$N$967))='Referência LC 214'!$N$6:$N$967)))</f>
        <v/>
      </c>
      <c r="H254" s="27" t="str">
        <f aca="false">IF(T254="","",IF(U254="","000001",INDEX('Referência LC 214'!$I$6:$I$967,U254)))</f>
        <v/>
      </c>
      <c r="I254" s="28" t="str">
        <f aca="false">IF(T254="","",IF(U254="","Sem anexo: tributação integral",INDEX('Referência LC 214'!$H$6:$H$967,U254)))</f>
        <v/>
      </c>
      <c r="J254" s="29" t="str">
        <f aca="false">IF(T254="","",IF(U254="",0,INDEX('Referência LC 214'!$K$6:$K$967,U254)))</f>
        <v/>
      </c>
      <c r="K254" s="28" t="str">
        <f aca="false">IF(OR(T254="",U254=""),"","Anexo "&amp;INDEX('Referência LC 214'!$E$6:$E$967,U254)&amp;", item "&amp;INDEX('Referência LC 214'!$F$6:$F$967,U254)&amp;": "&amp;INDEX('Referência LC 214'!$G$6:$G$967,U254))</f>
        <v/>
      </c>
      <c r="L254" s="28" t="str">
        <f aca="false">IF(OR(T254="",U254=""),"",IF(INDEX('Referência LC 214'!$L$6:$L$967,U254)&amp;""&lt;&gt;"",INDEX('Referência LC 214'!$L$6:$L$967,U254)&amp;"",IF(SUMPRODUCT((LEFT(T254,LEN('Referência LC 214'!$N$6:$N$967))='Referência LC 214'!$N$6:$N$967)*('Referência LC 214'!$L$6:$L$967&lt;&gt;""))&gt;0,"Há outro tratamento só para alguns compradores (ex.: órgão público/SUS) — veja a referência","")))</f>
        <v/>
      </c>
      <c r="M254" s="30" t="str">
        <f aca="false">IF(T254="","",IF(AND(C254&lt;&gt;"Serviço",LEN(T254)-1&lt;&gt;8),"NCM deve ter 8 dígitos",IF(AND(C254="Serviço",LEN(T254)-1&lt;&gt;9),"NBS deve ter 9 dígitos",IF(L254&lt;&gt;"","Benefício depende do comprador: confira a coluna N",IF(G254&gt;1,"Mais de uma regra: confira o item do anexo na referência",IF(G254=0,"Sem redução na LC 214","Confira se o produto é o descrito no item"))))))</f>
        <v/>
      </c>
      <c r="N254" s="25"/>
      <c r="O254" s="23"/>
      <c r="P254" s="25"/>
      <c r="Q254" s="25"/>
      <c r="R254" s="31"/>
      <c r="S254" s="24"/>
      <c r="T254" s="4" t="str">
        <f aca="false">IF(D254="","",IF(C254="Serviço","S","P")&amp;SUBSTITUTE(SUBSTITUTE(SUBSTITUTE(D254,".",""),"-","")," ",""))</f>
        <v/>
      </c>
      <c r="U254" s="4" t="str">
        <f aca="false">IF(T254="","",IFERROR(MATCH(LEFT(T254,10),'Referência LC 214'!$N$6:$N$967,0),IFERROR(MATCH(LEFT(T254,9),'Referência LC 214'!$N$6:$N$967,0),IFERROR(MATCH(LEFT(T254,8),'Referência LC 214'!$N$6:$N$967,0),IFERROR(MATCH(LEFT(T254,7),'Referência LC 214'!$N$6:$N$967,0),IFERROR(MATCH(LEFT(T254,6),'Referência LC 214'!$N$6:$N$967,0),IFERROR(MATCH(LEFT(T254,5),'Referência LC 214'!$N$6:$N$967,0),IFERROR(MATCH(LEFT(T254,4),'Referência LC 214'!$N$6:$N$967,0),IFERROR(MATCH(LEFT(T254,3),'Referência LC 214'!$N$6:$N$967,0),"")))))))))</f>
        <v/>
      </c>
    </row>
    <row r="255" customFormat="false" ht="15" hidden="false" customHeight="false" outlineLevel="0" collapsed="false">
      <c r="A255" s="23"/>
      <c r="B255" s="24"/>
      <c r="C255" s="25"/>
      <c r="D255" s="23"/>
      <c r="E255" s="23"/>
      <c r="F255" s="25"/>
      <c r="G255" s="26" t="str">
        <f aca="false">IF(T255="","",SUMPRODUCT(--(LEFT(T255,LEN('Referência LC 214'!$N$6:$N$967))='Referência LC 214'!$N$6:$N$967)))</f>
        <v/>
      </c>
      <c r="H255" s="27" t="str">
        <f aca="false">IF(T255="","",IF(U255="","000001",INDEX('Referência LC 214'!$I$6:$I$967,U255)))</f>
        <v/>
      </c>
      <c r="I255" s="28" t="str">
        <f aca="false">IF(T255="","",IF(U255="","Sem anexo: tributação integral",INDEX('Referência LC 214'!$H$6:$H$967,U255)))</f>
        <v/>
      </c>
      <c r="J255" s="29" t="str">
        <f aca="false">IF(T255="","",IF(U255="",0,INDEX('Referência LC 214'!$K$6:$K$967,U255)))</f>
        <v/>
      </c>
      <c r="K255" s="28" t="str">
        <f aca="false">IF(OR(T255="",U255=""),"","Anexo "&amp;INDEX('Referência LC 214'!$E$6:$E$967,U255)&amp;", item "&amp;INDEX('Referência LC 214'!$F$6:$F$967,U255)&amp;": "&amp;INDEX('Referência LC 214'!$G$6:$G$967,U255))</f>
        <v/>
      </c>
      <c r="L255" s="28" t="str">
        <f aca="false">IF(OR(T255="",U255=""),"",IF(INDEX('Referência LC 214'!$L$6:$L$967,U255)&amp;""&lt;&gt;"",INDEX('Referência LC 214'!$L$6:$L$967,U255)&amp;"",IF(SUMPRODUCT((LEFT(T255,LEN('Referência LC 214'!$N$6:$N$967))='Referência LC 214'!$N$6:$N$967)*('Referência LC 214'!$L$6:$L$967&lt;&gt;""))&gt;0,"Há outro tratamento só para alguns compradores (ex.: órgão público/SUS) — veja a referência","")))</f>
        <v/>
      </c>
      <c r="M255" s="30" t="str">
        <f aca="false">IF(T255="","",IF(AND(C255&lt;&gt;"Serviço",LEN(T255)-1&lt;&gt;8),"NCM deve ter 8 dígitos",IF(AND(C255="Serviço",LEN(T255)-1&lt;&gt;9),"NBS deve ter 9 dígitos",IF(L255&lt;&gt;"","Benefício depende do comprador: confira a coluna N",IF(G255&gt;1,"Mais de uma regra: confira o item do anexo na referência",IF(G255=0,"Sem redução na LC 214","Confira se o produto é o descrito no item"))))))</f>
        <v/>
      </c>
      <c r="N255" s="25"/>
      <c r="O255" s="23"/>
      <c r="P255" s="25"/>
      <c r="Q255" s="25"/>
      <c r="R255" s="31"/>
      <c r="S255" s="24"/>
      <c r="T255" s="4" t="str">
        <f aca="false">IF(D255="","",IF(C255="Serviço","S","P")&amp;SUBSTITUTE(SUBSTITUTE(SUBSTITUTE(D255,".",""),"-","")," ",""))</f>
        <v/>
      </c>
      <c r="U255" s="4" t="str">
        <f aca="false">IF(T255="","",IFERROR(MATCH(LEFT(T255,10),'Referência LC 214'!$N$6:$N$967,0),IFERROR(MATCH(LEFT(T255,9),'Referência LC 214'!$N$6:$N$967,0),IFERROR(MATCH(LEFT(T255,8),'Referência LC 214'!$N$6:$N$967,0),IFERROR(MATCH(LEFT(T255,7),'Referência LC 214'!$N$6:$N$967,0),IFERROR(MATCH(LEFT(T255,6),'Referência LC 214'!$N$6:$N$967,0),IFERROR(MATCH(LEFT(T255,5),'Referência LC 214'!$N$6:$N$967,0),IFERROR(MATCH(LEFT(T255,4),'Referência LC 214'!$N$6:$N$967,0),IFERROR(MATCH(LEFT(T255,3),'Referência LC 214'!$N$6:$N$967,0),"")))))))))</f>
        <v/>
      </c>
    </row>
    <row r="256" customFormat="false" ht="15" hidden="false" customHeight="false" outlineLevel="0" collapsed="false">
      <c r="A256" s="23"/>
      <c r="B256" s="24"/>
      <c r="C256" s="25"/>
      <c r="D256" s="23"/>
      <c r="E256" s="23"/>
      <c r="F256" s="25"/>
      <c r="G256" s="26" t="str">
        <f aca="false">IF(T256="","",SUMPRODUCT(--(LEFT(T256,LEN('Referência LC 214'!$N$6:$N$967))='Referência LC 214'!$N$6:$N$967)))</f>
        <v/>
      </c>
      <c r="H256" s="27" t="str">
        <f aca="false">IF(T256="","",IF(U256="","000001",INDEX('Referência LC 214'!$I$6:$I$967,U256)))</f>
        <v/>
      </c>
      <c r="I256" s="28" t="str">
        <f aca="false">IF(T256="","",IF(U256="","Sem anexo: tributação integral",INDEX('Referência LC 214'!$H$6:$H$967,U256)))</f>
        <v/>
      </c>
      <c r="J256" s="29" t="str">
        <f aca="false">IF(T256="","",IF(U256="",0,INDEX('Referência LC 214'!$K$6:$K$967,U256)))</f>
        <v/>
      </c>
      <c r="K256" s="28" t="str">
        <f aca="false">IF(OR(T256="",U256=""),"","Anexo "&amp;INDEX('Referência LC 214'!$E$6:$E$967,U256)&amp;", item "&amp;INDEX('Referência LC 214'!$F$6:$F$967,U256)&amp;": "&amp;INDEX('Referência LC 214'!$G$6:$G$967,U256))</f>
        <v/>
      </c>
      <c r="L256" s="28" t="str">
        <f aca="false">IF(OR(T256="",U256=""),"",IF(INDEX('Referência LC 214'!$L$6:$L$967,U256)&amp;""&lt;&gt;"",INDEX('Referência LC 214'!$L$6:$L$967,U256)&amp;"",IF(SUMPRODUCT((LEFT(T256,LEN('Referência LC 214'!$N$6:$N$967))='Referência LC 214'!$N$6:$N$967)*('Referência LC 214'!$L$6:$L$967&lt;&gt;""))&gt;0,"Há outro tratamento só para alguns compradores (ex.: órgão público/SUS) — veja a referência","")))</f>
        <v/>
      </c>
      <c r="M256" s="30" t="str">
        <f aca="false">IF(T256="","",IF(AND(C256&lt;&gt;"Serviço",LEN(T256)-1&lt;&gt;8),"NCM deve ter 8 dígitos",IF(AND(C256="Serviço",LEN(T256)-1&lt;&gt;9),"NBS deve ter 9 dígitos",IF(L256&lt;&gt;"","Benefício depende do comprador: confira a coluna N",IF(G256&gt;1,"Mais de uma regra: confira o item do anexo na referência",IF(G256=0,"Sem redução na LC 214","Confira se o produto é o descrito no item"))))))</f>
        <v/>
      </c>
      <c r="N256" s="25"/>
      <c r="O256" s="23"/>
      <c r="P256" s="25"/>
      <c r="Q256" s="25"/>
      <c r="R256" s="31"/>
      <c r="S256" s="24"/>
      <c r="T256" s="4" t="str">
        <f aca="false">IF(D256="","",IF(C256="Serviço","S","P")&amp;SUBSTITUTE(SUBSTITUTE(SUBSTITUTE(D256,".",""),"-","")," ",""))</f>
        <v/>
      </c>
      <c r="U256" s="4" t="str">
        <f aca="false">IF(T256="","",IFERROR(MATCH(LEFT(T256,10),'Referência LC 214'!$N$6:$N$967,0),IFERROR(MATCH(LEFT(T256,9),'Referência LC 214'!$N$6:$N$967,0),IFERROR(MATCH(LEFT(T256,8),'Referência LC 214'!$N$6:$N$967,0),IFERROR(MATCH(LEFT(T256,7),'Referência LC 214'!$N$6:$N$967,0),IFERROR(MATCH(LEFT(T256,6),'Referência LC 214'!$N$6:$N$967,0),IFERROR(MATCH(LEFT(T256,5),'Referência LC 214'!$N$6:$N$967,0),IFERROR(MATCH(LEFT(T256,4),'Referência LC 214'!$N$6:$N$967,0),IFERROR(MATCH(LEFT(T256,3),'Referência LC 214'!$N$6:$N$967,0),"")))))))))</f>
        <v/>
      </c>
    </row>
    <row r="257" customFormat="false" ht="15" hidden="false" customHeight="false" outlineLevel="0" collapsed="false">
      <c r="A257" s="23"/>
      <c r="B257" s="24"/>
      <c r="C257" s="25"/>
      <c r="D257" s="23"/>
      <c r="E257" s="23"/>
      <c r="F257" s="25"/>
      <c r="G257" s="26" t="str">
        <f aca="false">IF(T257="","",SUMPRODUCT(--(LEFT(T257,LEN('Referência LC 214'!$N$6:$N$967))='Referência LC 214'!$N$6:$N$967)))</f>
        <v/>
      </c>
      <c r="H257" s="27" t="str">
        <f aca="false">IF(T257="","",IF(U257="","000001",INDEX('Referência LC 214'!$I$6:$I$967,U257)))</f>
        <v/>
      </c>
      <c r="I257" s="28" t="str">
        <f aca="false">IF(T257="","",IF(U257="","Sem anexo: tributação integral",INDEX('Referência LC 214'!$H$6:$H$967,U257)))</f>
        <v/>
      </c>
      <c r="J257" s="29" t="str">
        <f aca="false">IF(T257="","",IF(U257="",0,INDEX('Referência LC 214'!$K$6:$K$967,U257)))</f>
        <v/>
      </c>
      <c r="K257" s="28" t="str">
        <f aca="false">IF(OR(T257="",U257=""),"","Anexo "&amp;INDEX('Referência LC 214'!$E$6:$E$967,U257)&amp;", item "&amp;INDEX('Referência LC 214'!$F$6:$F$967,U257)&amp;": "&amp;INDEX('Referência LC 214'!$G$6:$G$967,U257))</f>
        <v/>
      </c>
      <c r="L257" s="28" t="str">
        <f aca="false">IF(OR(T257="",U257=""),"",IF(INDEX('Referência LC 214'!$L$6:$L$967,U257)&amp;""&lt;&gt;"",INDEX('Referência LC 214'!$L$6:$L$967,U257)&amp;"",IF(SUMPRODUCT((LEFT(T257,LEN('Referência LC 214'!$N$6:$N$967))='Referência LC 214'!$N$6:$N$967)*('Referência LC 214'!$L$6:$L$967&lt;&gt;""))&gt;0,"Há outro tratamento só para alguns compradores (ex.: órgão público/SUS) — veja a referência","")))</f>
        <v/>
      </c>
      <c r="M257" s="30" t="str">
        <f aca="false">IF(T257="","",IF(AND(C257&lt;&gt;"Serviço",LEN(T257)-1&lt;&gt;8),"NCM deve ter 8 dígitos",IF(AND(C257="Serviço",LEN(T257)-1&lt;&gt;9),"NBS deve ter 9 dígitos",IF(L257&lt;&gt;"","Benefício depende do comprador: confira a coluna N",IF(G257&gt;1,"Mais de uma regra: confira o item do anexo na referência",IF(G257=0,"Sem redução na LC 214","Confira se o produto é o descrito no item"))))))</f>
        <v/>
      </c>
      <c r="N257" s="25"/>
      <c r="O257" s="23"/>
      <c r="P257" s="25"/>
      <c r="Q257" s="25"/>
      <c r="R257" s="31"/>
      <c r="S257" s="24"/>
      <c r="T257" s="4" t="str">
        <f aca="false">IF(D257="","",IF(C257="Serviço","S","P")&amp;SUBSTITUTE(SUBSTITUTE(SUBSTITUTE(D257,".",""),"-","")," ",""))</f>
        <v/>
      </c>
      <c r="U257" s="4" t="str">
        <f aca="false">IF(T257="","",IFERROR(MATCH(LEFT(T257,10),'Referência LC 214'!$N$6:$N$967,0),IFERROR(MATCH(LEFT(T257,9),'Referência LC 214'!$N$6:$N$967,0),IFERROR(MATCH(LEFT(T257,8),'Referência LC 214'!$N$6:$N$967,0),IFERROR(MATCH(LEFT(T257,7),'Referência LC 214'!$N$6:$N$967,0),IFERROR(MATCH(LEFT(T257,6),'Referência LC 214'!$N$6:$N$967,0),IFERROR(MATCH(LEFT(T257,5),'Referência LC 214'!$N$6:$N$967,0),IFERROR(MATCH(LEFT(T257,4),'Referência LC 214'!$N$6:$N$967,0),IFERROR(MATCH(LEFT(T257,3),'Referência LC 214'!$N$6:$N$967,0),"")))))))))</f>
        <v/>
      </c>
    </row>
    <row r="258" customFormat="false" ht="15" hidden="false" customHeight="false" outlineLevel="0" collapsed="false">
      <c r="A258" s="23"/>
      <c r="B258" s="24"/>
      <c r="C258" s="25"/>
      <c r="D258" s="23"/>
      <c r="E258" s="23"/>
      <c r="F258" s="25"/>
      <c r="G258" s="26" t="str">
        <f aca="false">IF(T258="","",SUMPRODUCT(--(LEFT(T258,LEN('Referência LC 214'!$N$6:$N$967))='Referência LC 214'!$N$6:$N$967)))</f>
        <v/>
      </c>
      <c r="H258" s="27" t="str">
        <f aca="false">IF(T258="","",IF(U258="","000001",INDEX('Referência LC 214'!$I$6:$I$967,U258)))</f>
        <v/>
      </c>
      <c r="I258" s="28" t="str">
        <f aca="false">IF(T258="","",IF(U258="","Sem anexo: tributação integral",INDEX('Referência LC 214'!$H$6:$H$967,U258)))</f>
        <v/>
      </c>
      <c r="J258" s="29" t="str">
        <f aca="false">IF(T258="","",IF(U258="",0,INDEX('Referência LC 214'!$K$6:$K$967,U258)))</f>
        <v/>
      </c>
      <c r="K258" s="28" t="str">
        <f aca="false">IF(OR(T258="",U258=""),"","Anexo "&amp;INDEX('Referência LC 214'!$E$6:$E$967,U258)&amp;", item "&amp;INDEX('Referência LC 214'!$F$6:$F$967,U258)&amp;": "&amp;INDEX('Referência LC 214'!$G$6:$G$967,U258))</f>
        <v/>
      </c>
      <c r="L258" s="28" t="str">
        <f aca="false">IF(OR(T258="",U258=""),"",IF(INDEX('Referência LC 214'!$L$6:$L$967,U258)&amp;""&lt;&gt;"",INDEX('Referência LC 214'!$L$6:$L$967,U258)&amp;"",IF(SUMPRODUCT((LEFT(T258,LEN('Referência LC 214'!$N$6:$N$967))='Referência LC 214'!$N$6:$N$967)*('Referência LC 214'!$L$6:$L$967&lt;&gt;""))&gt;0,"Há outro tratamento só para alguns compradores (ex.: órgão público/SUS) — veja a referência","")))</f>
        <v/>
      </c>
      <c r="M258" s="30" t="str">
        <f aca="false">IF(T258="","",IF(AND(C258&lt;&gt;"Serviço",LEN(T258)-1&lt;&gt;8),"NCM deve ter 8 dígitos",IF(AND(C258="Serviço",LEN(T258)-1&lt;&gt;9),"NBS deve ter 9 dígitos",IF(L258&lt;&gt;"","Benefício depende do comprador: confira a coluna N",IF(G258&gt;1,"Mais de uma regra: confira o item do anexo na referência",IF(G258=0,"Sem redução na LC 214","Confira se o produto é o descrito no item"))))))</f>
        <v/>
      </c>
      <c r="N258" s="25"/>
      <c r="O258" s="23"/>
      <c r="P258" s="25"/>
      <c r="Q258" s="25"/>
      <c r="R258" s="31"/>
      <c r="S258" s="24"/>
      <c r="T258" s="4" t="str">
        <f aca="false">IF(D258="","",IF(C258="Serviço","S","P")&amp;SUBSTITUTE(SUBSTITUTE(SUBSTITUTE(D258,".",""),"-","")," ",""))</f>
        <v/>
      </c>
      <c r="U258" s="4" t="str">
        <f aca="false">IF(T258="","",IFERROR(MATCH(LEFT(T258,10),'Referência LC 214'!$N$6:$N$967,0),IFERROR(MATCH(LEFT(T258,9),'Referência LC 214'!$N$6:$N$967,0),IFERROR(MATCH(LEFT(T258,8),'Referência LC 214'!$N$6:$N$967,0),IFERROR(MATCH(LEFT(T258,7),'Referência LC 214'!$N$6:$N$967,0),IFERROR(MATCH(LEFT(T258,6),'Referência LC 214'!$N$6:$N$967,0),IFERROR(MATCH(LEFT(T258,5),'Referência LC 214'!$N$6:$N$967,0),IFERROR(MATCH(LEFT(T258,4),'Referência LC 214'!$N$6:$N$967,0),IFERROR(MATCH(LEFT(T258,3),'Referência LC 214'!$N$6:$N$967,0),"")))))))))</f>
        <v/>
      </c>
    </row>
    <row r="259" customFormat="false" ht="15" hidden="false" customHeight="false" outlineLevel="0" collapsed="false">
      <c r="A259" s="23"/>
      <c r="B259" s="24"/>
      <c r="C259" s="25"/>
      <c r="D259" s="23"/>
      <c r="E259" s="23"/>
      <c r="F259" s="25"/>
      <c r="G259" s="26" t="str">
        <f aca="false">IF(T259="","",SUMPRODUCT(--(LEFT(T259,LEN('Referência LC 214'!$N$6:$N$967))='Referência LC 214'!$N$6:$N$967)))</f>
        <v/>
      </c>
      <c r="H259" s="27" t="str">
        <f aca="false">IF(T259="","",IF(U259="","000001",INDEX('Referência LC 214'!$I$6:$I$967,U259)))</f>
        <v/>
      </c>
      <c r="I259" s="28" t="str">
        <f aca="false">IF(T259="","",IF(U259="","Sem anexo: tributação integral",INDEX('Referência LC 214'!$H$6:$H$967,U259)))</f>
        <v/>
      </c>
      <c r="J259" s="29" t="str">
        <f aca="false">IF(T259="","",IF(U259="",0,INDEX('Referência LC 214'!$K$6:$K$967,U259)))</f>
        <v/>
      </c>
      <c r="K259" s="28" t="str">
        <f aca="false">IF(OR(T259="",U259=""),"","Anexo "&amp;INDEX('Referência LC 214'!$E$6:$E$967,U259)&amp;", item "&amp;INDEX('Referência LC 214'!$F$6:$F$967,U259)&amp;": "&amp;INDEX('Referência LC 214'!$G$6:$G$967,U259))</f>
        <v/>
      </c>
      <c r="L259" s="28" t="str">
        <f aca="false">IF(OR(T259="",U259=""),"",IF(INDEX('Referência LC 214'!$L$6:$L$967,U259)&amp;""&lt;&gt;"",INDEX('Referência LC 214'!$L$6:$L$967,U259)&amp;"",IF(SUMPRODUCT((LEFT(T259,LEN('Referência LC 214'!$N$6:$N$967))='Referência LC 214'!$N$6:$N$967)*('Referência LC 214'!$L$6:$L$967&lt;&gt;""))&gt;0,"Há outro tratamento só para alguns compradores (ex.: órgão público/SUS) — veja a referência","")))</f>
        <v/>
      </c>
      <c r="M259" s="30" t="str">
        <f aca="false">IF(T259="","",IF(AND(C259&lt;&gt;"Serviço",LEN(T259)-1&lt;&gt;8),"NCM deve ter 8 dígitos",IF(AND(C259="Serviço",LEN(T259)-1&lt;&gt;9),"NBS deve ter 9 dígitos",IF(L259&lt;&gt;"","Benefício depende do comprador: confira a coluna N",IF(G259&gt;1,"Mais de uma regra: confira o item do anexo na referência",IF(G259=0,"Sem redução na LC 214","Confira se o produto é o descrito no item"))))))</f>
        <v/>
      </c>
      <c r="N259" s="25"/>
      <c r="O259" s="23"/>
      <c r="P259" s="25"/>
      <c r="Q259" s="25"/>
      <c r="R259" s="31"/>
      <c r="S259" s="24"/>
      <c r="T259" s="4" t="str">
        <f aca="false">IF(D259="","",IF(C259="Serviço","S","P")&amp;SUBSTITUTE(SUBSTITUTE(SUBSTITUTE(D259,".",""),"-","")," ",""))</f>
        <v/>
      </c>
      <c r="U259" s="4" t="str">
        <f aca="false">IF(T259="","",IFERROR(MATCH(LEFT(T259,10),'Referência LC 214'!$N$6:$N$967,0),IFERROR(MATCH(LEFT(T259,9),'Referência LC 214'!$N$6:$N$967,0),IFERROR(MATCH(LEFT(T259,8),'Referência LC 214'!$N$6:$N$967,0),IFERROR(MATCH(LEFT(T259,7),'Referência LC 214'!$N$6:$N$967,0),IFERROR(MATCH(LEFT(T259,6),'Referência LC 214'!$N$6:$N$967,0),IFERROR(MATCH(LEFT(T259,5),'Referência LC 214'!$N$6:$N$967,0),IFERROR(MATCH(LEFT(T259,4),'Referência LC 214'!$N$6:$N$967,0),IFERROR(MATCH(LEFT(T259,3),'Referência LC 214'!$N$6:$N$967,0),"")))))))))</f>
        <v/>
      </c>
    </row>
    <row r="260" customFormat="false" ht="15" hidden="false" customHeight="false" outlineLevel="0" collapsed="false">
      <c r="A260" s="23"/>
      <c r="B260" s="24"/>
      <c r="C260" s="25"/>
      <c r="D260" s="23"/>
      <c r="E260" s="23"/>
      <c r="F260" s="25"/>
      <c r="G260" s="26" t="str">
        <f aca="false">IF(T260="","",SUMPRODUCT(--(LEFT(T260,LEN('Referência LC 214'!$N$6:$N$967))='Referência LC 214'!$N$6:$N$967)))</f>
        <v/>
      </c>
      <c r="H260" s="27" t="str">
        <f aca="false">IF(T260="","",IF(U260="","000001",INDEX('Referência LC 214'!$I$6:$I$967,U260)))</f>
        <v/>
      </c>
      <c r="I260" s="28" t="str">
        <f aca="false">IF(T260="","",IF(U260="","Sem anexo: tributação integral",INDEX('Referência LC 214'!$H$6:$H$967,U260)))</f>
        <v/>
      </c>
      <c r="J260" s="29" t="str">
        <f aca="false">IF(T260="","",IF(U260="",0,INDEX('Referência LC 214'!$K$6:$K$967,U260)))</f>
        <v/>
      </c>
      <c r="K260" s="28" t="str">
        <f aca="false">IF(OR(T260="",U260=""),"","Anexo "&amp;INDEX('Referência LC 214'!$E$6:$E$967,U260)&amp;", item "&amp;INDEX('Referência LC 214'!$F$6:$F$967,U260)&amp;": "&amp;INDEX('Referência LC 214'!$G$6:$G$967,U260))</f>
        <v/>
      </c>
      <c r="L260" s="28" t="str">
        <f aca="false">IF(OR(T260="",U260=""),"",IF(INDEX('Referência LC 214'!$L$6:$L$967,U260)&amp;""&lt;&gt;"",INDEX('Referência LC 214'!$L$6:$L$967,U260)&amp;"",IF(SUMPRODUCT((LEFT(T260,LEN('Referência LC 214'!$N$6:$N$967))='Referência LC 214'!$N$6:$N$967)*('Referência LC 214'!$L$6:$L$967&lt;&gt;""))&gt;0,"Há outro tratamento só para alguns compradores (ex.: órgão público/SUS) — veja a referência","")))</f>
        <v/>
      </c>
      <c r="M260" s="30" t="str">
        <f aca="false">IF(T260="","",IF(AND(C260&lt;&gt;"Serviço",LEN(T260)-1&lt;&gt;8),"NCM deve ter 8 dígitos",IF(AND(C260="Serviço",LEN(T260)-1&lt;&gt;9),"NBS deve ter 9 dígitos",IF(L260&lt;&gt;"","Benefício depende do comprador: confira a coluna N",IF(G260&gt;1,"Mais de uma regra: confira o item do anexo na referência",IF(G260=0,"Sem redução na LC 214","Confira se o produto é o descrito no item"))))))</f>
        <v/>
      </c>
      <c r="N260" s="25"/>
      <c r="O260" s="23"/>
      <c r="P260" s="25"/>
      <c r="Q260" s="25"/>
      <c r="R260" s="31"/>
      <c r="S260" s="24"/>
      <c r="T260" s="4" t="str">
        <f aca="false">IF(D260="","",IF(C260="Serviço","S","P")&amp;SUBSTITUTE(SUBSTITUTE(SUBSTITUTE(D260,".",""),"-","")," ",""))</f>
        <v/>
      </c>
      <c r="U260" s="4" t="str">
        <f aca="false">IF(T260="","",IFERROR(MATCH(LEFT(T260,10),'Referência LC 214'!$N$6:$N$967,0),IFERROR(MATCH(LEFT(T260,9),'Referência LC 214'!$N$6:$N$967,0),IFERROR(MATCH(LEFT(T260,8),'Referência LC 214'!$N$6:$N$967,0),IFERROR(MATCH(LEFT(T260,7),'Referência LC 214'!$N$6:$N$967,0),IFERROR(MATCH(LEFT(T260,6),'Referência LC 214'!$N$6:$N$967,0),IFERROR(MATCH(LEFT(T260,5),'Referência LC 214'!$N$6:$N$967,0),IFERROR(MATCH(LEFT(T260,4),'Referência LC 214'!$N$6:$N$967,0),IFERROR(MATCH(LEFT(T260,3),'Referência LC 214'!$N$6:$N$967,0),"")))))))))</f>
        <v/>
      </c>
    </row>
    <row r="261" customFormat="false" ht="15" hidden="false" customHeight="false" outlineLevel="0" collapsed="false">
      <c r="A261" s="23"/>
      <c r="B261" s="24"/>
      <c r="C261" s="25"/>
      <c r="D261" s="23"/>
      <c r="E261" s="23"/>
      <c r="F261" s="25"/>
      <c r="G261" s="26" t="str">
        <f aca="false">IF(T261="","",SUMPRODUCT(--(LEFT(T261,LEN('Referência LC 214'!$N$6:$N$967))='Referência LC 214'!$N$6:$N$967)))</f>
        <v/>
      </c>
      <c r="H261" s="27" t="str">
        <f aca="false">IF(T261="","",IF(U261="","000001",INDEX('Referência LC 214'!$I$6:$I$967,U261)))</f>
        <v/>
      </c>
      <c r="I261" s="28" t="str">
        <f aca="false">IF(T261="","",IF(U261="","Sem anexo: tributação integral",INDEX('Referência LC 214'!$H$6:$H$967,U261)))</f>
        <v/>
      </c>
      <c r="J261" s="29" t="str">
        <f aca="false">IF(T261="","",IF(U261="",0,INDEX('Referência LC 214'!$K$6:$K$967,U261)))</f>
        <v/>
      </c>
      <c r="K261" s="28" t="str">
        <f aca="false">IF(OR(T261="",U261=""),"","Anexo "&amp;INDEX('Referência LC 214'!$E$6:$E$967,U261)&amp;", item "&amp;INDEX('Referência LC 214'!$F$6:$F$967,U261)&amp;": "&amp;INDEX('Referência LC 214'!$G$6:$G$967,U261))</f>
        <v/>
      </c>
      <c r="L261" s="28" t="str">
        <f aca="false">IF(OR(T261="",U261=""),"",IF(INDEX('Referência LC 214'!$L$6:$L$967,U261)&amp;""&lt;&gt;"",INDEX('Referência LC 214'!$L$6:$L$967,U261)&amp;"",IF(SUMPRODUCT((LEFT(T261,LEN('Referência LC 214'!$N$6:$N$967))='Referência LC 214'!$N$6:$N$967)*('Referência LC 214'!$L$6:$L$967&lt;&gt;""))&gt;0,"Há outro tratamento só para alguns compradores (ex.: órgão público/SUS) — veja a referência","")))</f>
        <v/>
      </c>
      <c r="M261" s="30" t="str">
        <f aca="false">IF(T261="","",IF(AND(C261&lt;&gt;"Serviço",LEN(T261)-1&lt;&gt;8),"NCM deve ter 8 dígitos",IF(AND(C261="Serviço",LEN(T261)-1&lt;&gt;9),"NBS deve ter 9 dígitos",IF(L261&lt;&gt;"","Benefício depende do comprador: confira a coluna N",IF(G261&gt;1,"Mais de uma regra: confira o item do anexo na referência",IF(G261=0,"Sem redução na LC 214","Confira se o produto é o descrito no item"))))))</f>
        <v/>
      </c>
      <c r="N261" s="25"/>
      <c r="O261" s="23"/>
      <c r="P261" s="25"/>
      <c r="Q261" s="25"/>
      <c r="R261" s="31"/>
      <c r="S261" s="24"/>
      <c r="T261" s="4" t="str">
        <f aca="false">IF(D261="","",IF(C261="Serviço","S","P")&amp;SUBSTITUTE(SUBSTITUTE(SUBSTITUTE(D261,".",""),"-","")," ",""))</f>
        <v/>
      </c>
      <c r="U261" s="4" t="str">
        <f aca="false">IF(T261="","",IFERROR(MATCH(LEFT(T261,10),'Referência LC 214'!$N$6:$N$967,0),IFERROR(MATCH(LEFT(T261,9),'Referência LC 214'!$N$6:$N$967,0),IFERROR(MATCH(LEFT(T261,8),'Referência LC 214'!$N$6:$N$967,0),IFERROR(MATCH(LEFT(T261,7),'Referência LC 214'!$N$6:$N$967,0),IFERROR(MATCH(LEFT(T261,6),'Referência LC 214'!$N$6:$N$967,0),IFERROR(MATCH(LEFT(T261,5),'Referência LC 214'!$N$6:$N$967,0),IFERROR(MATCH(LEFT(T261,4),'Referência LC 214'!$N$6:$N$967,0),IFERROR(MATCH(LEFT(T261,3),'Referência LC 214'!$N$6:$N$967,0),"")))))))))</f>
        <v/>
      </c>
    </row>
    <row r="262" customFormat="false" ht="15" hidden="false" customHeight="false" outlineLevel="0" collapsed="false">
      <c r="A262" s="23"/>
      <c r="B262" s="24"/>
      <c r="C262" s="25"/>
      <c r="D262" s="23"/>
      <c r="E262" s="23"/>
      <c r="F262" s="25"/>
      <c r="G262" s="26" t="str">
        <f aca="false">IF(T262="","",SUMPRODUCT(--(LEFT(T262,LEN('Referência LC 214'!$N$6:$N$967))='Referência LC 214'!$N$6:$N$967)))</f>
        <v/>
      </c>
      <c r="H262" s="27" t="str">
        <f aca="false">IF(T262="","",IF(U262="","000001",INDEX('Referência LC 214'!$I$6:$I$967,U262)))</f>
        <v/>
      </c>
      <c r="I262" s="28" t="str">
        <f aca="false">IF(T262="","",IF(U262="","Sem anexo: tributação integral",INDEX('Referência LC 214'!$H$6:$H$967,U262)))</f>
        <v/>
      </c>
      <c r="J262" s="29" t="str">
        <f aca="false">IF(T262="","",IF(U262="",0,INDEX('Referência LC 214'!$K$6:$K$967,U262)))</f>
        <v/>
      </c>
      <c r="K262" s="28" t="str">
        <f aca="false">IF(OR(T262="",U262=""),"","Anexo "&amp;INDEX('Referência LC 214'!$E$6:$E$967,U262)&amp;", item "&amp;INDEX('Referência LC 214'!$F$6:$F$967,U262)&amp;": "&amp;INDEX('Referência LC 214'!$G$6:$G$967,U262))</f>
        <v/>
      </c>
      <c r="L262" s="28" t="str">
        <f aca="false">IF(OR(T262="",U262=""),"",IF(INDEX('Referência LC 214'!$L$6:$L$967,U262)&amp;""&lt;&gt;"",INDEX('Referência LC 214'!$L$6:$L$967,U262)&amp;"",IF(SUMPRODUCT((LEFT(T262,LEN('Referência LC 214'!$N$6:$N$967))='Referência LC 214'!$N$6:$N$967)*('Referência LC 214'!$L$6:$L$967&lt;&gt;""))&gt;0,"Há outro tratamento só para alguns compradores (ex.: órgão público/SUS) — veja a referência","")))</f>
        <v/>
      </c>
      <c r="M262" s="30" t="str">
        <f aca="false">IF(T262="","",IF(AND(C262&lt;&gt;"Serviço",LEN(T262)-1&lt;&gt;8),"NCM deve ter 8 dígitos",IF(AND(C262="Serviço",LEN(T262)-1&lt;&gt;9),"NBS deve ter 9 dígitos",IF(L262&lt;&gt;"","Benefício depende do comprador: confira a coluna N",IF(G262&gt;1,"Mais de uma regra: confira o item do anexo na referência",IF(G262=0,"Sem redução na LC 214","Confira se o produto é o descrito no item"))))))</f>
        <v/>
      </c>
      <c r="N262" s="25"/>
      <c r="O262" s="23"/>
      <c r="P262" s="25"/>
      <c r="Q262" s="25"/>
      <c r="R262" s="31"/>
      <c r="S262" s="24"/>
      <c r="T262" s="4" t="str">
        <f aca="false">IF(D262="","",IF(C262="Serviço","S","P")&amp;SUBSTITUTE(SUBSTITUTE(SUBSTITUTE(D262,".",""),"-","")," ",""))</f>
        <v/>
      </c>
      <c r="U262" s="4" t="str">
        <f aca="false">IF(T262="","",IFERROR(MATCH(LEFT(T262,10),'Referência LC 214'!$N$6:$N$967,0),IFERROR(MATCH(LEFT(T262,9),'Referência LC 214'!$N$6:$N$967,0),IFERROR(MATCH(LEFT(T262,8),'Referência LC 214'!$N$6:$N$967,0),IFERROR(MATCH(LEFT(T262,7),'Referência LC 214'!$N$6:$N$967,0),IFERROR(MATCH(LEFT(T262,6),'Referência LC 214'!$N$6:$N$967,0),IFERROR(MATCH(LEFT(T262,5),'Referência LC 214'!$N$6:$N$967,0),IFERROR(MATCH(LEFT(T262,4),'Referência LC 214'!$N$6:$N$967,0),IFERROR(MATCH(LEFT(T262,3),'Referência LC 214'!$N$6:$N$967,0),"")))))))))</f>
        <v/>
      </c>
    </row>
    <row r="263" customFormat="false" ht="15" hidden="false" customHeight="false" outlineLevel="0" collapsed="false">
      <c r="A263" s="23"/>
      <c r="B263" s="24"/>
      <c r="C263" s="25"/>
      <c r="D263" s="23"/>
      <c r="E263" s="23"/>
      <c r="F263" s="25"/>
      <c r="G263" s="26" t="str">
        <f aca="false">IF(T263="","",SUMPRODUCT(--(LEFT(T263,LEN('Referência LC 214'!$N$6:$N$967))='Referência LC 214'!$N$6:$N$967)))</f>
        <v/>
      </c>
      <c r="H263" s="27" t="str">
        <f aca="false">IF(T263="","",IF(U263="","000001",INDEX('Referência LC 214'!$I$6:$I$967,U263)))</f>
        <v/>
      </c>
      <c r="I263" s="28" t="str">
        <f aca="false">IF(T263="","",IF(U263="","Sem anexo: tributação integral",INDEX('Referência LC 214'!$H$6:$H$967,U263)))</f>
        <v/>
      </c>
      <c r="J263" s="29" t="str">
        <f aca="false">IF(T263="","",IF(U263="",0,INDEX('Referência LC 214'!$K$6:$K$967,U263)))</f>
        <v/>
      </c>
      <c r="K263" s="28" t="str">
        <f aca="false">IF(OR(T263="",U263=""),"","Anexo "&amp;INDEX('Referência LC 214'!$E$6:$E$967,U263)&amp;", item "&amp;INDEX('Referência LC 214'!$F$6:$F$967,U263)&amp;": "&amp;INDEX('Referência LC 214'!$G$6:$G$967,U263))</f>
        <v/>
      </c>
      <c r="L263" s="28" t="str">
        <f aca="false">IF(OR(T263="",U263=""),"",IF(INDEX('Referência LC 214'!$L$6:$L$967,U263)&amp;""&lt;&gt;"",INDEX('Referência LC 214'!$L$6:$L$967,U263)&amp;"",IF(SUMPRODUCT((LEFT(T263,LEN('Referência LC 214'!$N$6:$N$967))='Referência LC 214'!$N$6:$N$967)*('Referência LC 214'!$L$6:$L$967&lt;&gt;""))&gt;0,"Há outro tratamento só para alguns compradores (ex.: órgão público/SUS) — veja a referência","")))</f>
        <v/>
      </c>
      <c r="M263" s="30" t="str">
        <f aca="false">IF(T263="","",IF(AND(C263&lt;&gt;"Serviço",LEN(T263)-1&lt;&gt;8),"NCM deve ter 8 dígitos",IF(AND(C263="Serviço",LEN(T263)-1&lt;&gt;9),"NBS deve ter 9 dígitos",IF(L263&lt;&gt;"","Benefício depende do comprador: confira a coluna N",IF(G263&gt;1,"Mais de uma regra: confira o item do anexo na referência",IF(G263=0,"Sem redução na LC 214","Confira se o produto é o descrito no item"))))))</f>
        <v/>
      </c>
      <c r="N263" s="25"/>
      <c r="O263" s="23"/>
      <c r="P263" s="25"/>
      <c r="Q263" s="25"/>
      <c r="R263" s="31"/>
      <c r="S263" s="24"/>
      <c r="T263" s="4" t="str">
        <f aca="false">IF(D263="","",IF(C263="Serviço","S","P")&amp;SUBSTITUTE(SUBSTITUTE(SUBSTITUTE(D263,".",""),"-","")," ",""))</f>
        <v/>
      </c>
      <c r="U263" s="4" t="str">
        <f aca="false">IF(T263="","",IFERROR(MATCH(LEFT(T263,10),'Referência LC 214'!$N$6:$N$967,0),IFERROR(MATCH(LEFT(T263,9),'Referência LC 214'!$N$6:$N$967,0),IFERROR(MATCH(LEFT(T263,8),'Referência LC 214'!$N$6:$N$967,0),IFERROR(MATCH(LEFT(T263,7),'Referência LC 214'!$N$6:$N$967,0),IFERROR(MATCH(LEFT(T263,6),'Referência LC 214'!$N$6:$N$967,0),IFERROR(MATCH(LEFT(T263,5),'Referência LC 214'!$N$6:$N$967,0),IFERROR(MATCH(LEFT(T263,4),'Referência LC 214'!$N$6:$N$967,0),IFERROR(MATCH(LEFT(T263,3),'Referência LC 214'!$N$6:$N$967,0),"")))))))))</f>
        <v/>
      </c>
    </row>
    <row r="264" customFormat="false" ht="15" hidden="false" customHeight="false" outlineLevel="0" collapsed="false">
      <c r="A264" s="23"/>
      <c r="B264" s="24"/>
      <c r="C264" s="25"/>
      <c r="D264" s="23"/>
      <c r="E264" s="23"/>
      <c r="F264" s="25"/>
      <c r="G264" s="26" t="str">
        <f aca="false">IF(T264="","",SUMPRODUCT(--(LEFT(T264,LEN('Referência LC 214'!$N$6:$N$967))='Referência LC 214'!$N$6:$N$967)))</f>
        <v/>
      </c>
      <c r="H264" s="27" t="str">
        <f aca="false">IF(T264="","",IF(U264="","000001",INDEX('Referência LC 214'!$I$6:$I$967,U264)))</f>
        <v/>
      </c>
      <c r="I264" s="28" t="str">
        <f aca="false">IF(T264="","",IF(U264="","Sem anexo: tributação integral",INDEX('Referência LC 214'!$H$6:$H$967,U264)))</f>
        <v/>
      </c>
      <c r="J264" s="29" t="str">
        <f aca="false">IF(T264="","",IF(U264="",0,INDEX('Referência LC 214'!$K$6:$K$967,U264)))</f>
        <v/>
      </c>
      <c r="K264" s="28" t="str">
        <f aca="false">IF(OR(T264="",U264=""),"","Anexo "&amp;INDEX('Referência LC 214'!$E$6:$E$967,U264)&amp;", item "&amp;INDEX('Referência LC 214'!$F$6:$F$967,U264)&amp;": "&amp;INDEX('Referência LC 214'!$G$6:$G$967,U264))</f>
        <v/>
      </c>
      <c r="L264" s="28" t="str">
        <f aca="false">IF(OR(T264="",U264=""),"",IF(INDEX('Referência LC 214'!$L$6:$L$967,U264)&amp;""&lt;&gt;"",INDEX('Referência LC 214'!$L$6:$L$967,U264)&amp;"",IF(SUMPRODUCT((LEFT(T264,LEN('Referência LC 214'!$N$6:$N$967))='Referência LC 214'!$N$6:$N$967)*('Referência LC 214'!$L$6:$L$967&lt;&gt;""))&gt;0,"Há outro tratamento só para alguns compradores (ex.: órgão público/SUS) — veja a referência","")))</f>
        <v/>
      </c>
      <c r="M264" s="30" t="str">
        <f aca="false">IF(T264="","",IF(AND(C264&lt;&gt;"Serviço",LEN(T264)-1&lt;&gt;8),"NCM deve ter 8 dígitos",IF(AND(C264="Serviço",LEN(T264)-1&lt;&gt;9),"NBS deve ter 9 dígitos",IF(L264&lt;&gt;"","Benefício depende do comprador: confira a coluna N",IF(G264&gt;1,"Mais de uma regra: confira o item do anexo na referência",IF(G264=0,"Sem redução na LC 214","Confira se o produto é o descrito no item"))))))</f>
        <v/>
      </c>
      <c r="N264" s="25"/>
      <c r="O264" s="23"/>
      <c r="P264" s="25"/>
      <c r="Q264" s="25"/>
      <c r="R264" s="31"/>
      <c r="S264" s="24"/>
      <c r="T264" s="4" t="str">
        <f aca="false">IF(D264="","",IF(C264="Serviço","S","P")&amp;SUBSTITUTE(SUBSTITUTE(SUBSTITUTE(D264,".",""),"-","")," ",""))</f>
        <v/>
      </c>
      <c r="U264" s="4" t="str">
        <f aca="false">IF(T264="","",IFERROR(MATCH(LEFT(T264,10),'Referência LC 214'!$N$6:$N$967,0),IFERROR(MATCH(LEFT(T264,9),'Referência LC 214'!$N$6:$N$967,0),IFERROR(MATCH(LEFT(T264,8),'Referência LC 214'!$N$6:$N$967,0),IFERROR(MATCH(LEFT(T264,7),'Referência LC 214'!$N$6:$N$967,0),IFERROR(MATCH(LEFT(T264,6),'Referência LC 214'!$N$6:$N$967,0),IFERROR(MATCH(LEFT(T264,5),'Referência LC 214'!$N$6:$N$967,0),IFERROR(MATCH(LEFT(T264,4),'Referência LC 214'!$N$6:$N$967,0),IFERROR(MATCH(LEFT(T264,3),'Referência LC 214'!$N$6:$N$967,0),"")))))))))</f>
        <v/>
      </c>
    </row>
    <row r="265" customFormat="false" ht="15" hidden="false" customHeight="false" outlineLevel="0" collapsed="false">
      <c r="A265" s="23"/>
      <c r="B265" s="24"/>
      <c r="C265" s="25"/>
      <c r="D265" s="23"/>
      <c r="E265" s="23"/>
      <c r="F265" s="25"/>
      <c r="G265" s="26" t="str">
        <f aca="false">IF(T265="","",SUMPRODUCT(--(LEFT(T265,LEN('Referência LC 214'!$N$6:$N$967))='Referência LC 214'!$N$6:$N$967)))</f>
        <v/>
      </c>
      <c r="H265" s="27" t="str">
        <f aca="false">IF(T265="","",IF(U265="","000001",INDEX('Referência LC 214'!$I$6:$I$967,U265)))</f>
        <v/>
      </c>
      <c r="I265" s="28" t="str">
        <f aca="false">IF(T265="","",IF(U265="","Sem anexo: tributação integral",INDEX('Referência LC 214'!$H$6:$H$967,U265)))</f>
        <v/>
      </c>
      <c r="J265" s="29" t="str">
        <f aca="false">IF(T265="","",IF(U265="",0,INDEX('Referência LC 214'!$K$6:$K$967,U265)))</f>
        <v/>
      </c>
      <c r="K265" s="28" t="str">
        <f aca="false">IF(OR(T265="",U265=""),"","Anexo "&amp;INDEX('Referência LC 214'!$E$6:$E$967,U265)&amp;", item "&amp;INDEX('Referência LC 214'!$F$6:$F$967,U265)&amp;": "&amp;INDEX('Referência LC 214'!$G$6:$G$967,U265))</f>
        <v/>
      </c>
      <c r="L265" s="28" t="str">
        <f aca="false">IF(OR(T265="",U265=""),"",IF(INDEX('Referência LC 214'!$L$6:$L$967,U265)&amp;""&lt;&gt;"",INDEX('Referência LC 214'!$L$6:$L$967,U265)&amp;"",IF(SUMPRODUCT((LEFT(T265,LEN('Referência LC 214'!$N$6:$N$967))='Referência LC 214'!$N$6:$N$967)*('Referência LC 214'!$L$6:$L$967&lt;&gt;""))&gt;0,"Há outro tratamento só para alguns compradores (ex.: órgão público/SUS) — veja a referência","")))</f>
        <v/>
      </c>
      <c r="M265" s="30" t="str">
        <f aca="false">IF(T265="","",IF(AND(C265&lt;&gt;"Serviço",LEN(T265)-1&lt;&gt;8),"NCM deve ter 8 dígitos",IF(AND(C265="Serviço",LEN(T265)-1&lt;&gt;9),"NBS deve ter 9 dígitos",IF(L265&lt;&gt;"","Benefício depende do comprador: confira a coluna N",IF(G265&gt;1,"Mais de uma regra: confira o item do anexo na referência",IF(G265=0,"Sem redução na LC 214","Confira se o produto é o descrito no item"))))))</f>
        <v/>
      </c>
      <c r="N265" s="25"/>
      <c r="O265" s="23"/>
      <c r="P265" s="25"/>
      <c r="Q265" s="25"/>
      <c r="R265" s="31"/>
      <c r="S265" s="24"/>
      <c r="T265" s="4" t="str">
        <f aca="false">IF(D265="","",IF(C265="Serviço","S","P")&amp;SUBSTITUTE(SUBSTITUTE(SUBSTITUTE(D265,".",""),"-","")," ",""))</f>
        <v/>
      </c>
      <c r="U265" s="4" t="str">
        <f aca="false">IF(T265="","",IFERROR(MATCH(LEFT(T265,10),'Referência LC 214'!$N$6:$N$967,0),IFERROR(MATCH(LEFT(T265,9),'Referência LC 214'!$N$6:$N$967,0),IFERROR(MATCH(LEFT(T265,8),'Referência LC 214'!$N$6:$N$967,0),IFERROR(MATCH(LEFT(T265,7),'Referência LC 214'!$N$6:$N$967,0),IFERROR(MATCH(LEFT(T265,6),'Referência LC 214'!$N$6:$N$967,0),IFERROR(MATCH(LEFT(T265,5),'Referência LC 214'!$N$6:$N$967,0),IFERROR(MATCH(LEFT(T265,4),'Referência LC 214'!$N$6:$N$967,0),IFERROR(MATCH(LEFT(T265,3),'Referência LC 214'!$N$6:$N$967,0),"")))))))))</f>
        <v/>
      </c>
    </row>
    <row r="266" customFormat="false" ht="15" hidden="false" customHeight="false" outlineLevel="0" collapsed="false">
      <c r="A266" s="23"/>
      <c r="B266" s="24"/>
      <c r="C266" s="25"/>
      <c r="D266" s="23"/>
      <c r="E266" s="23"/>
      <c r="F266" s="25"/>
      <c r="G266" s="26" t="str">
        <f aca="false">IF(T266="","",SUMPRODUCT(--(LEFT(T266,LEN('Referência LC 214'!$N$6:$N$967))='Referência LC 214'!$N$6:$N$967)))</f>
        <v/>
      </c>
      <c r="H266" s="27" t="str">
        <f aca="false">IF(T266="","",IF(U266="","000001",INDEX('Referência LC 214'!$I$6:$I$967,U266)))</f>
        <v/>
      </c>
      <c r="I266" s="28" t="str">
        <f aca="false">IF(T266="","",IF(U266="","Sem anexo: tributação integral",INDEX('Referência LC 214'!$H$6:$H$967,U266)))</f>
        <v/>
      </c>
      <c r="J266" s="29" t="str">
        <f aca="false">IF(T266="","",IF(U266="",0,INDEX('Referência LC 214'!$K$6:$K$967,U266)))</f>
        <v/>
      </c>
      <c r="K266" s="28" t="str">
        <f aca="false">IF(OR(T266="",U266=""),"","Anexo "&amp;INDEX('Referência LC 214'!$E$6:$E$967,U266)&amp;", item "&amp;INDEX('Referência LC 214'!$F$6:$F$967,U266)&amp;": "&amp;INDEX('Referência LC 214'!$G$6:$G$967,U266))</f>
        <v/>
      </c>
      <c r="L266" s="28" t="str">
        <f aca="false">IF(OR(T266="",U266=""),"",IF(INDEX('Referência LC 214'!$L$6:$L$967,U266)&amp;""&lt;&gt;"",INDEX('Referência LC 214'!$L$6:$L$967,U266)&amp;"",IF(SUMPRODUCT((LEFT(T266,LEN('Referência LC 214'!$N$6:$N$967))='Referência LC 214'!$N$6:$N$967)*('Referência LC 214'!$L$6:$L$967&lt;&gt;""))&gt;0,"Há outro tratamento só para alguns compradores (ex.: órgão público/SUS) — veja a referência","")))</f>
        <v/>
      </c>
      <c r="M266" s="30" t="str">
        <f aca="false">IF(T266="","",IF(AND(C266&lt;&gt;"Serviço",LEN(T266)-1&lt;&gt;8),"NCM deve ter 8 dígitos",IF(AND(C266="Serviço",LEN(T266)-1&lt;&gt;9),"NBS deve ter 9 dígitos",IF(L266&lt;&gt;"","Benefício depende do comprador: confira a coluna N",IF(G266&gt;1,"Mais de uma regra: confira o item do anexo na referência",IF(G266=0,"Sem redução na LC 214","Confira se o produto é o descrito no item"))))))</f>
        <v/>
      </c>
      <c r="N266" s="25"/>
      <c r="O266" s="23"/>
      <c r="P266" s="25"/>
      <c r="Q266" s="25"/>
      <c r="R266" s="31"/>
      <c r="S266" s="24"/>
      <c r="T266" s="4" t="str">
        <f aca="false">IF(D266="","",IF(C266="Serviço","S","P")&amp;SUBSTITUTE(SUBSTITUTE(SUBSTITUTE(D266,".",""),"-","")," ",""))</f>
        <v/>
      </c>
      <c r="U266" s="4" t="str">
        <f aca="false">IF(T266="","",IFERROR(MATCH(LEFT(T266,10),'Referência LC 214'!$N$6:$N$967,0),IFERROR(MATCH(LEFT(T266,9),'Referência LC 214'!$N$6:$N$967,0),IFERROR(MATCH(LEFT(T266,8),'Referência LC 214'!$N$6:$N$967,0),IFERROR(MATCH(LEFT(T266,7),'Referência LC 214'!$N$6:$N$967,0),IFERROR(MATCH(LEFT(T266,6),'Referência LC 214'!$N$6:$N$967,0),IFERROR(MATCH(LEFT(T266,5),'Referência LC 214'!$N$6:$N$967,0),IFERROR(MATCH(LEFT(T266,4),'Referência LC 214'!$N$6:$N$967,0),IFERROR(MATCH(LEFT(T266,3),'Referência LC 214'!$N$6:$N$967,0),"")))))))))</f>
        <v/>
      </c>
    </row>
    <row r="267" customFormat="false" ht="15" hidden="false" customHeight="false" outlineLevel="0" collapsed="false">
      <c r="A267" s="23"/>
      <c r="B267" s="24"/>
      <c r="C267" s="25"/>
      <c r="D267" s="23"/>
      <c r="E267" s="23"/>
      <c r="F267" s="25"/>
      <c r="G267" s="26" t="str">
        <f aca="false">IF(T267="","",SUMPRODUCT(--(LEFT(T267,LEN('Referência LC 214'!$N$6:$N$967))='Referência LC 214'!$N$6:$N$967)))</f>
        <v/>
      </c>
      <c r="H267" s="27" t="str">
        <f aca="false">IF(T267="","",IF(U267="","000001",INDEX('Referência LC 214'!$I$6:$I$967,U267)))</f>
        <v/>
      </c>
      <c r="I267" s="28" t="str">
        <f aca="false">IF(T267="","",IF(U267="","Sem anexo: tributação integral",INDEX('Referência LC 214'!$H$6:$H$967,U267)))</f>
        <v/>
      </c>
      <c r="J267" s="29" t="str">
        <f aca="false">IF(T267="","",IF(U267="",0,INDEX('Referência LC 214'!$K$6:$K$967,U267)))</f>
        <v/>
      </c>
      <c r="K267" s="28" t="str">
        <f aca="false">IF(OR(T267="",U267=""),"","Anexo "&amp;INDEX('Referência LC 214'!$E$6:$E$967,U267)&amp;", item "&amp;INDEX('Referência LC 214'!$F$6:$F$967,U267)&amp;": "&amp;INDEX('Referência LC 214'!$G$6:$G$967,U267))</f>
        <v/>
      </c>
      <c r="L267" s="28" t="str">
        <f aca="false">IF(OR(T267="",U267=""),"",IF(INDEX('Referência LC 214'!$L$6:$L$967,U267)&amp;""&lt;&gt;"",INDEX('Referência LC 214'!$L$6:$L$967,U267)&amp;"",IF(SUMPRODUCT((LEFT(T267,LEN('Referência LC 214'!$N$6:$N$967))='Referência LC 214'!$N$6:$N$967)*('Referência LC 214'!$L$6:$L$967&lt;&gt;""))&gt;0,"Há outro tratamento só para alguns compradores (ex.: órgão público/SUS) — veja a referência","")))</f>
        <v/>
      </c>
      <c r="M267" s="30" t="str">
        <f aca="false">IF(T267="","",IF(AND(C267&lt;&gt;"Serviço",LEN(T267)-1&lt;&gt;8),"NCM deve ter 8 dígitos",IF(AND(C267="Serviço",LEN(T267)-1&lt;&gt;9),"NBS deve ter 9 dígitos",IF(L267&lt;&gt;"","Benefício depende do comprador: confira a coluna N",IF(G267&gt;1,"Mais de uma regra: confira o item do anexo na referência",IF(G267=0,"Sem redução na LC 214","Confira se o produto é o descrito no item"))))))</f>
        <v/>
      </c>
      <c r="N267" s="25"/>
      <c r="O267" s="23"/>
      <c r="P267" s="25"/>
      <c r="Q267" s="25"/>
      <c r="R267" s="31"/>
      <c r="S267" s="24"/>
      <c r="T267" s="4" t="str">
        <f aca="false">IF(D267="","",IF(C267="Serviço","S","P")&amp;SUBSTITUTE(SUBSTITUTE(SUBSTITUTE(D267,".",""),"-","")," ",""))</f>
        <v/>
      </c>
      <c r="U267" s="4" t="str">
        <f aca="false">IF(T267="","",IFERROR(MATCH(LEFT(T267,10),'Referência LC 214'!$N$6:$N$967,0),IFERROR(MATCH(LEFT(T267,9),'Referência LC 214'!$N$6:$N$967,0),IFERROR(MATCH(LEFT(T267,8),'Referência LC 214'!$N$6:$N$967,0),IFERROR(MATCH(LEFT(T267,7),'Referência LC 214'!$N$6:$N$967,0),IFERROR(MATCH(LEFT(T267,6),'Referência LC 214'!$N$6:$N$967,0),IFERROR(MATCH(LEFT(T267,5),'Referência LC 214'!$N$6:$N$967,0),IFERROR(MATCH(LEFT(T267,4),'Referência LC 214'!$N$6:$N$967,0),IFERROR(MATCH(LEFT(T267,3),'Referência LC 214'!$N$6:$N$967,0),"")))))))))</f>
        <v/>
      </c>
    </row>
    <row r="268" customFormat="false" ht="15" hidden="false" customHeight="false" outlineLevel="0" collapsed="false">
      <c r="A268" s="23"/>
      <c r="B268" s="24"/>
      <c r="C268" s="25"/>
      <c r="D268" s="23"/>
      <c r="E268" s="23"/>
      <c r="F268" s="25"/>
      <c r="G268" s="26" t="str">
        <f aca="false">IF(T268="","",SUMPRODUCT(--(LEFT(T268,LEN('Referência LC 214'!$N$6:$N$967))='Referência LC 214'!$N$6:$N$967)))</f>
        <v/>
      </c>
      <c r="H268" s="27" t="str">
        <f aca="false">IF(T268="","",IF(U268="","000001",INDEX('Referência LC 214'!$I$6:$I$967,U268)))</f>
        <v/>
      </c>
      <c r="I268" s="28" t="str">
        <f aca="false">IF(T268="","",IF(U268="","Sem anexo: tributação integral",INDEX('Referência LC 214'!$H$6:$H$967,U268)))</f>
        <v/>
      </c>
      <c r="J268" s="29" t="str">
        <f aca="false">IF(T268="","",IF(U268="",0,INDEX('Referência LC 214'!$K$6:$K$967,U268)))</f>
        <v/>
      </c>
      <c r="K268" s="28" t="str">
        <f aca="false">IF(OR(T268="",U268=""),"","Anexo "&amp;INDEX('Referência LC 214'!$E$6:$E$967,U268)&amp;", item "&amp;INDEX('Referência LC 214'!$F$6:$F$967,U268)&amp;": "&amp;INDEX('Referência LC 214'!$G$6:$G$967,U268))</f>
        <v/>
      </c>
      <c r="L268" s="28" t="str">
        <f aca="false">IF(OR(T268="",U268=""),"",IF(INDEX('Referência LC 214'!$L$6:$L$967,U268)&amp;""&lt;&gt;"",INDEX('Referência LC 214'!$L$6:$L$967,U268)&amp;"",IF(SUMPRODUCT((LEFT(T268,LEN('Referência LC 214'!$N$6:$N$967))='Referência LC 214'!$N$6:$N$967)*('Referência LC 214'!$L$6:$L$967&lt;&gt;""))&gt;0,"Há outro tratamento só para alguns compradores (ex.: órgão público/SUS) — veja a referência","")))</f>
        <v/>
      </c>
      <c r="M268" s="30" t="str">
        <f aca="false">IF(T268="","",IF(AND(C268&lt;&gt;"Serviço",LEN(T268)-1&lt;&gt;8),"NCM deve ter 8 dígitos",IF(AND(C268="Serviço",LEN(T268)-1&lt;&gt;9),"NBS deve ter 9 dígitos",IF(L268&lt;&gt;"","Benefício depende do comprador: confira a coluna N",IF(G268&gt;1,"Mais de uma regra: confira o item do anexo na referência",IF(G268=0,"Sem redução na LC 214","Confira se o produto é o descrito no item"))))))</f>
        <v/>
      </c>
      <c r="N268" s="25"/>
      <c r="O268" s="23"/>
      <c r="P268" s="25"/>
      <c r="Q268" s="25"/>
      <c r="R268" s="31"/>
      <c r="S268" s="24"/>
      <c r="T268" s="4" t="str">
        <f aca="false">IF(D268="","",IF(C268="Serviço","S","P")&amp;SUBSTITUTE(SUBSTITUTE(SUBSTITUTE(D268,".",""),"-","")," ",""))</f>
        <v/>
      </c>
      <c r="U268" s="4" t="str">
        <f aca="false">IF(T268="","",IFERROR(MATCH(LEFT(T268,10),'Referência LC 214'!$N$6:$N$967,0),IFERROR(MATCH(LEFT(T268,9),'Referência LC 214'!$N$6:$N$967,0),IFERROR(MATCH(LEFT(T268,8),'Referência LC 214'!$N$6:$N$967,0),IFERROR(MATCH(LEFT(T268,7),'Referência LC 214'!$N$6:$N$967,0),IFERROR(MATCH(LEFT(T268,6),'Referência LC 214'!$N$6:$N$967,0),IFERROR(MATCH(LEFT(T268,5),'Referência LC 214'!$N$6:$N$967,0),IFERROR(MATCH(LEFT(T268,4),'Referência LC 214'!$N$6:$N$967,0),IFERROR(MATCH(LEFT(T268,3),'Referência LC 214'!$N$6:$N$967,0),"")))))))))</f>
        <v/>
      </c>
    </row>
    <row r="269" customFormat="false" ht="15" hidden="false" customHeight="false" outlineLevel="0" collapsed="false">
      <c r="A269" s="23"/>
      <c r="B269" s="24"/>
      <c r="C269" s="25"/>
      <c r="D269" s="23"/>
      <c r="E269" s="23"/>
      <c r="F269" s="25"/>
      <c r="G269" s="26" t="str">
        <f aca="false">IF(T269="","",SUMPRODUCT(--(LEFT(T269,LEN('Referência LC 214'!$N$6:$N$967))='Referência LC 214'!$N$6:$N$967)))</f>
        <v/>
      </c>
      <c r="H269" s="27" t="str">
        <f aca="false">IF(T269="","",IF(U269="","000001",INDEX('Referência LC 214'!$I$6:$I$967,U269)))</f>
        <v/>
      </c>
      <c r="I269" s="28" t="str">
        <f aca="false">IF(T269="","",IF(U269="","Sem anexo: tributação integral",INDEX('Referência LC 214'!$H$6:$H$967,U269)))</f>
        <v/>
      </c>
      <c r="J269" s="29" t="str">
        <f aca="false">IF(T269="","",IF(U269="",0,INDEX('Referência LC 214'!$K$6:$K$967,U269)))</f>
        <v/>
      </c>
      <c r="K269" s="28" t="str">
        <f aca="false">IF(OR(T269="",U269=""),"","Anexo "&amp;INDEX('Referência LC 214'!$E$6:$E$967,U269)&amp;", item "&amp;INDEX('Referência LC 214'!$F$6:$F$967,U269)&amp;": "&amp;INDEX('Referência LC 214'!$G$6:$G$967,U269))</f>
        <v/>
      </c>
      <c r="L269" s="28" t="str">
        <f aca="false">IF(OR(T269="",U269=""),"",IF(INDEX('Referência LC 214'!$L$6:$L$967,U269)&amp;""&lt;&gt;"",INDEX('Referência LC 214'!$L$6:$L$967,U269)&amp;"",IF(SUMPRODUCT((LEFT(T269,LEN('Referência LC 214'!$N$6:$N$967))='Referência LC 214'!$N$6:$N$967)*('Referência LC 214'!$L$6:$L$967&lt;&gt;""))&gt;0,"Há outro tratamento só para alguns compradores (ex.: órgão público/SUS) — veja a referência","")))</f>
        <v/>
      </c>
      <c r="M269" s="30" t="str">
        <f aca="false">IF(T269="","",IF(AND(C269&lt;&gt;"Serviço",LEN(T269)-1&lt;&gt;8),"NCM deve ter 8 dígitos",IF(AND(C269="Serviço",LEN(T269)-1&lt;&gt;9),"NBS deve ter 9 dígitos",IF(L269&lt;&gt;"","Benefício depende do comprador: confira a coluna N",IF(G269&gt;1,"Mais de uma regra: confira o item do anexo na referência",IF(G269=0,"Sem redução na LC 214","Confira se o produto é o descrito no item"))))))</f>
        <v/>
      </c>
      <c r="N269" s="25"/>
      <c r="O269" s="23"/>
      <c r="P269" s="25"/>
      <c r="Q269" s="25"/>
      <c r="R269" s="31"/>
      <c r="S269" s="24"/>
      <c r="T269" s="4" t="str">
        <f aca="false">IF(D269="","",IF(C269="Serviço","S","P")&amp;SUBSTITUTE(SUBSTITUTE(SUBSTITUTE(D269,".",""),"-","")," ",""))</f>
        <v/>
      </c>
      <c r="U269" s="4" t="str">
        <f aca="false">IF(T269="","",IFERROR(MATCH(LEFT(T269,10),'Referência LC 214'!$N$6:$N$967,0),IFERROR(MATCH(LEFT(T269,9),'Referência LC 214'!$N$6:$N$967,0),IFERROR(MATCH(LEFT(T269,8),'Referência LC 214'!$N$6:$N$967,0),IFERROR(MATCH(LEFT(T269,7),'Referência LC 214'!$N$6:$N$967,0),IFERROR(MATCH(LEFT(T269,6),'Referência LC 214'!$N$6:$N$967,0),IFERROR(MATCH(LEFT(T269,5),'Referência LC 214'!$N$6:$N$967,0),IFERROR(MATCH(LEFT(T269,4),'Referência LC 214'!$N$6:$N$967,0),IFERROR(MATCH(LEFT(T269,3),'Referência LC 214'!$N$6:$N$967,0),"")))))))))</f>
        <v/>
      </c>
    </row>
    <row r="270" customFormat="false" ht="15" hidden="false" customHeight="false" outlineLevel="0" collapsed="false">
      <c r="A270" s="23"/>
      <c r="B270" s="24"/>
      <c r="C270" s="25"/>
      <c r="D270" s="23"/>
      <c r="E270" s="23"/>
      <c r="F270" s="25"/>
      <c r="G270" s="26" t="str">
        <f aca="false">IF(T270="","",SUMPRODUCT(--(LEFT(T270,LEN('Referência LC 214'!$N$6:$N$967))='Referência LC 214'!$N$6:$N$967)))</f>
        <v/>
      </c>
      <c r="H270" s="27" t="str">
        <f aca="false">IF(T270="","",IF(U270="","000001",INDEX('Referência LC 214'!$I$6:$I$967,U270)))</f>
        <v/>
      </c>
      <c r="I270" s="28" t="str">
        <f aca="false">IF(T270="","",IF(U270="","Sem anexo: tributação integral",INDEX('Referência LC 214'!$H$6:$H$967,U270)))</f>
        <v/>
      </c>
      <c r="J270" s="29" t="str">
        <f aca="false">IF(T270="","",IF(U270="",0,INDEX('Referência LC 214'!$K$6:$K$967,U270)))</f>
        <v/>
      </c>
      <c r="K270" s="28" t="str">
        <f aca="false">IF(OR(T270="",U270=""),"","Anexo "&amp;INDEX('Referência LC 214'!$E$6:$E$967,U270)&amp;", item "&amp;INDEX('Referência LC 214'!$F$6:$F$967,U270)&amp;": "&amp;INDEX('Referência LC 214'!$G$6:$G$967,U270))</f>
        <v/>
      </c>
      <c r="L270" s="28" t="str">
        <f aca="false">IF(OR(T270="",U270=""),"",IF(INDEX('Referência LC 214'!$L$6:$L$967,U270)&amp;""&lt;&gt;"",INDEX('Referência LC 214'!$L$6:$L$967,U270)&amp;"",IF(SUMPRODUCT((LEFT(T270,LEN('Referência LC 214'!$N$6:$N$967))='Referência LC 214'!$N$6:$N$967)*('Referência LC 214'!$L$6:$L$967&lt;&gt;""))&gt;0,"Há outro tratamento só para alguns compradores (ex.: órgão público/SUS) — veja a referência","")))</f>
        <v/>
      </c>
      <c r="M270" s="30" t="str">
        <f aca="false">IF(T270="","",IF(AND(C270&lt;&gt;"Serviço",LEN(T270)-1&lt;&gt;8),"NCM deve ter 8 dígitos",IF(AND(C270="Serviço",LEN(T270)-1&lt;&gt;9),"NBS deve ter 9 dígitos",IF(L270&lt;&gt;"","Benefício depende do comprador: confira a coluna N",IF(G270&gt;1,"Mais de uma regra: confira o item do anexo na referência",IF(G270=0,"Sem redução na LC 214","Confira se o produto é o descrito no item"))))))</f>
        <v/>
      </c>
      <c r="N270" s="25"/>
      <c r="O270" s="23"/>
      <c r="P270" s="25"/>
      <c r="Q270" s="25"/>
      <c r="R270" s="31"/>
      <c r="S270" s="24"/>
      <c r="T270" s="4" t="str">
        <f aca="false">IF(D270="","",IF(C270="Serviço","S","P")&amp;SUBSTITUTE(SUBSTITUTE(SUBSTITUTE(D270,".",""),"-","")," ",""))</f>
        <v/>
      </c>
      <c r="U270" s="4" t="str">
        <f aca="false">IF(T270="","",IFERROR(MATCH(LEFT(T270,10),'Referência LC 214'!$N$6:$N$967,0),IFERROR(MATCH(LEFT(T270,9),'Referência LC 214'!$N$6:$N$967,0),IFERROR(MATCH(LEFT(T270,8),'Referência LC 214'!$N$6:$N$967,0),IFERROR(MATCH(LEFT(T270,7),'Referência LC 214'!$N$6:$N$967,0),IFERROR(MATCH(LEFT(T270,6),'Referência LC 214'!$N$6:$N$967,0),IFERROR(MATCH(LEFT(T270,5),'Referência LC 214'!$N$6:$N$967,0),IFERROR(MATCH(LEFT(T270,4),'Referência LC 214'!$N$6:$N$967,0),IFERROR(MATCH(LEFT(T270,3),'Referência LC 214'!$N$6:$N$967,0),"")))))))))</f>
        <v/>
      </c>
    </row>
    <row r="271" customFormat="false" ht="15" hidden="false" customHeight="false" outlineLevel="0" collapsed="false">
      <c r="A271" s="23"/>
      <c r="B271" s="24"/>
      <c r="C271" s="25"/>
      <c r="D271" s="23"/>
      <c r="E271" s="23"/>
      <c r="F271" s="25"/>
      <c r="G271" s="26" t="str">
        <f aca="false">IF(T271="","",SUMPRODUCT(--(LEFT(T271,LEN('Referência LC 214'!$N$6:$N$967))='Referência LC 214'!$N$6:$N$967)))</f>
        <v/>
      </c>
      <c r="H271" s="27" t="str">
        <f aca="false">IF(T271="","",IF(U271="","000001",INDEX('Referência LC 214'!$I$6:$I$967,U271)))</f>
        <v/>
      </c>
      <c r="I271" s="28" t="str">
        <f aca="false">IF(T271="","",IF(U271="","Sem anexo: tributação integral",INDEX('Referência LC 214'!$H$6:$H$967,U271)))</f>
        <v/>
      </c>
      <c r="J271" s="29" t="str">
        <f aca="false">IF(T271="","",IF(U271="",0,INDEX('Referência LC 214'!$K$6:$K$967,U271)))</f>
        <v/>
      </c>
      <c r="K271" s="28" t="str">
        <f aca="false">IF(OR(T271="",U271=""),"","Anexo "&amp;INDEX('Referência LC 214'!$E$6:$E$967,U271)&amp;", item "&amp;INDEX('Referência LC 214'!$F$6:$F$967,U271)&amp;": "&amp;INDEX('Referência LC 214'!$G$6:$G$967,U271))</f>
        <v/>
      </c>
      <c r="L271" s="28" t="str">
        <f aca="false">IF(OR(T271="",U271=""),"",IF(INDEX('Referência LC 214'!$L$6:$L$967,U271)&amp;""&lt;&gt;"",INDEX('Referência LC 214'!$L$6:$L$967,U271)&amp;"",IF(SUMPRODUCT((LEFT(T271,LEN('Referência LC 214'!$N$6:$N$967))='Referência LC 214'!$N$6:$N$967)*('Referência LC 214'!$L$6:$L$967&lt;&gt;""))&gt;0,"Há outro tratamento só para alguns compradores (ex.: órgão público/SUS) — veja a referência","")))</f>
        <v/>
      </c>
      <c r="M271" s="30" t="str">
        <f aca="false">IF(T271="","",IF(AND(C271&lt;&gt;"Serviço",LEN(T271)-1&lt;&gt;8),"NCM deve ter 8 dígitos",IF(AND(C271="Serviço",LEN(T271)-1&lt;&gt;9),"NBS deve ter 9 dígitos",IF(L271&lt;&gt;"","Benefício depende do comprador: confira a coluna N",IF(G271&gt;1,"Mais de uma regra: confira o item do anexo na referência",IF(G271=0,"Sem redução na LC 214","Confira se o produto é o descrito no item"))))))</f>
        <v/>
      </c>
      <c r="N271" s="25"/>
      <c r="O271" s="23"/>
      <c r="P271" s="25"/>
      <c r="Q271" s="25"/>
      <c r="R271" s="31"/>
      <c r="S271" s="24"/>
      <c r="T271" s="4" t="str">
        <f aca="false">IF(D271="","",IF(C271="Serviço","S","P")&amp;SUBSTITUTE(SUBSTITUTE(SUBSTITUTE(D271,".",""),"-","")," ",""))</f>
        <v/>
      </c>
      <c r="U271" s="4" t="str">
        <f aca="false">IF(T271="","",IFERROR(MATCH(LEFT(T271,10),'Referência LC 214'!$N$6:$N$967,0),IFERROR(MATCH(LEFT(T271,9),'Referência LC 214'!$N$6:$N$967,0),IFERROR(MATCH(LEFT(T271,8),'Referência LC 214'!$N$6:$N$967,0),IFERROR(MATCH(LEFT(T271,7),'Referência LC 214'!$N$6:$N$967,0),IFERROR(MATCH(LEFT(T271,6),'Referência LC 214'!$N$6:$N$967,0),IFERROR(MATCH(LEFT(T271,5),'Referência LC 214'!$N$6:$N$967,0),IFERROR(MATCH(LEFT(T271,4),'Referência LC 214'!$N$6:$N$967,0),IFERROR(MATCH(LEFT(T271,3),'Referência LC 214'!$N$6:$N$967,0),"")))))))))</f>
        <v/>
      </c>
    </row>
    <row r="272" customFormat="false" ht="15" hidden="false" customHeight="false" outlineLevel="0" collapsed="false">
      <c r="A272" s="23"/>
      <c r="B272" s="24"/>
      <c r="C272" s="25"/>
      <c r="D272" s="23"/>
      <c r="E272" s="23"/>
      <c r="F272" s="25"/>
      <c r="G272" s="26" t="str">
        <f aca="false">IF(T272="","",SUMPRODUCT(--(LEFT(T272,LEN('Referência LC 214'!$N$6:$N$967))='Referência LC 214'!$N$6:$N$967)))</f>
        <v/>
      </c>
      <c r="H272" s="27" t="str">
        <f aca="false">IF(T272="","",IF(U272="","000001",INDEX('Referência LC 214'!$I$6:$I$967,U272)))</f>
        <v/>
      </c>
      <c r="I272" s="28" t="str">
        <f aca="false">IF(T272="","",IF(U272="","Sem anexo: tributação integral",INDEX('Referência LC 214'!$H$6:$H$967,U272)))</f>
        <v/>
      </c>
      <c r="J272" s="29" t="str">
        <f aca="false">IF(T272="","",IF(U272="",0,INDEX('Referência LC 214'!$K$6:$K$967,U272)))</f>
        <v/>
      </c>
      <c r="K272" s="28" t="str">
        <f aca="false">IF(OR(T272="",U272=""),"","Anexo "&amp;INDEX('Referência LC 214'!$E$6:$E$967,U272)&amp;", item "&amp;INDEX('Referência LC 214'!$F$6:$F$967,U272)&amp;": "&amp;INDEX('Referência LC 214'!$G$6:$G$967,U272))</f>
        <v/>
      </c>
      <c r="L272" s="28" t="str">
        <f aca="false">IF(OR(T272="",U272=""),"",IF(INDEX('Referência LC 214'!$L$6:$L$967,U272)&amp;""&lt;&gt;"",INDEX('Referência LC 214'!$L$6:$L$967,U272)&amp;"",IF(SUMPRODUCT((LEFT(T272,LEN('Referência LC 214'!$N$6:$N$967))='Referência LC 214'!$N$6:$N$967)*('Referência LC 214'!$L$6:$L$967&lt;&gt;""))&gt;0,"Há outro tratamento só para alguns compradores (ex.: órgão público/SUS) — veja a referência","")))</f>
        <v/>
      </c>
      <c r="M272" s="30" t="str">
        <f aca="false">IF(T272="","",IF(AND(C272&lt;&gt;"Serviço",LEN(T272)-1&lt;&gt;8),"NCM deve ter 8 dígitos",IF(AND(C272="Serviço",LEN(T272)-1&lt;&gt;9),"NBS deve ter 9 dígitos",IF(L272&lt;&gt;"","Benefício depende do comprador: confira a coluna N",IF(G272&gt;1,"Mais de uma regra: confira o item do anexo na referência",IF(G272=0,"Sem redução na LC 214","Confira se o produto é o descrito no item"))))))</f>
        <v/>
      </c>
      <c r="N272" s="25"/>
      <c r="O272" s="23"/>
      <c r="P272" s="25"/>
      <c r="Q272" s="25"/>
      <c r="R272" s="31"/>
      <c r="S272" s="24"/>
      <c r="T272" s="4" t="str">
        <f aca="false">IF(D272="","",IF(C272="Serviço","S","P")&amp;SUBSTITUTE(SUBSTITUTE(SUBSTITUTE(D272,".",""),"-","")," ",""))</f>
        <v/>
      </c>
      <c r="U272" s="4" t="str">
        <f aca="false">IF(T272="","",IFERROR(MATCH(LEFT(T272,10),'Referência LC 214'!$N$6:$N$967,0),IFERROR(MATCH(LEFT(T272,9),'Referência LC 214'!$N$6:$N$967,0),IFERROR(MATCH(LEFT(T272,8),'Referência LC 214'!$N$6:$N$967,0),IFERROR(MATCH(LEFT(T272,7),'Referência LC 214'!$N$6:$N$967,0),IFERROR(MATCH(LEFT(T272,6),'Referência LC 214'!$N$6:$N$967,0),IFERROR(MATCH(LEFT(T272,5),'Referência LC 214'!$N$6:$N$967,0),IFERROR(MATCH(LEFT(T272,4),'Referência LC 214'!$N$6:$N$967,0),IFERROR(MATCH(LEFT(T272,3),'Referência LC 214'!$N$6:$N$967,0),"")))))))))</f>
        <v/>
      </c>
    </row>
    <row r="273" customFormat="false" ht="15" hidden="false" customHeight="false" outlineLevel="0" collapsed="false">
      <c r="A273" s="23"/>
      <c r="B273" s="24"/>
      <c r="C273" s="25"/>
      <c r="D273" s="23"/>
      <c r="E273" s="23"/>
      <c r="F273" s="25"/>
      <c r="G273" s="26" t="str">
        <f aca="false">IF(T273="","",SUMPRODUCT(--(LEFT(T273,LEN('Referência LC 214'!$N$6:$N$967))='Referência LC 214'!$N$6:$N$967)))</f>
        <v/>
      </c>
      <c r="H273" s="27" t="str">
        <f aca="false">IF(T273="","",IF(U273="","000001",INDEX('Referência LC 214'!$I$6:$I$967,U273)))</f>
        <v/>
      </c>
      <c r="I273" s="28" t="str">
        <f aca="false">IF(T273="","",IF(U273="","Sem anexo: tributação integral",INDEX('Referência LC 214'!$H$6:$H$967,U273)))</f>
        <v/>
      </c>
      <c r="J273" s="29" t="str">
        <f aca="false">IF(T273="","",IF(U273="",0,INDEX('Referência LC 214'!$K$6:$K$967,U273)))</f>
        <v/>
      </c>
      <c r="K273" s="28" t="str">
        <f aca="false">IF(OR(T273="",U273=""),"","Anexo "&amp;INDEX('Referência LC 214'!$E$6:$E$967,U273)&amp;", item "&amp;INDEX('Referência LC 214'!$F$6:$F$967,U273)&amp;": "&amp;INDEX('Referência LC 214'!$G$6:$G$967,U273))</f>
        <v/>
      </c>
      <c r="L273" s="28" t="str">
        <f aca="false">IF(OR(T273="",U273=""),"",IF(INDEX('Referência LC 214'!$L$6:$L$967,U273)&amp;""&lt;&gt;"",INDEX('Referência LC 214'!$L$6:$L$967,U273)&amp;"",IF(SUMPRODUCT((LEFT(T273,LEN('Referência LC 214'!$N$6:$N$967))='Referência LC 214'!$N$6:$N$967)*('Referência LC 214'!$L$6:$L$967&lt;&gt;""))&gt;0,"Há outro tratamento só para alguns compradores (ex.: órgão público/SUS) — veja a referência","")))</f>
        <v/>
      </c>
      <c r="M273" s="30" t="str">
        <f aca="false">IF(T273="","",IF(AND(C273&lt;&gt;"Serviço",LEN(T273)-1&lt;&gt;8),"NCM deve ter 8 dígitos",IF(AND(C273="Serviço",LEN(T273)-1&lt;&gt;9),"NBS deve ter 9 dígitos",IF(L273&lt;&gt;"","Benefício depende do comprador: confira a coluna N",IF(G273&gt;1,"Mais de uma regra: confira o item do anexo na referência",IF(G273=0,"Sem redução na LC 214","Confira se o produto é o descrito no item"))))))</f>
        <v/>
      </c>
      <c r="N273" s="25"/>
      <c r="O273" s="23"/>
      <c r="P273" s="25"/>
      <c r="Q273" s="25"/>
      <c r="R273" s="31"/>
      <c r="S273" s="24"/>
      <c r="T273" s="4" t="str">
        <f aca="false">IF(D273="","",IF(C273="Serviço","S","P")&amp;SUBSTITUTE(SUBSTITUTE(SUBSTITUTE(D273,".",""),"-","")," ",""))</f>
        <v/>
      </c>
      <c r="U273" s="4" t="str">
        <f aca="false">IF(T273="","",IFERROR(MATCH(LEFT(T273,10),'Referência LC 214'!$N$6:$N$967,0),IFERROR(MATCH(LEFT(T273,9),'Referência LC 214'!$N$6:$N$967,0),IFERROR(MATCH(LEFT(T273,8),'Referência LC 214'!$N$6:$N$967,0),IFERROR(MATCH(LEFT(T273,7),'Referência LC 214'!$N$6:$N$967,0),IFERROR(MATCH(LEFT(T273,6),'Referência LC 214'!$N$6:$N$967,0),IFERROR(MATCH(LEFT(T273,5),'Referência LC 214'!$N$6:$N$967,0),IFERROR(MATCH(LEFT(T273,4),'Referência LC 214'!$N$6:$N$967,0),IFERROR(MATCH(LEFT(T273,3),'Referência LC 214'!$N$6:$N$967,0),"")))))))))</f>
        <v/>
      </c>
    </row>
    <row r="274" customFormat="false" ht="15" hidden="false" customHeight="false" outlineLevel="0" collapsed="false">
      <c r="A274" s="23"/>
      <c r="B274" s="24"/>
      <c r="C274" s="25"/>
      <c r="D274" s="23"/>
      <c r="E274" s="23"/>
      <c r="F274" s="25"/>
      <c r="G274" s="26" t="str">
        <f aca="false">IF(T274="","",SUMPRODUCT(--(LEFT(T274,LEN('Referência LC 214'!$N$6:$N$967))='Referência LC 214'!$N$6:$N$967)))</f>
        <v/>
      </c>
      <c r="H274" s="27" t="str">
        <f aca="false">IF(T274="","",IF(U274="","000001",INDEX('Referência LC 214'!$I$6:$I$967,U274)))</f>
        <v/>
      </c>
      <c r="I274" s="28" t="str">
        <f aca="false">IF(T274="","",IF(U274="","Sem anexo: tributação integral",INDEX('Referência LC 214'!$H$6:$H$967,U274)))</f>
        <v/>
      </c>
      <c r="J274" s="29" t="str">
        <f aca="false">IF(T274="","",IF(U274="",0,INDEX('Referência LC 214'!$K$6:$K$967,U274)))</f>
        <v/>
      </c>
      <c r="K274" s="28" t="str">
        <f aca="false">IF(OR(T274="",U274=""),"","Anexo "&amp;INDEX('Referência LC 214'!$E$6:$E$967,U274)&amp;", item "&amp;INDEX('Referência LC 214'!$F$6:$F$967,U274)&amp;": "&amp;INDEX('Referência LC 214'!$G$6:$G$967,U274))</f>
        <v/>
      </c>
      <c r="L274" s="28" t="str">
        <f aca="false">IF(OR(T274="",U274=""),"",IF(INDEX('Referência LC 214'!$L$6:$L$967,U274)&amp;""&lt;&gt;"",INDEX('Referência LC 214'!$L$6:$L$967,U274)&amp;"",IF(SUMPRODUCT((LEFT(T274,LEN('Referência LC 214'!$N$6:$N$967))='Referência LC 214'!$N$6:$N$967)*('Referência LC 214'!$L$6:$L$967&lt;&gt;""))&gt;0,"Há outro tratamento só para alguns compradores (ex.: órgão público/SUS) — veja a referência","")))</f>
        <v/>
      </c>
      <c r="M274" s="30" t="str">
        <f aca="false">IF(T274="","",IF(AND(C274&lt;&gt;"Serviço",LEN(T274)-1&lt;&gt;8),"NCM deve ter 8 dígitos",IF(AND(C274="Serviço",LEN(T274)-1&lt;&gt;9),"NBS deve ter 9 dígitos",IF(L274&lt;&gt;"","Benefício depende do comprador: confira a coluna N",IF(G274&gt;1,"Mais de uma regra: confira o item do anexo na referência",IF(G274=0,"Sem redução na LC 214","Confira se o produto é o descrito no item"))))))</f>
        <v/>
      </c>
      <c r="N274" s="25"/>
      <c r="O274" s="23"/>
      <c r="P274" s="25"/>
      <c r="Q274" s="25"/>
      <c r="R274" s="31"/>
      <c r="S274" s="24"/>
      <c r="T274" s="4" t="str">
        <f aca="false">IF(D274="","",IF(C274="Serviço","S","P")&amp;SUBSTITUTE(SUBSTITUTE(SUBSTITUTE(D274,".",""),"-","")," ",""))</f>
        <v/>
      </c>
      <c r="U274" s="4" t="str">
        <f aca="false">IF(T274="","",IFERROR(MATCH(LEFT(T274,10),'Referência LC 214'!$N$6:$N$967,0),IFERROR(MATCH(LEFT(T274,9),'Referência LC 214'!$N$6:$N$967,0),IFERROR(MATCH(LEFT(T274,8),'Referência LC 214'!$N$6:$N$967,0),IFERROR(MATCH(LEFT(T274,7),'Referência LC 214'!$N$6:$N$967,0),IFERROR(MATCH(LEFT(T274,6),'Referência LC 214'!$N$6:$N$967,0),IFERROR(MATCH(LEFT(T274,5),'Referência LC 214'!$N$6:$N$967,0),IFERROR(MATCH(LEFT(T274,4),'Referência LC 214'!$N$6:$N$967,0),IFERROR(MATCH(LEFT(T274,3),'Referência LC 214'!$N$6:$N$967,0),"")))))))))</f>
        <v/>
      </c>
    </row>
    <row r="275" customFormat="false" ht="15" hidden="false" customHeight="false" outlineLevel="0" collapsed="false">
      <c r="A275" s="23"/>
      <c r="B275" s="24"/>
      <c r="C275" s="25"/>
      <c r="D275" s="23"/>
      <c r="E275" s="23"/>
      <c r="F275" s="25"/>
      <c r="G275" s="26" t="str">
        <f aca="false">IF(T275="","",SUMPRODUCT(--(LEFT(T275,LEN('Referência LC 214'!$N$6:$N$967))='Referência LC 214'!$N$6:$N$967)))</f>
        <v/>
      </c>
      <c r="H275" s="27" t="str">
        <f aca="false">IF(T275="","",IF(U275="","000001",INDEX('Referência LC 214'!$I$6:$I$967,U275)))</f>
        <v/>
      </c>
      <c r="I275" s="28" t="str">
        <f aca="false">IF(T275="","",IF(U275="","Sem anexo: tributação integral",INDEX('Referência LC 214'!$H$6:$H$967,U275)))</f>
        <v/>
      </c>
      <c r="J275" s="29" t="str">
        <f aca="false">IF(T275="","",IF(U275="",0,INDEX('Referência LC 214'!$K$6:$K$967,U275)))</f>
        <v/>
      </c>
      <c r="K275" s="28" t="str">
        <f aca="false">IF(OR(T275="",U275=""),"","Anexo "&amp;INDEX('Referência LC 214'!$E$6:$E$967,U275)&amp;", item "&amp;INDEX('Referência LC 214'!$F$6:$F$967,U275)&amp;": "&amp;INDEX('Referência LC 214'!$G$6:$G$967,U275))</f>
        <v/>
      </c>
      <c r="L275" s="28" t="str">
        <f aca="false">IF(OR(T275="",U275=""),"",IF(INDEX('Referência LC 214'!$L$6:$L$967,U275)&amp;""&lt;&gt;"",INDEX('Referência LC 214'!$L$6:$L$967,U275)&amp;"",IF(SUMPRODUCT((LEFT(T275,LEN('Referência LC 214'!$N$6:$N$967))='Referência LC 214'!$N$6:$N$967)*('Referência LC 214'!$L$6:$L$967&lt;&gt;""))&gt;0,"Há outro tratamento só para alguns compradores (ex.: órgão público/SUS) — veja a referência","")))</f>
        <v/>
      </c>
      <c r="M275" s="30" t="str">
        <f aca="false">IF(T275="","",IF(AND(C275&lt;&gt;"Serviço",LEN(T275)-1&lt;&gt;8),"NCM deve ter 8 dígitos",IF(AND(C275="Serviço",LEN(T275)-1&lt;&gt;9),"NBS deve ter 9 dígitos",IF(L275&lt;&gt;"","Benefício depende do comprador: confira a coluna N",IF(G275&gt;1,"Mais de uma regra: confira o item do anexo na referência",IF(G275=0,"Sem redução na LC 214","Confira se o produto é o descrito no item"))))))</f>
        <v/>
      </c>
      <c r="N275" s="25"/>
      <c r="O275" s="23"/>
      <c r="P275" s="25"/>
      <c r="Q275" s="25"/>
      <c r="R275" s="31"/>
      <c r="S275" s="24"/>
      <c r="T275" s="4" t="str">
        <f aca="false">IF(D275="","",IF(C275="Serviço","S","P")&amp;SUBSTITUTE(SUBSTITUTE(SUBSTITUTE(D275,".",""),"-","")," ",""))</f>
        <v/>
      </c>
      <c r="U275" s="4" t="str">
        <f aca="false">IF(T275="","",IFERROR(MATCH(LEFT(T275,10),'Referência LC 214'!$N$6:$N$967,0),IFERROR(MATCH(LEFT(T275,9),'Referência LC 214'!$N$6:$N$967,0),IFERROR(MATCH(LEFT(T275,8),'Referência LC 214'!$N$6:$N$967,0),IFERROR(MATCH(LEFT(T275,7),'Referência LC 214'!$N$6:$N$967,0),IFERROR(MATCH(LEFT(T275,6),'Referência LC 214'!$N$6:$N$967,0),IFERROR(MATCH(LEFT(T275,5),'Referência LC 214'!$N$6:$N$967,0),IFERROR(MATCH(LEFT(T275,4),'Referência LC 214'!$N$6:$N$967,0),IFERROR(MATCH(LEFT(T275,3),'Referência LC 214'!$N$6:$N$967,0),"")))))))))</f>
        <v/>
      </c>
    </row>
    <row r="276" customFormat="false" ht="15" hidden="false" customHeight="false" outlineLevel="0" collapsed="false">
      <c r="A276" s="23"/>
      <c r="B276" s="24"/>
      <c r="C276" s="25"/>
      <c r="D276" s="23"/>
      <c r="E276" s="23"/>
      <c r="F276" s="25"/>
      <c r="G276" s="26" t="str">
        <f aca="false">IF(T276="","",SUMPRODUCT(--(LEFT(T276,LEN('Referência LC 214'!$N$6:$N$967))='Referência LC 214'!$N$6:$N$967)))</f>
        <v/>
      </c>
      <c r="H276" s="27" t="str">
        <f aca="false">IF(T276="","",IF(U276="","000001",INDEX('Referência LC 214'!$I$6:$I$967,U276)))</f>
        <v/>
      </c>
      <c r="I276" s="28" t="str">
        <f aca="false">IF(T276="","",IF(U276="","Sem anexo: tributação integral",INDEX('Referência LC 214'!$H$6:$H$967,U276)))</f>
        <v/>
      </c>
      <c r="J276" s="29" t="str">
        <f aca="false">IF(T276="","",IF(U276="",0,INDEX('Referência LC 214'!$K$6:$K$967,U276)))</f>
        <v/>
      </c>
      <c r="K276" s="28" t="str">
        <f aca="false">IF(OR(T276="",U276=""),"","Anexo "&amp;INDEX('Referência LC 214'!$E$6:$E$967,U276)&amp;", item "&amp;INDEX('Referência LC 214'!$F$6:$F$967,U276)&amp;": "&amp;INDEX('Referência LC 214'!$G$6:$G$967,U276))</f>
        <v/>
      </c>
      <c r="L276" s="28" t="str">
        <f aca="false">IF(OR(T276="",U276=""),"",IF(INDEX('Referência LC 214'!$L$6:$L$967,U276)&amp;""&lt;&gt;"",INDEX('Referência LC 214'!$L$6:$L$967,U276)&amp;"",IF(SUMPRODUCT((LEFT(T276,LEN('Referência LC 214'!$N$6:$N$967))='Referência LC 214'!$N$6:$N$967)*('Referência LC 214'!$L$6:$L$967&lt;&gt;""))&gt;0,"Há outro tratamento só para alguns compradores (ex.: órgão público/SUS) — veja a referência","")))</f>
        <v/>
      </c>
      <c r="M276" s="30" t="str">
        <f aca="false">IF(T276="","",IF(AND(C276&lt;&gt;"Serviço",LEN(T276)-1&lt;&gt;8),"NCM deve ter 8 dígitos",IF(AND(C276="Serviço",LEN(T276)-1&lt;&gt;9),"NBS deve ter 9 dígitos",IF(L276&lt;&gt;"","Benefício depende do comprador: confira a coluna N",IF(G276&gt;1,"Mais de uma regra: confira o item do anexo na referência",IF(G276=0,"Sem redução na LC 214","Confira se o produto é o descrito no item"))))))</f>
        <v/>
      </c>
      <c r="N276" s="25"/>
      <c r="O276" s="23"/>
      <c r="P276" s="25"/>
      <c r="Q276" s="25"/>
      <c r="R276" s="31"/>
      <c r="S276" s="24"/>
      <c r="T276" s="4" t="str">
        <f aca="false">IF(D276="","",IF(C276="Serviço","S","P")&amp;SUBSTITUTE(SUBSTITUTE(SUBSTITUTE(D276,".",""),"-","")," ",""))</f>
        <v/>
      </c>
      <c r="U276" s="4" t="str">
        <f aca="false">IF(T276="","",IFERROR(MATCH(LEFT(T276,10),'Referência LC 214'!$N$6:$N$967,0),IFERROR(MATCH(LEFT(T276,9),'Referência LC 214'!$N$6:$N$967,0),IFERROR(MATCH(LEFT(T276,8),'Referência LC 214'!$N$6:$N$967,0),IFERROR(MATCH(LEFT(T276,7),'Referência LC 214'!$N$6:$N$967,0),IFERROR(MATCH(LEFT(T276,6),'Referência LC 214'!$N$6:$N$967,0),IFERROR(MATCH(LEFT(T276,5),'Referência LC 214'!$N$6:$N$967,0),IFERROR(MATCH(LEFT(T276,4),'Referência LC 214'!$N$6:$N$967,0),IFERROR(MATCH(LEFT(T276,3),'Referência LC 214'!$N$6:$N$967,0),"")))))))))</f>
        <v/>
      </c>
    </row>
    <row r="277" customFormat="false" ht="15" hidden="false" customHeight="false" outlineLevel="0" collapsed="false">
      <c r="A277" s="23"/>
      <c r="B277" s="24"/>
      <c r="C277" s="25"/>
      <c r="D277" s="23"/>
      <c r="E277" s="23"/>
      <c r="F277" s="25"/>
      <c r="G277" s="26" t="str">
        <f aca="false">IF(T277="","",SUMPRODUCT(--(LEFT(T277,LEN('Referência LC 214'!$N$6:$N$967))='Referência LC 214'!$N$6:$N$967)))</f>
        <v/>
      </c>
      <c r="H277" s="27" t="str">
        <f aca="false">IF(T277="","",IF(U277="","000001",INDEX('Referência LC 214'!$I$6:$I$967,U277)))</f>
        <v/>
      </c>
      <c r="I277" s="28" t="str">
        <f aca="false">IF(T277="","",IF(U277="","Sem anexo: tributação integral",INDEX('Referência LC 214'!$H$6:$H$967,U277)))</f>
        <v/>
      </c>
      <c r="J277" s="29" t="str">
        <f aca="false">IF(T277="","",IF(U277="",0,INDEX('Referência LC 214'!$K$6:$K$967,U277)))</f>
        <v/>
      </c>
      <c r="K277" s="28" t="str">
        <f aca="false">IF(OR(T277="",U277=""),"","Anexo "&amp;INDEX('Referência LC 214'!$E$6:$E$967,U277)&amp;", item "&amp;INDEX('Referência LC 214'!$F$6:$F$967,U277)&amp;": "&amp;INDEX('Referência LC 214'!$G$6:$G$967,U277))</f>
        <v/>
      </c>
      <c r="L277" s="28" t="str">
        <f aca="false">IF(OR(T277="",U277=""),"",IF(INDEX('Referência LC 214'!$L$6:$L$967,U277)&amp;""&lt;&gt;"",INDEX('Referência LC 214'!$L$6:$L$967,U277)&amp;"",IF(SUMPRODUCT((LEFT(T277,LEN('Referência LC 214'!$N$6:$N$967))='Referência LC 214'!$N$6:$N$967)*('Referência LC 214'!$L$6:$L$967&lt;&gt;""))&gt;0,"Há outro tratamento só para alguns compradores (ex.: órgão público/SUS) — veja a referência","")))</f>
        <v/>
      </c>
      <c r="M277" s="30" t="str">
        <f aca="false">IF(T277="","",IF(AND(C277&lt;&gt;"Serviço",LEN(T277)-1&lt;&gt;8),"NCM deve ter 8 dígitos",IF(AND(C277="Serviço",LEN(T277)-1&lt;&gt;9),"NBS deve ter 9 dígitos",IF(L277&lt;&gt;"","Benefício depende do comprador: confira a coluna N",IF(G277&gt;1,"Mais de uma regra: confira o item do anexo na referência",IF(G277=0,"Sem redução na LC 214","Confira se o produto é o descrito no item"))))))</f>
        <v/>
      </c>
      <c r="N277" s="25"/>
      <c r="O277" s="23"/>
      <c r="P277" s="25"/>
      <c r="Q277" s="25"/>
      <c r="R277" s="31"/>
      <c r="S277" s="24"/>
      <c r="T277" s="4" t="str">
        <f aca="false">IF(D277="","",IF(C277="Serviço","S","P")&amp;SUBSTITUTE(SUBSTITUTE(SUBSTITUTE(D277,".",""),"-","")," ",""))</f>
        <v/>
      </c>
      <c r="U277" s="4" t="str">
        <f aca="false">IF(T277="","",IFERROR(MATCH(LEFT(T277,10),'Referência LC 214'!$N$6:$N$967,0),IFERROR(MATCH(LEFT(T277,9),'Referência LC 214'!$N$6:$N$967,0),IFERROR(MATCH(LEFT(T277,8),'Referência LC 214'!$N$6:$N$967,0),IFERROR(MATCH(LEFT(T277,7),'Referência LC 214'!$N$6:$N$967,0),IFERROR(MATCH(LEFT(T277,6),'Referência LC 214'!$N$6:$N$967,0),IFERROR(MATCH(LEFT(T277,5),'Referência LC 214'!$N$6:$N$967,0),IFERROR(MATCH(LEFT(T277,4),'Referência LC 214'!$N$6:$N$967,0),IFERROR(MATCH(LEFT(T277,3),'Referência LC 214'!$N$6:$N$967,0),"")))))))))</f>
        <v/>
      </c>
    </row>
    <row r="278" customFormat="false" ht="15" hidden="false" customHeight="false" outlineLevel="0" collapsed="false">
      <c r="A278" s="23"/>
      <c r="B278" s="24"/>
      <c r="C278" s="25"/>
      <c r="D278" s="23"/>
      <c r="E278" s="23"/>
      <c r="F278" s="25"/>
      <c r="G278" s="26" t="str">
        <f aca="false">IF(T278="","",SUMPRODUCT(--(LEFT(T278,LEN('Referência LC 214'!$N$6:$N$967))='Referência LC 214'!$N$6:$N$967)))</f>
        <v/>
      </c>
      <c r="H278" s="27" t="str">
        <f aca="false">IF(T278="","",IF(U278="","000001",INDEX('Referência LC 214'!$I$6:$I$967,U278)))</f>
        <v/>
      </c>
      <c r="I278" s="28" t="str">
        <f aca="false">IF(T278="","",IF(U278="","Sem anexo: tributação integral",INDEX('Referência LC 214'!$H$6:$H$967,U278)))</f>
        <v/>
      </c>
      <c r="J278" s="29" t="str">
        <f aca="false">IF(T278="","",IF(U278="",0,INDEX('Referência LC 214'!$K$6:$K$967,U278)))</f>
        <v/>
      </c>
      <c r="K278" s="28" t="str">
        <f aca="false">IF(OR(T278="",U278=""),"","Anexo "&amp;INDEX('Referência LC 214'!$E$6:$E$967,U278)&amp;", item "&amp;INDEX('Referência LC 214'!$F$6:$F$967,U278)&amp;": "&amp;INDEX('Referência LC 214'!$G$6:$G$967,U278))</f>
        <v/>
      </c>
      <c r="L278" s="28" t="str">
        <f aca="false">IF(OR(T278="",U278=""),"",IF(INDEX('Referência LC 214'!$L$6:$L$967,U278)&amp;""&lt;&gt;"",INDEX('Referência LC 214'!$L$6:$L$967,U278)&amp;"",IF(SUMPRODUCT((LEFT(T278,LEN('Referência LC 214'!$N$6:$N$967))='Referência LC 214'!$N$6:$N$967)*('Referência LC 214'!$L$6:$L$967&lt;&gt;""))&gt;0,"Há outro tratamento só para alguns compradores (ex.: órgão público/SUS) — veja a referência","")))</f>
        <v/>
      </c>
      <c r="M278" s="30" t="str">
        <f aca="false">IF(T278="","",IF(AND(C278&lt;&gt;"Serviço",LEN(T278)-1&lt;&gt;8),"NCM deve ter 8 dígitos",IF(AND(C278="Serviço",LEN(T278)-1&lt;&gt;9),"NBS deve ter 9 dígitos",IF(L278&lt;&gt;"","Benefício depende do comprador: confira a coluna N",IF(G278&gt;1,"Mais de uma regra: confira o item do anexo na referência",IF(G278=0,"Sem redução na LC 214","Confira se o produto é o descrito no item"))))))</f>
        <v/>
      </c>
      <c r="N278" s="25"/>
      <c r="O278" s="23"/>
      <c r="P278" s="25"/>
      <c r="Q278" s="25"/>
      <c r="R278" s="31"/>
      <c r="S278" s="24"/>
      <c r="T278" s="4" t="str">
        <f aca="false">IF(D278="","",IF(C278="Serviço","S","P")&amp;SUBSTITUTE(SUBSTITUTE(SUBSTITUTE(D278,".",""),"-","")," ",""))</f>
        <v/>
      </c>
      <c r="U278" s="4" t="str">
        <f aca="false">IF(T278="","",IFERROR(MATCH(LEFT(T278,10),'Referência LC 214'!$N$6:$N$967,0),IFERROR(MATCH(LEFT(T278,9),'Referência LC 214'!$N$6:$N$967,0),IFERROR(MATCH(LEFT(T278,8),'Referência LC 214'!$N$6:$N$967,0),IFERROR(MATCH(LEFT(T278,7),'Referência LC 214'!$N$6:$N$967,0),IFERROR(MATCH(LEFT(T278,6),'Referência LC 214'!$N$6:$N$967,0),IFERROR(MATCH(LEFT(T278,5),'Referência LC 214'!$N$6:$N$967,0),IFERROR(MATCH(LEFT(T278,4),'Referência LC 214'!$N$6:$N$967,0),IFERROR(MATCH(LEFT(T278,3),'Referência LC 214'!$N$6:$N$967,0),"")))))))))</f>
        <v/>
      </c>
    </row>
    <row r="279" customFormat="false" ht="15" hidden="false" customHeight="false" outlineLevel="0" collapsed="false">
      <c r="A279" s="23"/>
      <c r="B279" s="24"/>
      <c r="C279" s="25"/>
      <c r="D279" s="23"/>
      <c r="E279" s="23"/>
      <c r="F279" s="25"/>
      <c r="G279" s="26" t="str">
        <f aca="false">IF(T279="","",SUMPRODUCT(--(LEFT(T279,LEN('Referência LC 214'!$N$6:$N$967))='Referência LC 214'!$N$6:$N$967)))</f>
        <v/>
      </c>
      <c r="H279" s="27" t="str">
        <f aca="false">IF(T279="","",IF(U279="","000001",INDEX('Referência LC 214'!$I$6:$I$967,U279)))</f>
        <v/>
      </c>
      <c r="I279" s="28" t="str">
        <f aca="false">IF(T279="","",IF(U279="","Sem anexo: tributação integral",INDEX('Referência LC 214'!$H$6:$H$967,U279)))</f>
        <v/>
      </c>
      <c r="J279" s="29" t="str">
        <f aca="false">IF(T279="","",IF(U279="",0,INDEX('Referência LC 214'!$K$6:$K$967,U279)))</f>
        <v/>
      </c>
      <c r="K279" s="28" t="str">
        <f aca="false">IF(OR(T279="",U279=""),"","Anexo "&amp;INDEX('Referência LC 214'!$E$6:$E$967,U279)&amp;", item "&amp;INDEX('Referência LC 214'!$F$6:$F$967,U279)&amp;": "&amp;INDEX('Referência LC 214'!$G$6:$G$967,U279))</f>
        <v/>
      </c>
      <c r="L279" s="28" t="str">
        <f aca="false">IF(OR(T279="",U279=""),"",IF(INDEX('Referência LC 214'!$L$6:$L$967,U279)&amp;""&lt;&gt;"",INDEX('Referência LC 214'!$L$6:$L$967,U279)&amp;"",IF(SUMPRODUCT((LEFT(T279,LEN('Referência LC 214'!$N$6:$N$967))='Referência LC 214'!$N$6:$N$967)*('Referência LC 214'!$L$6:$L$967&lt;&gt;""))&gt;0,"Há outro tratamento só para alguns compradores (ex.: órgão público/SUS) — veja a referência","")))</f>
        <v/>
      </c>
      <c r="M279" s="30" t="str">
        <f aca="false">IF(T279="","",IF(AND(C279&lt;&gt;"Serviço",LEN(T279)-1&lt;&gt;8),"NCM deve ter 8 dígitos",IF(AND(C279="Serviço",LEN(T279)-1&lt;&gt;9),"NBS deve ter 9 dígitos",IF(L279&lt;&gt;"","Benefício depende do comprador: confira a coluna N",IF(G279&gt;1,"Mais de uma regra: confira o item do anexo na referência",IF(G279=0,"Sem redução na LC 214","Confira se o produto é o descrito no item"))))))</f>
        <v/>
      </c>
      <c r="N279" s="25"/>
      <c r="O279" s="23"/>
      <c r="P279" s="25"/>
      <c r="Q279" s="25"/>
      <c r="R279" s="31"/>
      <c r="S279" s="24"/>
      <c r="T279" s="4" t="str">
        <f aca="false">IF(D279="","",IF(C279="Serviço","S","P")&amp;SUBSTITUTE(SUBSTITUTE(SUBSTITUTE(D279,".",""),"-","")," ",""))</f>
        <v/>
      </c>
      <c r="U279" s="4" t="str">
        <f aca="false">IF(T279="","",IFERROR(MATCH(LEFT(T279,10),'Referência LC 214'!$N$6:$N$967,0),IFERROR(MATCH(LEFT(T279,9),'Referência LC 214'!$N$6:$N$967,0),IFERROR(MATCH(LEFT(T279,8),'Referência LC 214'!$N$6:$N$967,0),IFERROR(MATCH(LEFT(T279,7),'Referência LC 214'!$N$6:$N$967,0),IFERROR(MATCH(LEFT(T279,6),'Referência LC 214'!$N$6:$N$967,0),IFERROR(MATCH(LEFT(T279,5),'Referência LC 214'!$N$6:$N$967,0),IFERROR(MATCH(LEFT(T279,4),'Referência LC 214'!$N$6:$N$967,0),IFERROR(MATCH(LEFT(T279,3),'Referência LC 214'!$N$6:$N$967,0),"")))))))))</f>
        <v/>
      </c>
    </row>
    <row r="280" customFormat="false" ht="15" hidden="false" customHeight="false" outlineLevel="0" collapsed="false">
      <c r="A280" s="23"/>
      <c r="B280" s="24"/>
      <c r="C280" s="25"/>
      <c r="D280" s="23"/>
      <c r="E280" s="23"/>
      <c r="F280" s="25"/>
      <c r="G280" s="26" t="str">
        <f aca="false">IF(T280="","",SUMPRODUCT(--(LEFT(T280,LEN('Referência LC 214'!$N$6:$N$967))='Referência LC 214'!$N$6:$N$967)))</f>
        <v/>
      </c>
      <c r="H280" s="27" t="str">
        <f aca="false">IF(T280="","",IF(U280="","000001",INDEX('Referência LC 214'!$I$6:$I$967,U280)))</f>
        <v/>
      </c>
      <c r="I280" s="28" t="str">
        <f aca="false">IF(T280="","",IF(U280="","Sem anexo: tributação integral",INDEX('Referência LC 214'!$H$6:$H$967,U280)))</f>
        <v/>
      </c>
      <c r="J280" s="29" t="str">
        <f aca="false">IF(T280="","",IF(U280="",0,INDEX('Referência LC 214'!$K$6:$K$967,U280)))</f>
        <v/>
      </c>
      <c r="K280" s="28" t="str">
        <f aca="false">IF(OR(T280="",U280=""),"","Anexo "&amp;INDEX('Referência LC 214'!$E$6:$E$967,U280)&amp;", item "&amp;INDEX('Referência LC 214'!$F$6:$F$967,U280)&amp;": "&amp;INDEX('Referência LC 214'!$G$6:$G$967,U280))</f>
        <v/>
      </c>
      <c r="L280" s="28" t="str">
        <f aca="false">IF(OR(T280="",U280=""),"",IF(INDEX('Referência LC 214'!$L$6:$L$967,U280)&amp;""&lt;&gt;"",INDEX('Referência LC 214'!$L$6:$L$967,U280)&amp;"",IF(SUMPRODUCT((LEFT(T280,LEN('Referência LC 214'!$N$6:$N$967))='Referência LC 214'!$N$6:$N$967)*('Referência LC 214'!$L$6:$L$967&lt;&gt;""))&gt;0,"Há outro tratamento só para alguns compradores (ex.: órgão público/SUS) — veja a referência","")))</f>
        <v/>
      </c>
      <c r="M280" s="30" t="str">
        <f aca="false">IF(T280="","",IF(AND(C280&lt;&gt;"Serviço",LEN(T280)-1&lt;&gt;8),"NCM deve ter 8 dígitos",IF(AND(C280="Serviço",LEN(T280)-1&lt;&gt;9),"NBS deve ter 9 dígitos",IF(L280&lt;&gt;"","Benefício depende do comprador: confira a coluna N",IF(G280&gt;1,"Mais de uma regra: confira o item do anexo na referência",IF(G280=0,"Sem redução na LC 214","Confira se o produto é o descrito no item"))))))</f>
        <v/>
      </c>
      <c r="N280" s="25"/>
      <c r="O280" s="23"/>
      <c r="P280" s="25"/>
      <c r="Q280" s="25"/>
      <c r="R280" s="31"/>
      <c r="S280" s="24"/>
      <c r="T280" s="4" t="str">
        <f aca="false">IF(D280="","",IF(C280="Serviço","S","P")&amp;SUBSTITUTE(SUBSTITUTE(SUBSTITUTE(D280,".",""),"-","")," ",""))</f>
        <v/>
      </c>
      <c r="U280" s="4" t="str">
        <f aca="false">IF(T280="","",IFERROR(MATCH(LEFT(T280,10),'Referência LC 214'!$N$6:$N$967,0),IFERROR(MATCH(LEFT(T280,9),'Referência LC 214'!$N$6:$N$967,0),IFERROR(MATCH(LEFT(T280,8),'Referência LC 214'!$N$6:$N$967,0),IFERROR(MATCH(LEFT(T280,7),'Referência LC 214'!$N$6:$N$967,0),IFERROR(MATCH(LEFT(T280,6),'Referência LC 214'!$N$6:$N$967,0),IFERROR(MATCH(LEFT(T280,5),'Referência LC 214'!$N$6:$N$967,0),IFERROR(MATCH(LEFT(T280,4),'Referência LC 214'!$N$6:$N$967,0),IFERROR(MATCH(LEFT(T280,3),'Referência LC 214'!$N$6:$N$967,0),"")))))))))</f>
        <v/>
      </c>
    </row>
    <row r="281" customFormat="false" ht="15" hidden="false" customHeight="false" outlineLevel="0" collapsed="false">
      <c r="A281" s="23"/>
      <c r="B281" s="24"/>
      <c r="C281" s="25"/>
      <c r="D281" s="23"/>
      <c r="E281" s="23"/>
      <c r="F281" s="25"/>
      <c r="G281" s="26" t="str">
        <f aca="false">IF(T281="","",SUMPRODUCT(--(LEFT(T281,LEN('Referência LC 214'!$N$6:$N$967))='Referência LC 214'!$N$6:$N$967)))</f>
        <v/>
      </c>
      <c r="H281" s="27" t="str">
        <f aca="false">IF(T281="","",IF(U281="","000001",INDEX('Referência LC 214'!$I$6:$I$967,U281)))</f>
        <v/>
      </c>
      <c r="I281" s="28" t="str">
        <f aca="false">IF(T281="","",IF(U281="","Sem anexo: tributação integral",INDEX('Referência LC 214'!$H$6:$H$967,U281)))</f>
        <v/>
      </c>
      <c r="J281" s="29" t="str">
        <f aca="false">IF(T281="","",IF(U281="",0,INDEX('Referência LC 214'!$K$6:$K$967,U281)))</f>
        <v/>
      </c>
      <c r="K281" s="28" t="str">
        <f aca="false">IF(OR(T281="",U281=""),"","Anexo "&amp;INDEX('Referência LC 214'!$E$6:$E$967,U281)&amp;", item "&amp;INDEX('Referência LC 214'!$F$6:$F$967,U281)&amp;": "&amp;INDEX('Referência LC 214'!$G$6:$G$967,U281))</f>
        <v/>
      </c>
      <c r="L281" s="28" t="str">
        <f aca="false">IF(OR(T281="",U281=""),"",IF(INDEX('Referência LC 214'!$L$6:$L$967,U281)&amp;""&lt;&gt;"",INDEX('Referência LC 214'!$L$6:$L$967,U281)&amp;"",IF(SUMPRODUCT((LEFT(T281,LEN('Referência LC 214'!$N$6:$N$967))='Referência LC 214'!$N$6:$N$967)*('Referência LC 214'!$L$6:$L$967&lt;&gt;""))&gt;0,"Há outro tratamento só para alguns compradores (ex.: órgão público/SUS) — veja a referência","")))</f>
        <v/>
      </c>
      <c r="M281" s="30" t="str">
        <f aca="false">IF(T281="","",IF(AND(C281&lt;&gt;"Serviço",LEN(T281)-1&lt;&gt;8),"NCM deve ter 8 dígitos",IF(AND(C281="Serviço",LEN(T281)-1&lt;&gt;9),"NBS deve ter 9 dígitos",IF(L281&lt;&gt;"","Benefício depende do comprador: confira a coluna N",IF(G281&gt;1,"Mais de uma regra: confira o item do anexo na referência",IF(G281=0,"Sem redução na LC 214","Confira se o produto é o descrito no item"))))))</f>
        <v/>
      </c>
      <c r="N281" s="25"/>
      <c r="O281" s="23"/>
      <c r="P281" s="25"/>
      <c r="Q281" s="25"/>
      <c r="R281" s="31"/>
      <c r="S281" s="24"/>
      <c r="T281" s="4" t="str">
        <f aca="false">IF(D281="","",IF(C281="Serviço","S","P")&amp;SUBSTITUTE(SUBSTITUTE(SUBSTITUTE(D281,".",""),"-","")," ",""))</f>
        <v/>
      </c>
      <c r="U281" s="4" t="str">
        <f aca="false">IF(T281="","",IFERROR(MATCH(LEFT(T281,10),'Referência LC 214'!$N$6:$N$967,0),IFERROR(MATCH(LEFT(T281,9),'Referência LC 214'!$N$6:$N$967,0),IFERROR(MATCH(LEFT(T281,8),'Referência LC 214'!$N$6:$N$967,0),IFERROR(MATCH(LEFT(T281,7),'Referência LC 214'!$N$6:$N$967,0),IFERROR(MATCH(LEFT(T281,6),'Referência LC 214'!$N$6:$N$967,0),IFERROR(MATCH(LEFT(T281,5),'Referência LC 214'!$N$6:$N$967,0),IFERROR(MATCH(LEFT(T281,4),'Referência LC 214'!$N$6:$N$967,0),IFERROR(MATCH(LEFT(T281,3),'Referência LC 214'!$N$6:$N$967,0),"")))))))))</f>
        <v/>
      </c>
    </row>
    <row r="282" customFormat="false" ht="15" hidden="false" customHeight="false" outlineLevel="0" collapsed="false">
      <c r="A282" s="23"/>
      <c r="B282" s="24"/>
      <c r="C282" s="25"/>
      <c r="D282" s="23"/>
      <c r="E282" s="23"/>
      <c r="F282" s="25"/>
      <c r="G282" s="26" t="str">
        <f aca="false">IF(T282="","",SUMPRODUCT(--(LEFT(T282,LEN('Referência LC 214'!$N$6:$N$967))='Referência LC 214'!$N$6:$N$967)))</f>
        <v/>
      </c>
      <c r="H282" s="27" t="str">
        <f aca="false">IF(T282="","",IF(U282="","000001",INDEX('Referência LC 214'!$I$6:$I$967,U282)))</f>
        <v/>
      </c>
      <c r="I282" s="28" t="str">
        <f aca="false">IF(T282="","",IF(U282="","Sem anexo: tributação integral",INDEX('Referência LC 214'!$H$6:$H$967,U282)))</f>
        <v/>
      </c>
      <c r="J282" s="29" t="str">
        <f aca="false">IF(T282="","",IF(U282="",0,INDEX('Referência LC 214'!$K$6:$K$967,U282)))</f>
        <v/>
      </c>
      <c r="K282" s="28" t="str">
        <f aca="false">IF(OR(T282="",U282=""),"","Anexo "&amp;INDEX('Referência LC 214'!$E$6:$E$967,U282)&amp;", item "&amp;INDEX('Referência LC 214'!$F$6:$F$967,U282)&amp;": "&amp;INDEX('Referência LC 214'!$G$6:$G$967,U282))</f>
        <v/>
      </c>
      <c r="L282" s="28" t="str">
        <f aca="false">IF(OR(T282="",U282=""),"",IF(INDEX('Referência LC 214'!$L$6:$L$967,U282)&amp;""&lt;&gt;"",INDEX('Referência LC 214'!$L$6:$L$967,U282)&amp;"",IF(SUMPRODUCT((LEFT(T282,LEN('Referência LC 214'!$N$6:$N$967))='Referência LC 214'!$N$6:$N$967)*('Referência LC 214'!$L$6:$L$967&lt;&gt;""))&gt;0,"Há outro tratamento só para alguns compradores (ex.: órgão público/SUS) — veja a referência","")))</f>
        <v/>
      </c>
      <c r="M282" s="30" t="str">
        <f aca="false">IF(T282="","",IF(AND(C282&lt;&gt;"Serviço",LEN(T282)-1&lt;&gt;8),"NCM deve ter 8 dígitos",IF(AND(C282="Serviço",LEN(T282)-1&lt;&gt;9),"NBS deve ter 9 dígitos",IF(L282&lt;&gt;"","Benefício depende do comprador: confira a coluna N",IF(G282&gt;1,"Mais de uma regra: confira o item do anexo na referência",IF(G282=0,"Sem redução na LC 214","Confira se o produto é o descrito no item"))))))</f>
        <v/>
      </c>
      <c r="N282" s="25"/>
      <c r="O282" s="23"/>
      <c r="P282" s="25"/>
      <c r="Q282" s="25"/>
      <c r="R282" s="31"/>
      <c r="S282" s="24"/>
      <c r="T282" s="4" t="str">
        <f aca="false">IF(D282="","",IF(C282="Serviço","S","P")&amp;SUBSTITUTE(SUBSTITUTE(SUBSTITUTE(D282,".",""),"-","")," ",""))</f>
        <v/>
      </c>
      <c r="U282" s="4" t="str">
        <f aca="false">IF(T282="","",IFERROR(MATCH(LEFT(T282,10),'Referência LC 214'!$N$6:$N$967,0),IFERROR(MATCH(LEFT(T282,9),'Referência LC 214'!$N$6:$N$967,0),IFERROR(MATCH(LEFT(T282,8),'Referência LC 214'!$N$6:$N$967,0),IFERROR(MATCH(LEFT(T282,7),'Referência LC 214'!$N$6:$N$967,0),IFERROR(MATCH(LEFT(T282,6),'Referência LC 214'!$N$6:$N$967,0),IFERROR(MATCH(LEFT(T282,5),'Referência LC 214'!$N$6:$N$967,0),IFERROR(MATCH(LEFT(T282,4),'Referência LC 214'!$N$6:$N$967,0),IFERROR(MATCH(LEFT(T282,3),'Referência LC 214'!$N$6:$N$967,0),"")))))))))</f>
        <v/>
      </c>
    </row>
    <row r="283" customFormat="false" ht="15" hidden="false" customHeight="false" outlineLevel="0" collapsed="false">
      <c r="A283" s="23"/>
      <c r="B283" s="24"/>
      <c r="C283" s="25"/>
      <c r="D283" s="23"/>
      <c r="E283" s="23"/>
      <c r="F283" s="25"/>
      <c r="G283" s="26" t="str">
        <f aca="false">IF(T283="","",SUMPRODUCT(--(LEFT(T283,LEN('Referência LC 214'!$N$6:$N$967))='Referência LC 214'!$N$6:$N$967)))</f>
        <v/>
      </c>
      <c r="H283" s="27" t="str">
        <f aca="false">IF(T283="","",IF(U283="","000001",INDEX('Referência LC 214'!$I$6:$I$967,U283)))</f>
        <v/>
      </c>
      <c r="I283" s="28" t="str">
        <f aca="false">IF(T283="","",IF(U283="","Sem anexo: tributação integral",INDEX('Referência LC 214'!$H$6:$H$967,U283)))</f>
        <v/>
      </c>
      <c r="J283" s="29" t="str">
        <f aca="false">IF(T283="","",IF(U283="",0,INDEX('Referência LC 214'!$K$6:$K$967,U283)))</f>
        <v/>
      </c>
      <c r="K283" s="28" t="str">
        <f aca="false">IF(OR(T283="",U283=""),"","Anexo "&amp;INDEX('Referência LC 214'!$E$6:$E$967,U283)&amp;", item "&amp;INDEX('Referência LC 214'!$F$6:$F$967,U283)&amp;": "&amp;INDEX('Referência LC 214'!$G$6:$G$967,U283))</f>
        <v/>
      </c>
      <c r="L283" s="28" t="str">
        <f aca="false">IF(OR(T283="",U283=""),"",IF(INDEX('Referência LC 214'!$L$6:$L$967,U283)&amp;""&lt;&gt;"",INDEX('Referência LC 214'!$L$6:$L$967,U283)&amp;"",IF(SUMPRODUCT((LEFT(T283,LEN('Referência LC 214'!$N$6:$N$967))='Referência LC 214'!$N$6:$N$967)*('Referência LC 214'!$L$6:$L$967&lt;&gt;""))&gt;0,"Há outro tratamento só para alguns compradores (ex.: órgão público/SUS) — veja a referência","")))</f>
        <v/>
      </c>
      <c r="M283" s="30" t="str">
        <f aca="false">IF(T283="","",IF(AND(C283&lt;&gt;"Serviço",LEN(T283)-1&lt;&gt;8),"NCM deve ter 8 dígitos",IF(AND(C283="Serviço",LEN(T283)-1&lt;&gt;9),"NBS deve ter 9 dígitos",IF(L283&lt;&gt;"","Benefício depende do comprador: confira a coluna N",IF(G283&gt;1,"Mais de uma regra: confira o item do anexo na referência",IF(G283=0,"Sem redução na LC 214","Confira se o produto é o descrito no item"))))))</f>
        <v/>
      </c>
      <c r="N283" s="25"/>
      <c r="O283" s="23"/>
      <c r="P283" s="25"/>
      <c r="Q283" s="25"/>
      <c r="R283" s="31"/>
      <c r="S283" s="24"/>
      <c r="T283" s="4" t="str">
        <f aca="false">IF(D283="","",IF(C283="Serviço","S","P")&amp;SUBSTITUTE(SUBSTITUTE(SUBSTITUTE(D283,".",""),"-","")," ",""))</f>
        <v/>
      </c>
      <c r="U283" s="4" t="str">
        <f aca="false">IF(T283="","",IFERROR(MATCH(LEFT(T283,10),'Referência LC 214'!$N$6:$N$967,0),IFERROR(MATCH(LEFT(T283,9),'Referência LC 214'!$N$6:$N$967,0),IFERROR(MATCH(LEFT(T283,8),'Referência LC 214'!$N$6:$N$967,0),IFERROR(MATCH(LEFT(T283,7),'Referência LC 214'!$N$6:$N$967,0),IFERROR(MATCH(LEFT(T283,6),'Referência LC 214'!$N$6:$N$967,0),IFERROR(MATCH(LEFT(T283,5),'Referência LC 214'!$N$6:$N$967,0),IFERROR(MATCH(LEFT(T283,4),'Referência LC 214'!$N$6:$N$967,0),IFERROR(MATCH(LEFT(T283,3),'Referência LC 214'!$N$6:$N$967,0),"")))))))))</f>
        <v/>
      </c>
    </row>
    <row r="284" customFormat="false" ht="15" hidden="false" customHeight="false" outlineLevel="0" collapsed="false">
      <c r="A284" s="23"/>
      <c r="B284" s="24"/>
      <c r="C284" s="25"/>
      <c r="D284" s="23"/>
      <c r="E284" s="23"/>
      <c r="F284" s="25"/>
      <c r="G284" s="26" t="str">
        <f aca="false">IF(T284="","",SUMPRODUCT(--(LEFT(T284,LEN('Referência LC 214'!$N$6:$N$967))='Referência LC 214'!$N$6:$N$967)))</f>
        <v/>
      </c>
      <c r="H284" s="27" t="str">
        <f aca="false">IF(T284="","",IF(U284="","000001",INDEX('Referência LC 214'!$I$6:$I$967,U284)))</f>
        <v/>
      </c>
      <c r="I284" s="28" t="str">
        <f aca="false">IF(T284="","",IF(U284="","Sem anexo: tributação integral",INDEX('Referência LC 214'!$H$6:$H$967,U284)))</f>
        <v/>
      </c>
      <c r="J284" s="29" t="str">
        <f aca="false">IF(T284="","",IF(U284="",0,INDEX('Referência LC 214'!$K$6:$K$967,U284)))</f>
        <v/>
      </c>
      <c r="K284" s="28" t="str">
        <f aca="false">IF(OR(T284="",U284=""),"","Anexo "&amp;INDEX('Referência LC 214'!$E$6:$E$967,U284)&amp;", item "&amp;INDEX('Referência LC 214'!$F$6:$F$967,U284)&amp;": "&amp;INDEX('Referência LC 214'!$G$6:$G$967,U284))</f>
        <v/>
      </c>
      <c r="L284" s="28" t="str">
        <f aca="false">IF(OR(T284="",U284=""),"",IF(INDEX('Referência LC 214'!$L$6:$L$967,U284)&amp;""&lt;&gt;"",INDEX('Referência LC 214'!$L$6:$L$967,U284)&amp;"",IF(SUMPRODUCT((LEFT(T284,LEN('Referência LC 214'!$N$6:$N$967))='Referência LC 214'!$N$6:$N$967)*('Referência LC 214'!$L$6:$L$967&lt;&gt;""))&gt;0,"Há outro tratamento só para alguns compradores (ex.: órgão público/SUS) — veja a referência","")))</f>
        <v/>
      </c>
      <c r="M284" s="30" t="str">
        <f aca="false">IF(T284="","",IF(AND(C284&lt;&gt;"Serviço",LEN(T284)-1&lt;&gt;8),"NCM deve ter 8 dígitos",IF(AND(C284="Serviço",LEN(T284)-1&lt;&gt;9),"NBS deve ter 9 dígitos",IF(L284&lt;&gt;"","Benefício depende do comprador: confira a coluna N",IF(G284&gt;1,"Mais de uma regra: confira o item do anexo na referência",IF(G284=0,"Sem redução na LC 214","Confira se o produto é o descrito no item"))))))</f>
        <v/>
      </c>
      <c r="N284" s="25"/>
      <c r="O284" s="23"/>
      <c r="P284" s="25"/>
      <c r="Q284" s="25"/>
      <c r="R284" s="31"/>
      <c r="S284" s="24"/>
      <c r="T284" s="4" t="str">
        <f aca="false">IF(D284="","",IF(C284="Serviço","S","P")&amp;SUBSTITUTE(SUBSTITUTE(SUBSTITUTE(D284,".",""),"-","")," ",""))</f>
        <v/>
      </c>
      <c r="U284" s="4" t="str">
        <f aca="false">IF(T284="","",IFERROR(MATCH(LEFT(T284,10),'Referência LC 214'!$N$6:$N$967,0),IFERROR(MATCH(LEFT(T284,9),'Referência LC 214'!$N$6:$N$967,0),IFERROR(MATCH(LEFT(T284,8),'Referência LC 214'!$N$6:$N$967,0),IFERROR(MATCH(LEFT(T284,7),'Referência LC 214'!$N$6:$N$967,0),IFERROR(MATCH(LEFT(T284,6),'Referência LC 214'!$N$6:$N$967,0),IFERROR(MATCH(LEFT(T284,5),'Referência LC 214'!$N$6:$N$967,0),IFERROR(MATCH(LEFT(T284,4),'Referência LC 214'!$N$6:$N$967,0),IFERROR(MATCH(LEFT(T284,3),'Referência LC 214'!$N$6:$N$967,0),"")))))))))</f>
        <v/>
      </c>
    </row>
    <row r="285" customFormat="false" ht="15" hidden="false" customHeight="false" outlineLevel="0" collapsed="false">
      <c r="A285" s="23"/>
      <c r="B285" s="24"/>
      <c r="C285" s="25"/>
      <c r="D285" s="23"/>
      <c r="E285" s="23"/>
      <c r="F285" s="25"/>
      <c r="G285" s="26" t="str">
        <f aca="false">IF(T285="","",SUMPRODUCT(--(LEFT(T285,LEN('Referência LC 214'!$N$6:$N$967))='Referência LC 214'!$N$6:$N$967)))</f>
        <v/>
      </c>
      <c r="H285" s="27" t="str">
        <f aca="false">IF(T285="","",IF(U285="","000001",INDEX('Referência LC 214'!$I$6:$I$967,U285)))</f>
        <v/>
      </c>
      <c r="I285" s="28" t="str">
        <f aca="false">IF(T285="","",IF(U285="","Sem anexo: tributação integral",INDEX('Referência LC 214'!$H$6:$H$967,U285)))</f>
        <v/>
      </c>
      <c r="J285" s="29" t="str">
        <f aca="false">IF(T285="","",IF(U285="",0,INDEX('Referência LC 214'!$K$6:$K$967,U285)))</f>
        <v/>
      </c>
      <c r="K285" s="28" t="str">
        <f aca="false">IF(OR(T285="",U285=""),"","Anexo "&amp;INDEX('Referência LC 214'!$E$6:$E$967,U285)&amp;", item "&amp;INDEX('Referência LC 214'!$F$6:$F$967,U285)&amp;": "&amp;INDEX('Referência LC 214'!$G$6:$G$967,U285))</f>
        <v/>
      </c>
      <c r="L285" s="28" t="str">
        <f aca="false">IF(OR(T285="",U285=""),"",IF(INDEX('Referência LC 214'!$L$6:$L$967,U285)&amp;""&lt;&gt;"",INDEX('Referência LC 214'!$L$6:$L$967,U285)&amp;"",IF(SUMPRODUCT((LEFT(T285,LEN('Referência LC 214'!$N$6:$N$967))='Referência LC 214'!$N$6:$N$967)*('Referência LC 214'!$L$6:$L$967&lt;&gt;""))&gt;0,"Há outro tratamento só para alguns compradores (ex.: órgão público/SUS) — veja a referência","")))</f>
        <v/>
      </c>
      <c r="M285" s="30" t="str">
        <f aca="false">IF(T285="","",IF(AND(C285&lt;&gt;"Serviço",LEN(T285)-1&lt;&gt;8),"NCM deve ter 8 dígitos",IF(AND(C285="Serviço",LEN(T285)-1&lt;&gt;9),"NBS deve ter 9 dígitos",IF(L285&lt;&gt;"","Benefício depende do comprador: confira a coluna N",IF(G285&gt;1,"Mais de uma regra: confira o item do anexo na referência",IF(G285=0,"Sem redução na LC 214","Confira se o produto é o descrito no item"))))))</f>
        <v/>
      </c>
      <c r="N285" s="25"/>
      <c r="O285" s="23"/>
      <c r="P285" s="25"/>
      <c r="Q285" s="25"/>
      <c r="R285" s="31"/>
      <c r="S285" s="24"/>
      <c r="T285" s="4" t="str">
        <f aca="false">IF(D285="","",IF(C285="Serviço","S","P")&amp;SUBSTITUTE(SUBSTITUTE(SUBSTITUTE(D285,".",""),"-","")," ",""))</f>
        <v/>
      </c>
      <c r="U285" s="4" t="str">
        <f aca="false">IF(T285="","",IFERROR(MATCH(LEFT(T285,10),'Referência LC 214'!$N$6:$N$967,0),IFERROR(MATCH(LEFT(T285,9),'Referência LC 214'!$N$6:$N$967,0),IFERROR(MATCH(LEFT(T285,8),'Referência LC 214'!$N$6:$N$967,0),IFERROR(MATCH(LEFT(T285,7),'Referência LC 214'!$N$6:$N$967,0),IFERROR(MATCH(LEFT(T285,6),'Referência LC 214'!$N$6:$N$967,0),IFERROR(MATCH(LEFT(T285,5),'Referência LC 214'!$N$6:$N$967,0),IFERROR(MATCH(LEFT(T285,4),'Referência LC 214'!$N$6:$N$967,0),IFERROR(MATCH(LEFT(T285,3),'Referência LC 214'!$N$6:$N$967,0),"")))))))))</f>
        <v/>
      </c>
    </row>
    <row r="286" customFormat="false" ht="15" hidden="false" customHeight="false" outlineLevel="0" collapsed="false">
      <c r="A286" s="23"/>
      <c r="B286" s="24"/>
      <c r="C286" s="25"/>
      <c r="D286" s="23"/>
      <c r="E286" s="23"/>
      <c r="F286" s="25"/>
      <c r="G286" s="26" t="str">
        <f aca="false">IF(T286="","",SUMPRODUCT(--(LEFT(T286,LEN('Referência LC 214'!$N$6:$N$967))='Referência LC 214'!$N$6:$N$967)))</f>
        <v/>
      </c>
      <c r="H286" s="27" t="str">
        <f aca="false">IF(T286="","",IF(U286="","000001",INDEX('Referência LC 214'!$I$6:$I$967,U286)))</f>
        <v/>
      </c>
      <c r="I286" s="28" t="str">
        <f aca="false">IF(T286="","",IF(U286="","Sem anexo: tributação integral",INDEX('Referência LC 214'!$H$6:$H$967,U286)))</f>
        <v/>
      </c>
      <c r="J286" s="29" t="str">
        <f aca="false">IF(T286="","",IF(U286="",0,INDEX('Referência LC 214'!$K$6:$K$967,U286)))</f>
        <v/>
      </c>
      <c r="K286" s="28" t="str">
        <f aca="false">IF(OR(T286="",U286=""),"","Anexo "&amp;INDEX('Referência LC 214'!$E$6:$E$967,U286)&amp;", item "&amp;INDEX('Referência LC 214'!$F$6:$F$967,U286)&amp;": "&amp;INDEX('Referência LC 214'!$G$6:$G$967,U286))</f>
        <v/>
      </c>
      <c r="L286" s="28" t="str">
        <f aca="false">IF(OR(T286="",U286=""),"",IF(INDEX('Referência LC 214'!$L$6:$L$967,U286)&amp;""&lt;&gt;"",INDEX('Referência LC 214'!$L$6:$L$967,U286)&amp;"",IF(SUMPRODUCT((LEFT(T286,LEN('Referência LC 214'!$N$6:$N$967))='Referência LC 214'!$N$6:$N$967)*('Referência LC 214'!$L$6:$L$967&lt;&gt;""))&gt;0,"Há outro tratamento só para alguns compradores (ex.: órgão público/SUS) — veja a referência","")))</f>
        <v/>
      </c>
      <c r="M286" s="30" t="str">
        <f aca="false">IF(T286="","",IF(AND(C286&lt;&gt;"Serviço",LEN(T286)-1&lt;&gt;8),"NCM deve ter 8 dígitos",IF(AND(C286="Serviço",LEN(T286)-1&lt;&gt;9),"NBS deve ter 9 dígitos",IF(L286&lt;&gt;"","Benefício depende do comprador: confira a coluna N",IF(G286&gt;1,"Mais de uma regra: confira o item do anexo na referência",IF(G286=0,"Sem redução na LC 214","Confira se o produto é o descrito no item"))))))</f>
        <v/>
      </c>
      <c r="N286" s="25"/>
      <c r="O286" s="23"/>
      <c r="P286" s="25"/>
      <c r="Q286" s="25"/>
      <c r="R286" s="31"/>
      <c r="S286" s="24"/>
      <c r="T286" s="4" t="str">
        <f aca="false">IF(D286="","",IF(C286="Serviço","S","P")&amp;SUBSTITUTE(SUBSTITUTE(SUBSTITUTE(D286,".",""),"-","")," ",""))</f>
        <v/>
      </c>
      <c r="U286" s="4" t="str">
        <f aca="false">IF(T286="","",IFERROR(MATCH(LEFT(T286,10),'Referência LC 214'!$N$6:$N$967,0),IFERROR(MATCH(LEFT(T286,9),'Referência LC 214'!$N$6:$N$967,0),IFERROR(MATCH(LEFT(T286,8),'Referência LC 214'!$N$6:$N$967,0),IFERROR(MATCH(LEFT(T286,7),'Referência LC 214'!$N$6:$N$967,0),IFERROR(MATCH(LEFT(T286,6),'Referência LC 214'!$N$6:$N$967,0),IFERROR(MATCH(LEFT(T286,5),'Referência LC 214'!$N$6:$N$967,0),IFERROR(MATCH(LEFT(T286,4),'Referência LC 214'!$N$6:$N$967,0),IFERROR(MATCH(LEFT(T286,3),'Referência LC 214'!$N$6:$N$967,0),"")))))))))</f>
        <v/>
      </c>
    </row>
    <row r="287" customFormat="false" ht="15" hidden="false" customHeight="false" outlineLevel="0" collapsed="false">
      <c r="A287" s="23"/>
      <c r="B287" s="24"/>
      <c r="C287" s="25"/>
      <c r="D287" s="23"/>
      <c r="E287" s="23"/>
      <c r="F287" s="25"/>
      <c r="G287" s="26" t="str">
        <f aca="false">IF(T287="","",SUMPRODUCT(--(LEFT(T287,LEN('Referência LC 214'!$N$6:$N$967))='Referência LC 214'!$N$6:$N$967)))</f>
        <v/>
      </c>
      <c r="H287" s="27" t="str">
        <f aca="false">IF(T287="","",IF(U287="","000001",INDEX('Referência LC 214'!$I$6:$I$967,U287)))</f>
        <v/>
      </c>
      <c r="I287" s="28" t="str">
        <f aca="false">IF(T287="","",IF(U287="","Sem anexo: tributação integral",INDEX('Referência LC 214'!$H$6:$H$967,U287)))</f>
        <v/>
      </c>
      <c r="J287" s="29" t="str">
        <f aca="false">IF(T287="","",IF(U287="",0,INDEX('Referência LC 214'!$K$6:$K$967,U287)))</f>
        <v/>
      </c>
      <c r="K287" s="28" t="str">
        <f aca="false">IF(OR(T287="",U287=""),"","Anexo "&amp;INDEX('Referência LC 214'!$E$6:$E$967,U287)&amp;", item "&amp;INDEX('Referência LC 214'!$F$6:$F$967,U287)&amp;": "&amp;INDEX('Referência LC 214'!$G$6:$G$967,U287))</f>
        <v/>
      </c>
      <c r="L287" s="28" t="str">
        <f aca="false">IF(OR(T287="",U287=""),"",IF(INDEX('Referência LC 214'!$L$6:$L$967,U287)&amp;""&lt;&gt;"",INDEX('Referência LC 214'!$L$6:$L$967,U287)&amp;"",IF(SUMPRODUCT((LEFT(T287,LEN('Referência LC 214'!$N$6:$N$967))='Referência LC 214'!$N$6:$N$967)*('Referência LC 214'!$L$6:$L$967&lt;&gt;""))&gt;0,"Há outro tratamento só para alguns compradores (ex.: órgão público/SUS) — veja a referência","")))</f>
        <v/>
      </c>
      <c r="M287" s="30" t="str">
        <f aca="false">IF(T287="","",IF(AND(C287&lt;&gt;"Serviço",LEN(T287)-1&lt;&gt;8),"NCM deve ter 8 dígitos",IF(AND(C287="Serviço",LEN(T287)-1&lt;&gt;9),"NBS deve ter 9 dígitos",IF(L287&lt;&gt;"","Benefício depende do comprador: confira a coluna N",IF(G287&gt;1,"Mais de uma regra: confira o item do anexo na referência",IF(G287=0,"Sem redução na LC 214","Confira se o produto é o descrito no item"))))))</f>
        <v/>
      </c>
      <c r="N287" s="25"/>
      <c r="O287" s="23"/>
      <c r="P287" s="25"/>
      <c r="Q287" s="25"/>
      <c r="R287" s="31"/>
      <c r="S287" s="24"/>
      <c r="T287" s="4" t="str">
        <f aca="false">IF(D287="","",IF(C287="Serviço","S","P")&amp;SUBSTITUTE(SUBSTITUTE(SUBSTITUTE(D287,".",""),"-","")," ",""))</f>
        <v/>
      </c>
      <c r="U287" s="4" t="str">
        <f aca="false">IF(T287="","",IFERROR(MATCH(LEFT(T287,10),'Referência LC 214'!$N$6:$N$967,0),IFERROR(MATCH(LEFT(T287,9),'Referência LC 214'!$N$6:$N$967,0),IFERROR(MATCH(LEFT(T287,8),'Referência LC 214'!$N$6:$N$967,0),IFERROR(MATCH(LEFT(T287,7),'Referência LC 214'!$N$6:$N$967,0),IFERROR(MATCH(LEFT(T287,6),'Referência LC 214'!$N$6:$N$967,0),IFERROR(MATCH(LEFT(T287,5),'Referência LC 214'!$N$6:$N$967,0),IFERROR(MATCH(LEFT(T287,4),'Referência LC 214'!$N$6:$N$967,0),IFERROR(MATCH(LEFT(T287,3),'Referência LC 214'!$N$6:$N$967,0),"")))))))))</f>
        <v/>
      </c>
    </row>
    <row r="288" customFormat="false" ht="15" hidden="false" customHeight="false" outlineLevel="0" collapsed="false">
      <c r="A288" s="23"/>
      <c r="B288" s="24"/>
      <c r="C288" s="25"/>
      <c r="D288" s="23"/>
      <c r="E288" s="23"/>
      <c r="F288" s="25"/>
      <c r="G288" s="26" t="str">
        <f aca="false">IF(T288="","",SUMPRODUCT(--(LEFT(T288,LEN('Referência LC 214'!$N$6:$N$967))='Referência LC 214'!$N$6:$N$967)))</f>
        <v/>
      </c>
      <c r="H288" s="27" t="str">
        <f aca="false">IF(T288="","",IF(U288="","000001",INDEX('Referência LC 214'!$I$6:$I$967,U288)))</f>
        <v/>
      </c>
      <c r="I288" s="28" t="str">
        <f aca="false">IF(T288="","",IF(U288="","Sem anexo: tributação integral",INDEX('Referência LC 214'!$H$6:$H$967,U288)))</f>
        <v/>
      </c>
      <c r="J288" s="29" t="str">
        <f aca="false">IF(T288="","",IF(U288="",0,INDEX('Referência LC 214'!$K$6:$K$967,U288)))</f>
        <v/>
      </c>
      <c r="K288" s="28" t="str">
        <f aca="false">IF(OR(T288="",U288=""),"","Anexo "&amp;INDEX('Referência LC 214'!$E$6:$E$967,U288)&amp;", item "&amp;INDEX('Referência LC 214'!$F$6:$F$967,U288)&amp;": "&amp;INDEX('Referência LC 214'!$G$6:$G$967,U288))</f>
        <v/>
      </c>
      <c r="L288" s="28" t="str">
        <f aca="false">IF(OR(T288="",U288=""),"",IF(INDEX('Referência LC 214'!$L$6:$L$967,U288)&amp;""&lt;&gt;"",INDEX('Referência LC 214'!$L$6:$L$967,U288)&amp;"",IF(SUMPRODUCT((LEFT(T288,LEN('Referência LC 214'!$N$6:$N$967))='Referência LC 214'!$N$6:$N$967)*('Referência LC 214'!$L$6:$L$967&lt;&gt;""))&gt;0,"Há outro tratamento só para alguns compradores (ex.: órgão público/SUS) — veja a referência","")))</f>
        <v/>
      </c>
      <c r="M288" s="30" t="str">
        <f aca="false">IF(T288="","",IF(AND(C288&lt;&gt;"Serviço",LEN(T288)-1&lt;&gt;8),"NCM deve ter 8 dígitos",IF(AND(C288="Serviço",LEN(T288)-1&lt;&gt;9),"NBS deve ter 9 dígitos",IF(L288&lt;&gt;"","Benefício depende do comprador: confira a coluna N",IF(G288&gt;1,"Mais de uma regra: confira o item do anexo na referência",IF(G288=0,"Sem redução na LC 214","Confira se o produto é o descrito no item"))))))</f>
        <v/>
      </c>
      <c r="N288" s="25"/>
      <c r="O288" s="23"/>
      <c r="P288" s="25"/>
      <c r="Q288" s="25"/>
      <c r="R288" s="31"/>
      <c r="S288" s="24"/>
      <c r="T288" s="4" t="str">
        <f aca="false">IF(D288="","",IF(C288="Serviço","S","P")&amp;SUBSTITUTE(SUBSTITUTE(SUBSTITUTE(D288,".",""),"-","")," ",""))</f>
        <v/>
      </c>
      <c r="U288" s="4" t="str">
        <f aca="false">IF(T288="","",IFERROR(MATCH(LEFT(T288,10),'Referência LC 214'!$N$6:$N$967,0),IFERROR(MATCH(LEFT(T288,9),'Referência LC 214'!$N$6:$N$967,0),IFERROR(MATCH(LEFT(T288,8),'Referência LC 214'!$N$6:$N$967,0),IFERROR(MATCH(LEFT(T288,7),'Referência LC 214'!$N$6:$N$967,0),IFERROR(MATCH(LEFT(T288,6),'Referência LC 214'!$N$6:$N$967,0),IFERROR(MATCH(LEFT(T288,5),'Referência LC 214'!$N$6:$N$967,0),IFERROR(MATCH(LEFT(T288,4),'Referência LC 214'!$N$6:$N$967,0),IFERROR(MATCH(LEFT(T288,3),'Referência LC 214'!$N$6:$N$967,0),"")))))))))</f>
        <v/>
      </c>
    </row>
    <row r="289" customFormat="false" ht="15" hidden="false" customHeight="false" outlineLevel="0" collapsed="false">
      <c r="A289" s="23"/>
      <c r="B289" s="24"/>
      <c r="C289" s="25"/>
      <c r="D289" s="23"/>
      <c r="E289" s="23"/>
      <c r="F289" s="25"/>
      <c r="G289" s="26" t="str">
        <f aca="false">IF(T289="","",SUMPRODUCT(--(LEFT(T289,LEN('Referência LC 214'!$N$6:$N$967))='Referência LC 214'!$N$6:$N$967)))</f>
        <v/>
      </c>
      <c r="H289" s="27" t="str">
        <f aca="false">IF(T289="","",IF(U289="","000001",INDEX('Referência LC 214'!$I$6:$I$967,U289)))</f>
        <v/>
      </c>
      <c r="I289" s="28" t="str">
        <f aca="false">IF(T289="","",IF(U289="","Sem anexo: tributação integral",INDEX('Referência LC 214'!$H$6:$H$967,U289)))</f>
        <v/>
      </c>
      <c r="J289" s="29" t="str">
        <f aca="false">IF(T289="","",IF(U289="",0,INDEX('Referência LC 214'!$K$6:$K$967,U289)))</f>
        <v/>
      </c>
      <c r="K289" s="28" t="str">
        <f aca="false">IF(OR(T289="",U289=""),"","Anexo "&amp;INDEX('Referência LC 214'!$E$6:$E$967,U289)&amp;", item "&amp;INDEX('Referência LC 214'!$F$6:$F$967,U289)&amp;": "&amp;INDEX('Referência LC 214'!$G$6:$G$967,U289))</f>
        <v/>
      </c>
      <c r="L289" s="28" t="str">
        <f aca="false">IF(OR(T289="",U289=""),"",IF(INDEX('Referência LC 214'!$L$6:$L$967,U289)&amp;""&lt;&gt;"",INDEX('Referência LC 214'!$L$6:$L$967,U289)&amp;"",IF(SUMPRODUCT((LEFT(T289,LEN('Referência LC 214'!$N$6:$N$967))='Referência LC 214'!$N$6:$N$967)*('Referência LC 214'!$L$6:$L$967&lt;&gt;""))&gt;0,"Há outro tratamento só para alguns compradores (ex.: órgão público/SUS) — veja a referência","")))</f>
        <v/>
      </c>
      <c r="M289" s="30" t="str">
        <f aca="false">IF(T289="","",IF(AND(C289&lt;&gt;"Serviço",LEN(T289)-1&lt;&gt;8),"NCM deve ter 8 dígitos",IF(AND(C289="Serviço",LEN(T289)-1&lt;&gt;9),"NBS deve ter 9 dígitos",IF(L289&lt;&gt;"","Benefício depende do comprador: confira a coluna N",IF(G289&gt;1,"Mais de uma regra: confira o item do anexo na referência",IF(G289=0,"Sem redução na LC 214","Confira se o produto é o descrito no item"))))))</f>
        <v/>
      </c>
      <c r="N289" s="25"/>
      <c r="O289" s="23"/>
      <c r="P289" s="25"/>
      <c r="Q289" s="25"/>
      <c r="R289" s="31"/>
      <c r="S289" s="24"/>
      <c r="T289" s="4" t="str">
        <f aca="false">IF(D289="","",IF(C289="Serviço","S","P")&amp;SUBSTITUTE(SUBSTITUTE(SUBSTITUTE(D289,".",""),"-","")," ",""))</f>
        <v/>
      </c>
      <c r="U289" s="4" t="str">
        <f aca="false">IF(T289="","",IFERROR(MATCH(LEFT(T289,10),'Referência LC 214'!$N$6:$N$967,0),IFERROR(MATCH(LEFT(T289,9),'Referência LC 214'!$N$6:$N$967,0),IFERROR(MATCH(LEFT(T289,8),'Referência LC 214'!$N$6:$N$967,0),IFERROR(MATCH(LEFT(T289,7),'Referência LC 214'!$N$6:$N$967,0),IFERROR(MATCH(LEFT(T289,6),'Referência LC 214'!$N$6:$N$967,0),IFERROR(MATCH(LEFT(T289,5),'Referência LC 214'!$N$6:$N$967,0),IFERROR(MATCH(LEFT(T289,4),'Referência LC 214'!$N$6:$N$967,0),IFERROR(MATCH(LEFT(T289,3),'Referência LC 214'!$N$6:$N$967,0),"")))))))))</f>
        <v/>
      </c>
    </row>
    <row r="290" customFormat="false" ht="15" hidden="false" customHeight="false" outlineLevel="0" collapsed="false">
      <c r="A290" s="23"/>
      <c r="B290" s="24"/>
      <c r="C290" s="25"/>
      <c r="D290" s="23"/>
      <c r="E290" s="23"/>
      <c r="F290" s="25"/>
      <c r="G290" s="26" t="str">
        <f aca="false">IF(T290="","",SUMPRODUCT(--(LEFT(T290,LEN('Referência LC 214'!$N$6:$N$967))='Referência LC 214'!$N$6:$N$967)))</f>
        <v/>
      </c>
      <c r="H290" s="27" t="str">
        <f aca="false">IF(T290="","",IF(U290="","000001",INDEX('Referência LC 214'!$I$6:$I$967,U290)))</f>
        <v/>
      </c>
      <c r="I290" s="28" t="str">
        <f aca="false">IF(T290="","",IF(U290="","Sem anexo: tributação integral",INDEX('Referência LC 214'!$H$6:$H$967,U290)))</f>
        <v/>
      </c>
      <c r="J290" s="29" t="str">
        <f aca="false">IF(T290="","",IF(U290="",0,INDEX('Referência LC 214'!$K$6:$K$967,U290)))</f>
        <v/>
      </c>
      <c r="K290" s="28" t="str">
        <f aca="false">IF(OR(T290="",U290=""),"","Anexo "&amp;INDEX('Referência LC 214'!$E$6:$E$967,U290)&amp;", item "&amp;INDEX('Referência LC 214'!$F$6:$F$967,U290)&amp;": "&amp;INDEX('Referência LC 214'!$G$6:$G$967,U290))</f>
        <v/>
      </c>
      <c r="L290" s="28" t="str">
        <f aca="false">IF(OR(T290="",U290=""),"",IF(INDEX('Referência LC 214'!$L$6:$L$967,U290)&amp;""&lt;&gt;"",INDEX('Referência LC 214'!$L$6:$L$967,U290)&amp;"",IF(SUMPRODUCT((LEFT(T290,LEN('Referência LC 214'!$N$6:$N$967))='Referência LC 214'!$N$6:$N$967)*('Referência LC 214'!$L$6:$L$967&lt;&gt;""))&gt;0,"Há outro tratamento só para alguns compradores (ex.: órgão público/SUS) — veja a referência","")))</f>
        <v/>
      </c>
      <c r="M290" s="30" t="str">
        <f aca="false">IF(T290="","",IF(AND(C290&lt;&gt;"Serviço",LEN(T290)-1&lt;&gt;8),"NCM deve ter 8 dígitos",IF(AND(C290="Serviço",LEN(T290)-1&lt;&gt;9),"NBS deve ter 9 dígitos",IF(L290&lt;&gt;"","Benefício depende do comprador: confira a coluna N",IF(G290&gt;1,"Mais de uma regra: confira o item do anexo na referência",IF(G290=0,"Sem redução na LC 214","Confira se o produto é o descrito no item"))))))</f>
        <v/>
      </c>
      <c r="N290" s="25"/>
      <c r="O290" s="23"/>
      <c r="P290" s="25"/>
      <c r="Q290" s="25"/>
      <c r="R290" s="31"/>
      <c r="S290" s="24"/>
      <c r="T290" s="4" t="str">
        <f aca="false">IF(D290="","",IF(C290="Serviço","S","P")&amp;SUBSTITUTE(SUBSTITUTE(SUBSTITUTE(D290,".",""),"-","")," ",""))</f>
        <v/>
      </c>
      <c r="U290" s="4" t="str">
        <f aca="false">IF(T290="","",IFERROR(MATCH(LEFT(T290,10),'Referência LC 214'!$N$6:$N$967,0),IFERROR(MATCH(LEFT(T290,9),'Referência LC 214'!$N$6:$N$967,0),IFERROR(MATCH(LEFT(T290,8),'Referência LC 214'!$N$6:$N$967,0),IFERROR(MATCH(LEFT(T290,7),'Referência LC 214'!$N$6:$N$967,0),IFERROR(MATCH(LEFT(T290,6),'Referência LC 214'!$N$6:$N$967,0),IFERROR(MATCH(LEFT(T290,5),'Referência LC 214'!$N$6:$N$967,0),IFERROR(MATCH(LEFT(T290,4),'Referência LC 214'!$N$6:$N$967,0),IFERROR(MATCH(LEFT(T290,3),'Referência LC 214'!$N$6:$N$967,0),"")))))))))</f>
        <v/>
      </c>
    </row>
    <row r="291" customFormat="false" ht="15" hidden="false" customHeight="false" outlineLevel="0" collapsed="false">
      <c r="A291" s="23"/>
      <c r="B291" s="24"/>
      <c r="C291" s="25"/>
      <c r="D291" s="23"/>
      <c r="E291" s="23"/>
      <c r="F291" s="25"/>
      <c r="G291" s="26" t="str">
        <f aca="false">IF(T291="","",SUMPRODUCT(--(LEFT(T291,LEN('Referência LC 214'!$N$6:$N$967))='Referência LC 214'!$N$6:$N$967)))</f>
        <v/>
      </c>
      <c r="H291" s="27" t="str">
        <f aca="false">IF(T291="","",IF(U291="","000001",INDEX('Referência LC 214'!$I$6:$I$967,U291)))</f>
        <v/>
      </c>
      <c r="I291" s="28" t="str">
        <f aca="false">IF(T291="","",IF(U291="","Sem anexo: tributação integral",INDEX('Referência LC 214'!$H$6:$H$967,U291)))</f>
        <v/>
      </c>
      <c r="J291" s="29" t="str">
        <f aca="false">IF(T291="","",IF(U291="",0,INDEX('Referência LC 214'!$K$6:$K$967,U291)))</f>
        <v/>
      </c>
      <c r="K291" s="28" t="str">
        <f aca="false">IF(OR(T291="",U291=""),"","Anexo "&amp;INDEX('Referência LC 214'!$E$6:$E$967,U291)&amp;", item "&amp;INDEX('Referência LC 214'!$F$6:$F$967,U291)&amp;": "&amp;INDEX('Referência LC 214'!$G$6:$G$967,U291))</f>
        <v/>
      </c>
      <c r="L291" s="28" t="str">
        <f aca="false">IF(OR(T291="",U291=""),"",IF(INDEX('Referência LC 214'!$L$6:$L$967,U291)&amp;""&lt;&gt;"",INDEX('Referência LC 214'!$L$6:$L$967,U291)&amp;"",IF(SUMPRODUCT((LEFT(T291,LEN('Referência LC 214'!$N$6:$N$967))='Referência LC 214'!$N$6:$N$967)*('Referência LC 214'!$L$6:$L$967&lt;&gt;""))&gt;0,"Há outro tratamento só para alguns compradores (ex.: órgão público/SUS) — veja a referência","")))</f>
        <v/>
      </c>
      <c r="M291" s="30" t="str">
        <f aca="false">IF(T291="","",IF(AND(C291&lt;&gt;"Serviço",LEN(T291)-1&lt;&gt;8),"NCM deve ter 8 dígitos",IF(AND(C291="Serviço",LEN(T291)-1&lt;&gt;9),"NBS deve ter 9 dígitos",IF(L291&lt;&gt;"","Benefício depende do comprador: confira a coluna N",IF(G291&gt;1,"Mais de uma regra: confira o item do anexo na referência",IF(G291=0,"Sem redução na LC 214","Confira se o produto é o descrito no item"))))))</f>
        <v/>
      </c>
      <c r="N291" s="25"/>
      <c r="O291" s="23"/>
      <c r="P291" s="25"/>
      <c r="Q291" s="25"/>
      <c r="R291" s="31"/>
      <c r="S291" s="24"/>
      <c r="T291" s="4" t="str">
        <f aca="false">IF(D291="","",IF(C291="Serviço","S","P")&amp;SUBSTITUTE(SUBSTITUTE(SUBSTITUTE(D291,".",""),"-","")," ",""))</f>
        <v/>
      </c>
      <c r="U291" s="4" t="str">
        <f aca="false">IF(T291="","",IFERROR(MATCH(LEFT(T291,10),'Referência LC 214'!$N$6:$N$967,0),IFERROR(MATCH(LEFT(T291,9),'Referência LC 214'!$N$6:$N$967,0),IFERROR(MATCH(LEFT(T291,8),'Referência LC 214'!$N$6:$N$967,0),IFERROR(MATCH(LEFT(T291,7),'Referência LC 214'!$N$6:$N$967,0),IFERROR(MATCH(LEFT(T291,6),'Referência LC 214'!$N$6:$N$967,0),IFERROR(MATCH(LEFT(T291,5),'Referência LC 214'!$N$6:$N$967,0),IFERROR(MATCH(LEFT(T291,4),'Referência LC 214'!$N$6:$N$967,0),IFERROR(MATCH(LEFT(T291,3),'Referência LC 214'!$N$6:$N$967,0),"")))))))))</f>
        <v/>
      </c>
    </row>
    <row r="292" customFormat="false" ht="15" hidden="false" customHeight="false" outlineLevel="0" collapsed="false">
      <c r="A292" s="23"/>
      <c r="B292" s="24"/>
      <c r="C292" s="25"/>
      <c r="D292" s="23"/>
      <c r="E292" s="23"/>
      <c r="F292" s="25"/>
      <c r="G292" s="26" t="str">
        <f aca="false">IF(T292="","",SUMPRODUCT(--(LEFT(T292,LEN('Referência LC 214'!$N$6:$N$967))='Referência LC 214'!$N$6:$N$967)))</f>
        <v/>
      </c>
      <c r="H292" s="27" t="str">
        <f aca="false">IF(T292="","",IF(U292="","000001",INDEX('Referência LC 214'!$I$6:$I$967,U292)))</f>
        <v/>
      </c>
      <c r="I292" s="28" t="str">
        <f aca="false">IF(T292="","",IF(U292="","Sem anexo: tributação integral",INDEX('Referência LC 214'!$H$6:$H$967,U292)))</f>
        <v/>
      </c>
      <c r="J292" s="29" t="str">
        <f aca="false">IF(T292="","",IF(U292="",0,INDEX('Referência LC 214'!$K$6:$K$967,U292)))</f>
        <v/>
      </c>
      <c r="K292" s="28" t="str">
        <f aca="false">IF(OR(T292="",U292=""),"","Anexo "&amp;INDEX('Referência LC 214'!$E$6:$E$967,U292)&amp;", item "&amp;INDEX('Referência LC 214'!$F$6:$F$967,U292)&amp;": "&amp;INDEX('Referência LC 214'!$G$6:$G$967,U292))</f>
        <v/>
      </c>
      <c r="L292" s="28" t="str">
        <f aca="false">IF(OR(T292="",U292=""),"",IF(INDEX('Referência LC 214'!$L$6:$L$967,U292)&amp;""&lt;&gt;"",INDEX('Referência LC 214'!$L$6:$L$967,U292)&amp;"",IF(SUMPRODUCT((LEFT(T292,LEN('Referência LC 214'!$N$6:$N$967))='Referência LC 214'!$N$6:$N$967)*('Referência LC 214'!$L$6:$L$967&lt;&gt;""))&gt;0,"Há outro tratamento só para alguns compradores (ex.: órgão público/SUS) — veja a referência","")))</f>
        <v/>
      </c>
      <c r="M292" s="30" t="str">
        <f aca="false">IF(T292="","",IF(AND(C292&lt;&gt;"Serviço",LEN(T292)-1&lt;&gt;8),"NCM deve ter 8 dígitos",IF(AND(C292="Serviço",LEN(T292)-1&lt;&gt;9),"NBS deve ter 9 dígitos",IF(L292&lt;&gt;"","Benefício depende do comprador: confira a coluna N",IF(G292&gt;1,"Mais de uma regra: confira o item do anexo na referência",IF(G292=0,"Sem redução na LC 214","Confira se o produto é o descrito no item"))))))</f>
        <v/>
      </c>
      <c r="N292" s="25"/>
      <c r="O292" s="23"/>
      <c r="P292" s="25"/>
      <c r="Q292" s="25"/>
      <c r="R292" s="31"/>
      <c r="S292" s="24"/>
      <c r="T292" s="4" t="str">
        <f aca="false">IF(D292="","",IF(C292="Serviço","S","P")&amp;SUBSTITUTE(SUBSTITUTE(SUBSTITUTE(D292,".",""),"-","")," ",""))</f>
        <v/>
      </c>
      <c r="U292" s="4" t="str">
        <f aca="false">IF(T292="","",IFERROR(MATCH(LEFT(T292,10),'Referência LC 214'!$N$6:$N$967,0),IFERROR(MATCH(LEFT(T292,9),'Referência LC 214'!$N$6:$N$967,0),IFERROR(MATCH(LEFT(T292,8),'Referência LC 214'!$N$6:$N$967,0),IFERROR(MATCH(LEFT(T292,7),'Referência LC 214'!$N$6:$N$967,0),IFERROR(MATCH(LEFT(T292,6),'Referência LC 214'!$N$6:$N$967,0),IFERROR(MATCH(LEFT(T292,5),'Referência LC 214'!$N$6:$N$967,0),IFERROR(MATCH(LEFT(T292,4),'Referência LC 214'!$N$6:$N$967,0),IFERROR(MATCH(LEFT(T292,3),'Referência LC 214'!$N$6:$N$967,0),"")))))))))</f>
        <v/>
      </c>
    </row>
    <row r="293" customFormat="false" ht="15" hidden="false" customHeight="false" outlineLevel="0" collapsed="false">
      <c r="A293" s="23"/>
      <c r="B293" s="24"/>
      <c r="C293" s="25"/>
      <c r="D293" s="23"/>
      <c r="E293" s="23"/>
      <c r="F293" s="25"/>
      <c r="G293" s="26" t="str">
        <f aca="false">IF(T293="","",SUMPRODUCT(--(LEFT(T293,LEN('Referência LC 214'!$N$6:$N$967))='Referência LC 214'!$N$6:$N$967)))</f>
        <v/>
      </c>
      <c r="H293" s="27" t="str">
        <f aca="false">IF(T293="","",IF(U293="","000001",INDEX('Referência LC 214'!$I$6:$I$967,U293)))</f>
        <v/>
      </c>
      <c r="I293" s="28" t="str">
        <f aca="false">IF(T293="","",IF(U293="","Sem anexo: tributação integral",INDEX('Referência LC 214'!$H$6:$H$967,U293)))</f>
        <v/>
      </c>
      <c r="J293" s="29" t="str">
        <f aca="false">IF(T293="","",IF(U293="",0,INDEX('Referência LC 214'!$K$6:$K$967,U293)))</f>
        <v/>
      </c>
      <c r="K293" s="28" t="str">
        <f aca="false">IF(OR(T293="",U293=""),"","Anexo "&amp;INDEX('Referência LC 214'!$E$6:$E$967,U293)&amp;", item "&amp;INDEX('Referência LC 214'!$F$6:$F$967,U293)&amp;": "&amp;INDEX('Referência LC 214'!$G$6:$G$967,U293))</f>
        <v/>
      </c>
      <c r="L293" s="28" t="str">
        <f aca="false">IF(OR(T293="",U293=""),"",IF(INDEX('Referência LC 214'!$L$6:$L$967,U293)&amp;""&lt;&gt;"",INDEX('Referência LC 214'!$L$6:$L$967,U293)&amp;"",IF(SUMPRODUCT((LEFT(T293,LEN('Referência LC 214'!$N$6:$N$967))='Referência LC 214'!$N$6:$N$967)*('Referência LC 214'!$L$6:$L$967&lt;&gt;""))&gt;0,"Há outro tratamento só para alguns compradores (ex.: órgão público/SUS) — veja a referência","")))</f>
        <v/>
      </c>
      <c r="M293" s="30" t="str">
        <f aca="false">IF(T293="","",IF(AND(C293&lt;&gt;"Serviço",LEN(T293)-1&lt;&gt;8),"NCM deve ter 8 dígitos",IF(AND(C293="Serviço",LEN(T293)-1&lt;&gt;9),"NBS deve ter 9 dígitos",IF(L293&lt;&gt;"","Benefício depende do comprador: confira a coluna N",IF(G293&gt;1,"Mais de uma regra: confira o item do anexo na referência",IF(G293=0,"Sem redução na LC 214","Confira se o produto é o descrito no item"))))))</f>
        <v/>
      </c>
      <c r="N293" s="25"/>
      <c r="O293" s="23"/>
      <c r="P293" s="25"/>
      <c r="Q293" s="25"/>
      <c r="R293" s="31"/>
      <c r="S293" s="24"/>
      <c r="T293" s="4" t="str">
        <f aca="false">IF(D293="","",IF(C293="Serviço","S","P")&amp;SUBSTITUTE(SUBSTITUTE(SUBSTITUTE(D293,".",""),"-","")," ",""))</f>
        <v/>
      </c>
      <c r="U293" s="4" t="str">
        <f aca="false">IF(T293="","",IFERROR(MATCH(LEFT(T293,10),'Referência LC 214'!$N$6:$N$967,0),IFERROR(MATCH(LEFT(T293,9),'Referência LC 214'!$N$6:$N$967,0),IFERROR(MATCH(LEFT(T293,8),'Referência LC 214'!$N$6:$N$967,0),IFERROR(MATCH(LEFT(T293,7),'Referência LC 214'!$N$6:$N$967,0),IFERROR(MATCH(LEFT(T293,6),'Referência LC 214'!$N$6:$N$967,0),IFERROR(MATCH(LEFT(T293,5),'Referência LC 214'!$N$6:$N$967,0),IFERROR(MATCH(LEFT(T293,4),'Referência LC 214'!$N$6:$N$967,0),IFERROR(MATCH(LEFT(T293,3),'Referência LC 214'!$N$6:$N$967,0),"")))))))))</f>
        <v/>
      </c>
    </row>
    <row r="294" customFormat="false" ht="15" hidden="false" customHeight="false" outlineLevel="0" collapsed="false">
      <c r="A294" s="23"/>
      <c r="B294" s="24"/>
      <c r="C294" s="25"/>
      <c r="D294" s="23"/>
      <c r="E294" s="23"/>
      <c r="F294" s="25"/>
      <c r="G294" s="26" t="str">
        <f aca="false">IF(T294="","",SUMPRODUCT(--(LEFT(T294,LEN('Referência LC 214'!$N$6:$N$967))='Referência LC 214'!$N$6:$N$967)))</f>
        <v/>
      </c>
      <c r="H294" s="27" t="str">
        <f aca="false">IF(T294="","",IF(U294="","000001",INDEX('Referência LC 214'!$I$6:$I$967,U294)))</f>
        <v/>
      </c>
      <c r="I294" s="28" t="str">
        <f aca="false">IF(T294="","",IF(U294="","Sem anexo: tributação integral",INDEX('Referência LC 214'!$H$6:$H$967,U294)))</f>
        <v/>
      </c>
      <c r="J294" s="29" t="str">
        <f aca="false">IF(T294="","",IF(U294="",0,INDEX('Referência LC 214'!$K$6:$K$967,U294)))</f>
        <v/>
      </c>
      <c r="K294" s="28" t="str">
        <f aca="false">IF(OR(T294="",U294=""),"","Anexo "&amp;INDEX('Referência LC 214'!$E$6:$E$967,U294)&amp;", item "&amp;INDEX('Referência LC 214'!$F$6:$F$967,U294)&amp;": "&amp;INDEX('Referência LC 214'!$G$6:$G$967,U294))</f>
        <v/>
      </c>
      <c r="L294" s="28" t="str">
        <f aca="false">IF(OR(T294="",U294=""),"",IF(INDEX('Referência LC 214'!$L$6:$L$967,U294)&amp;""&lt;&gt;"",INDEX('Referência LC 214'!$L$6:$L$967,U294)&amp;"",IF(SUMPRODUCT((LEFT(T294,LEN('Referência LC 214'!$N$6:$N$967))='Referência LC 214'!$N$6:$N$967)*('Referência LC 214'!$L$6:$L$967&lt;&gt;""))&gt;0,"Há outro tratamento só para alguns compradores (ex.: órgão público/SUS) — veja a referência","")))</f>
        <v/>
      </c>
      <c r="M294" s="30" t="str">
        <f aca="false">IF(T294="","",IF(AND(C294&lt;&gt;"Serviço",LEN(T294)-1&lt;&gt;8),"NCM deve ter 8 dígitos",IF(AND(C294="Serviço",LEN(T294)-1&lt;&gt;9),"NBS deve ter 9 dígitos",IF(L294&lt;&gt;"","Benefício depende do comprador: confira a coluna N",IF(G294&gt;1,"Mais de uma regra: confira o item do anexo na referência",IF(G294=0,"Sem redução na LC 214","Confira se o produto é o descrito no item"))))))</f>
        <v/>
      </c>
      <c r="N294" s="25"/>
      <c r="O294" s="23"/>
      <c r="P294" s="25"/>
      <c r="Q294" s="25"/>
      <c r="R294" s="31"/>
      <c r="S294" s="24"/>
      <c r="T294" s="4" t="str">
        <f aca="false">IF(D294="","",IF(C294="Serviço","S","P")&amp;SUBSTITUTE(SUBSTITUTE(SUBSTITUTE(D294,".",""),"-","")," ",""))</f>
        <v/>
      </c>
      <c r="U294" s="4" t="str">
        <f aca="false">IF(T294="","",IFERROR(MATCH(LEFT(T294,10),'Referência LC 214'!$N$6:$N$967,0),IFERROR(MATCH(LEFT(T294,9),'Referência LC 214'!$N$6:$N$967,0),IFERROR(MATCH(LEFT(T294,8),'Referência LC 214'!$N$6:$N$967,0),IFERROR(MATCH(LEFT(T294,7),'Referência LC 214'!$N$6:$N$967,0),IFERROR(MATCH(LEFT(T294,6),'Referência LC 214'!$N$6:$N$967,0),IFERROR(MATCH(LEFT(T294,5),'Referência LC 214'!$N$6:$N$967,0),IFERROR(MATCH(LEFT(T294,4),'Referência LC 214'!$N$6:$N$967,0),IFERROR(MATCH(LEFT(T294,3),'Referência LC 214'!$N$6:$N$967,0),"")))))))))</f>
        <v/>
      </c>
    </row>
    <row r="295" customFormat="false" ht="15" hidden="false" customHeight="false" outlineLevel="0" collapsed="false">
      <c r="A295" s="23"/>
      <c r="B295" s="24"/>
      <c r="C295" s="25"/>
      <c r="D295" s="23"/>
      <c r="E295" s="23"/>
      <c r="F295" s="25"/>
      <c r="G295" s="26" t="str">
        <f aca="false">IF(T295="","",SUMPRODUCT(--(LEFT(T295,LEN('Referência LC 214'!$N$6:$N$967))='Referência LC 214'!$N$6:$N$967)))</f>
        <v/>
      </c>
      <c r="H295" s="27" t="str">
        <f aca="false">IF(T295="","",IF(U295="","000001",INDEX('Referência LC 214'!$I$6:$I$967,U295)))</f>
        <v/>
      </c>
      <c r="I295" s="28" t="str">
        <f aca="false">IF(T295="","",IF(U295="","Sem anexo: tributação integral",INDEX('Referência LC 214'!$H$6:$H$967,U295)))</f>
        <v/>
      </c>
      <c r="J295" s="29" t="str">
        <f aca="false">IF(T295="","",IF(U295="",0,INDEX('Referência LC 214'!$K$6:$K$967,U295)))</f>
        <v/>
      </c>
      <c r="K295" s="28" t="str">
        <f aca="false">IF(OR(T295="",U295=""),"","Anexo "&amp;INDEX('Referência LC 214'!$E$6:$E$967,U295)&amp;", item "&amp;INDEX('Referência LC 214'!$F$6:$F$967,U295)&amp;": "&amp;INDEX('Referência LC 214'!$G$6:$G$967,U295))</f>
        <v/>
      </c>
      <c r="L295" s="28" t="str">
        <f aca="false">IF(OR(T295="",U295=""),"",IF(INDEX('Referência LC 214'!$L$6:$L$967,U295)&amp;""&lt;&gt;"",INDEX('Referência LC 214'!$L$6:$L$967,U295)&amp;"",IF(SUMPRODUCT((LEFT(T295,LEN('Referência LC 214'!$N$6:$N$967))='Referência LC 214'!$N$6:$N$967)*('Referência LC 214'!$L$6:$L$967&lt;&gt;""))&gt;0,"Há outro tratamento só para alguns compradores (ex.: órgão público/SUS) — veja a referência","")))</f>
        <v/>
      </c>
      <c r="M295" s="30" t="str">
        <f aca="false">IF(T295="","",IF(AND(C295&lt;&gt;"Serviço",LEN(T295)-1&lt;&gt;8),"NCM deve ter 8 dígitos",IF(AND(C295="Serviço",LEN(T295)-1&lt;&gt;9),"NBS deve ter 9 dígitos",IF(L295&lt;&gt;"","Benefício depende do comprador: confira a coluna N",IF(G295&gt;1,"Mais de uma regra: confira o item do anexo na referência",IF(G295=0,"Sem redução na LC 214","Confira se o produto é o descrito no item"))))))</f>
        <v/>
      </c>
      <c r="N295" s="25"/>
      <c r="O295" s="23"/>
      <c r="P295" s="25"/>
      <c r="Q295" s="25"/>
      <c r="R295" s="31"/>
      <c r="S295" s="24"/>
      <c r="T295" s="4" t="str">
        <f aca="false">IF(D295="","",IF(C295="Serviço","S","P")&amp;SUBSTITUTE(SUBSTITUTE(SUBSTITUTE(D295,".",""),"-","")," ",""))</f>
        <v/>
      </c>
      <c r="U295" s="4" t="str">
        <f aca="false">IF(T295="","",IFERROR(MATCH(LEFT(T295,10),'Referência LC 214'!$N$6:$N$967,0),IFERROR(MATCH(LEFT(T295,9),'Referência LC 214'!$N$6:$N$967,0),IFERROR(MATCH(LEFT(T295,8),'Referência LC 214'!$N$6:$N$967,0),IFERROR(MATCH(LEFT(T295,7),'Referência LC 214'!$N$6:$N$967,0),IFERROR(MATCH(LEFT(T295,6),'Referência LC 214'!$N$6:$N$967,0),IFERROR(MATCH(LEFT(T295,5),'Referência LC 214'!$N$6:$N$967,0),IFERROR(MATCH(LEFT(T295,4),'Referência LC 214'!$N$6:$N$967,0),IFERROR(MATCH(LEFT(T295,3),'Referência LC 214'!$N$6:$N$967,0),"")))))))))</f>
        <v/>
      </c>
    </row>
    <row r="296" customFormat="false" ht="15" hidden="false" customHeight="false" outlineLevel="0" collapsed="false">
      <c r="A296" s="23"/>
      <c r="B296" s="24"/>
      <c r="C296" s="25"/>
      <c r="D296" s="23"/>
      <c r="E296" s="23"/>
      <c r="F296" s="25"/>
      <c r="G296" s="26" t="str">
        <f aca="false">IF(T296="","",SUMPRODUCT(--(LEFT(T296,LEN('Referência LC 214'!$N$6:$N$967))='Referência LC 214'!$N$6:$N$967)))</f>
        <v/>
      </c>
      <c r="H296" s="27" t="str">
        <f aca="false">IF(T296="","",IF(U296="","000001",INDEX('Referência LC 214'!$I$6:$I$967,U296)))</f>
        <v/>
      </c>
      <c r="I296" s="28" t="str">
        <f aca="false">IF(T296="","",IF(U296="","Sem anexo: tributação integral",INDEX('Referência LC 214'!$H$6:$H$967,U296)))</f>
        <v/>
      </c>
      <c r="J296" s="29" t="str">
        <f aca="false">IF(T296="","",IF(U296="",0,INDEX('Referência LC 214'!$K$6:$K$967,U296)))</f>
        <v/>
      </c>
      <c r="K296" s="28" t="str">
        <f aca="false">IF(OR(T296="",U296=""),"","Anexo "&amp;INDEX('Referência LC 214'!$E$6:$E$967,U296)&amp;", item "&amp;INDEX('Referência LC 214'!$F$6:$F$967,U296)&amp;": "&amp;INDEX('Referência LC 214'!$G$6:$G$967,U296))</f>
        <v/>
      </c>
      <c r="L296" s="28" t="str">
        <f aca="false">IF(OR(T296="",U296=""),"",IF(INDEX('Referência LC 214'!$L$6:$L$967,U296)&amp;""&lt;&gt;"",INDEX('Referência LC 214'!$L$6:$L$967,U296)&amp;"",IF(SUMPRODUCT((LEFT(T296,LEN('Referência LC 214'!$N$6:$N$967))='Referência LC 214'!$N$6:$N$967)*('Referência LC 214'!$L$6:$L$967&lt;&gt;""))&gt;0,"Há outro tratamento só para alguns compradores (ex.: órgão público/SUS) — veja a referência","")))</f>
        <v/>
      </c>
      <c r="M296" s="30" t="str">
        <f aca="false">IF(T296="","",IF(AND(C296&lt;&gt;"Serviço",LEN(T296)-1&lt;&gt;8),"NCM deve ter 8 dígitos",IF(AND(C296="Serviço",LEN(T296)-1&lt;&gt;9),"NBS deve ter 9 dígitos",IF(L296&lt;&gt;"","Benefício depende do comprador: confira a coluna N",IF(G296&gt;1,"Mais de uma regra: confira o item do anexo na referência",IF(G296=0,"Sem redução na LC 214","Confira se o produto é o descrito no item"))))))</f>
        <v/>
      </c>
      <c r="N296" s="25"/>
      <c r="O296" s="23"/>
      <c r="P296" s="25"/>
      <c r="Q296" s="25"/>
      <c r="R296" s="31"/>
      <c r="S296" s="24"/>
      <c r="T296" s="4" t="str">
        <f aca="false">IF(D296="","",IF(C296="Serviço","S","P")&amp;SUBSTITUTE(SUBSTITUTE(SUBSTITUTE(D296,".",""),"-","")," ",""))</f>
        <v/>
      </c>
      <c r="U296" s="4" t="str">
        <f aca="false">IF(T296="","",IFERROR(MATCH(LEFT(T296,10),'Referência LC 214'!$N$6:$N$967,0),IFERROR(MATCH(LEFT(T296,9),'Referência LC 214'!$N$6:$N$967,0),IFERROR(MATCH(LEFT(T296,8),'Referência LC 214'!$N$6:$N$967,0),IFERROR(MATCH(LEFT(T296,7),'Referência LC 214'!$N$6:$N$967,0),IFERROR(MATCH(LEFT(T296,6),'Referência LC 214'!$N$6:$N$967,0),IFERROR(MATCH(LEFT(T296,5),'Referência LC 214'!$N$6:$N$967,0),IFERROR(MATCH(LEFT(T296,4),'Referência LC 214'!$N$6:$N$967,0),IFERROR(MATCH(LEFT(T296,3),'Referência LC 214'!$N$6:$N$967,0),"")))))))))</f>
        <v/>
      </c>
    </row>
    <row r="297" customFormat="false" ht="15" hidden="false" customHeight="false" outlineLevel="0" collapsed="false">
      <c r="A297" s="23"/>
      <c r="B297" s="24"/>
      <c r="C297" s="25"/>
      <c r="D297" s="23"/>
      <c r="E297" s="23"/>
      <c r="F297" s="25"/>
      <c r="G297" s="26" t="str">
        <f aca="false">IF(T297="","",SUMPRODUCT(--(LEFT(T297,LEN('Referência LC 214'!$N$6:$N$967))='Referência LC 214'!$N$6:$N$967)))</f>
        <v/>
      </c>
      <c r="H297" s="27" t="str">
        <f aca="false">IF(T297="","",IF(U297="","000001",INDEX('Referência LC 214'!$I$6:$I$967,U297)))</f>
        <v/>
      </c>
      <c r="I297" s="28" t="str">
        <f aca="false">IF(T297="","",IF(U297="","Sem anexo: tributação integral",INDEX('Referência LC 214'!$H$6:$H$967,U297)))</f>
        <v/>
      </c>
      <c r="J297" s="29" t="str">
        <f aca="false">IF(T297="","",IF(U297="",0,INDEX('Referência LC 214'!$K$6:$K$967,U297)))</f>
        <v/>
      </c>
      <c r="K297" s="28" t="str">
        <f aca="false">IF(OR(T297="",U297=""),"","Anexo "&amp;INDEX('Referência LC 214'!$E$6:$E$967,U297)&amp;", item "&amp;INDEX('Referência LC 214'!$F$6:$F$967,U297)&amp;": "&amp;INDEX('Referência LC 214'!$G$6:$G$967,U297))</f>
        <v/>
      </c>
      <c r="L297" s="28" t="str">
        <f aca="false">IF(OR(T297="",U297=""),"",IF(INDEX('Referência LC 214'!$L$6:$L$967,U297)&amp;""&lt;&gt;"",INDEX('Referência LC 214'!$L$6:$L$967,U297)&amp;"",IF(SUMPRODUCT((LEFT(T297,LEN('Referência LC 214'!$N$6:$N$967))='Referência LC 214'!$N$6:$N$967)*('Referência LC 214'!$L$6:$L$967&lt;&gt;""))&gt;0,"Há outro tratamento só para alguns compradores (ex.: órgão público/SUS) — veja a referência","")))</f>
        <v/>
      </c>
      <c r="M297" s="30" t="str">
        <f aca="false">IF(T297="","",IF(AND(C297&lt;&gt;"Serviço",LEN(T297)-1&lt;&gt;8),"NCM deve ter 8 dígitos",IF(AND(C297="Serviço",LEN(T297)-1&lt;&gt;9),"NBS deve ter 9 dígitos",IF(L297&lt;&gt;"","Benefício depende do comprador: confira a coluna N",IF(G297&gt;1,"Mais de uma regra: confira o item do anexo na referência",IF(G297=0,"Sem redução na LC 214","Confira se o produto é o descrito no item"))))))</f>
        <v/>
      </c>
      <c r="N297" s="25"/>
      <c r="O297" s="23"/>
      <c r="P297" s="25"/>
      <c r="Q297" s="25"/>
      <c r="R297" s="31"/>
      <c r="S297" s="24"/>
      <c r="T297" s="4" t="str">
        <f aca="false">IF(D297="","",IF(C297="Serviço","S","P")&amp;SUBSTITUTE(SUBSTITUTE(SUBSTITUTE(D297,".",""),"-","")," ",""))</f>
        <v/>
      </c>
      <c r="U297" s="4" t="str">
        <f aca="false">IF(T297="","",IFERROR(MATCH(LEFT(T297,10),'Referência LC 214'!$N$6:$N$967,0),IFERROR(MATCH(LEFT(T297,9),'Referência LC 214'!$N$6:$N$967,0),IFERROR(MATCH(LEFT(T297,8),'Referência LC 214'!$N$6:$N$967,0),IFERROR(MATCH(LEFT(T297,7),'Referência LC 214'!$N$6:$N$967,0),IFERROR(MATCH(LEFT(T297,6),'Referência LC 214'!$N$6:$N$967,0),IFERROR(MATCH(LEFT(T297,5),'Referência LC 214'!$N$6:$N$967,0),IFERROR(MATCH(LEFT(T297,4),'Referência LC 214'!$N$6:$N$967,0),IFERROR(MATCH(LEFT(T297,3),'Referência LC 214'!$N$6:$N$967,0),"")))))))))</f>
        <v/>
      </c>
    </row>
    <row r="298" customFormat="false" ht="15" hidden="false" customHeight="false" outlineLevel="0" collapsed="false">
      <c r="A298" s="23"/>
      <c r="B298" s="24"/>
      <c r="C298" s="25"/>
      <c r="D298" s="23"/>
      <c r="E298" s="23"/>
      <c r="F298" s="25"/>
      <c r="G298" s="26" t="str">
        <f aca="false">IF(T298="","",SUMPRODUCT(--(LEFT(T298,LEN('Referência LC 214'!$N$6:$N$967))='Referência LC 214'!$N$6:$N$967)))</f>
        <v/>
      </c>
      <c r="H298" s="27" t="str">
        <f aca="false">IF(T298="","",IF(U298="","000001",INDEX('Referência LC 214'!$I$6:$I$967,U298)))</f>
        <v/>
      </c>
      <c r="I298" s="28" t="str">
        <f aca="false">IF(T298="","",IF(U298="","Sem anexo: tributação integral",INDEX('Referência LC 214'!$H$6:$H$967,U298)))</f>
        <v/>
      </c>
      <c r="J298" s="29" t="str">
        <f aca="false">IF(T298="","",IF(U298="",0,INDEX('Referência LC 214'!$K$6:$K$967,U298)))</f>
        <v/>
      </c>
      <c r="K298" s="28" t="str">
        <f aca="false">IF(OR(T298="",U298=""),"","Anexo "&amp;INDEX('Referência LC 214'!$E$6:$E$967,U298)&amp;", item "&amp;INDEX('Referência LC 214'!$F$6:$F$967,U298)&amp;": "&amp;INDEX('Referência LC 214'!$G$6:$G$967,U298))</f>
        <v/>
      </c>
      <c r="L298" s="28" t="str">
        <f aca="false">IF(OR(T298="",U298=""),"",IF(INDEX('Referência LC 214'!$L$6:$L$967,U298)&amp;""&lt;&gt;"",INDEX('Referência LC 214'!$L$6:$L$967,U298)&amp;"",IF(SUMPRODUCT((LEFT(T298,LEN('Referência LC 214'!$N$6:$N$967))='Referência LC 214'!$N$6:$N$967)*('Referência LC 214'!$L$6:$L$967&lt;&gt;""))&gt;0,"Há outro tratamento só para alguns compradores (ex.: órgão público/SUS) — veja a referência","")))</f>
        <v/>
      </c>
      <c r="M298" s="30" t="str">
        <f aca="false">IF(T298="","",IF(AND(C298&lt;&gt;"Serviço",LEN(T298)-1&lt;&gt;8),"NCM deve ter 8 dígitos",IF(AND(C298="Serviço",LEN(T298)-1&lt;&gt;9),"NBS deve ter 9 dígitos",IF(L298&lt;&gt;"","Benefício depende do comprador: confira a coluna N",IF(G298&gt;1,"Mais de uma regra: confira o item do anexo na referência",IF(G298=0,"Sem redução na LC 214","Confira se o produto é o descrito no item"))))))</f>
        <v/>
      </c>
      <c r="N298" s="25"/>
      <c r="O298" s="23"/>
      <c r="P298" s="25"/>
      <c r="Q298" s="25"/>
      <c r="R298" s="31"/>
      <c r="S298" s="24"/>
      <c r="T298" s="4" t="str">
        <f aca="false">IF(D298="","",IF(C298="Serviço","S","P")&amp;SUBSTITUTE(SUBSTITUTE(SUBSTITUTE(D298,".",""),"-","")," ",""))</f>
        <v/>
      </c>
      <c r="U298" s="4" t="str">
        <f aca="false">IF(T298="","",IFERROR(MATCH(LEFT(T298,10),'Referência LC 214'!$N$6:$N$967,0),IFERROR(MATCH(LEFT(T298,9),'Referência LC 214'!$N$6:$N$967,0),IFERROR(MATCH(LEFT(T298,8),'Referência LC 214'!$N$6:$N$967,0),IFERROR(MATCH(LEFT(T298,7),'Referência LC 214'!$N$6:$N$967,0),IFERROR(MATCH(LEFT(T298,6),'Referência LC 214'!$N$6:$N$967,0),IFERROR(MATCH(LEFT(T298,5),'Referência LC 214'!$N$6:$N$967,0),IFERROR(MATCH(LEFT(T298,4),'Referência LC 214'!$N$6:$N$967,0),IFERROR(MATCH(LEFT(T298,3),'Referência LC 214'!$N$6:$N$967,0),"")))))))))</f>
        <v/>
      </c>
    </row>
    <row r="299" customFormat="false" ht="15" hidden="false" customHeight="false" outlineLevel="0" collapsed="false">
      <c r="A299" s="23"/>
      <c r="B299" s="24"/>
      <c r="C299" s="25"/>
      <c r="D299" s="23"/>
      <c r="E299" s="23"/>
      <c r="F299" s="25"/>
      <c r="G299" s="26" t="str">
        <f aca="false">IF(T299="","",SUMPRODUCT(--(LEFT(T299,LEN('Referência LC 214'!$N$6:$N$967))='Referência LC 214'!$N$6:$N$967)))</f>
        <v/>
      </c>
      <c r="H299" s="27" t="str">
        <f aca="false">IF(T299="","",IF(U299="","000001",INDEX('Referência LC 214'!$I$6:$I$967,U299)))</f>
        <v/>
      </c>
      <c r="I299" s="28" t="str">
        <f aca="false">IF(T299="","",IF(U299="","Sem anexo: tributação integral",INDEX('Referência LC 214'!$H$6:$H$967,U299)))</f>
        <v/>
      </c>
      <c r="J299" s="29" t="str">
        <f aca="false">IF(T299="","",IF(U299="",0,INDEX('Referência LC 214'!$K$6:$K$967,U299)))</f>
        <v/>
      </c>
      <c r="K299" s="28" t="str">
        <f aca="false">IF(OR(T299="",U299=""),"","Anexo "&amp;INDEX('Referência LC 214'!$E$6:$E$967,U299)&amp;", item "&amp;INDEX('Referência LC 214'!$F$6:$F$967,U299)&amp;": "&amp;INDEX('Referência LC 214'!$G$6:$G$967,U299))</f>
        <v/>
      </c>
      <c r="L299" s="28" t="str">
        <f aca="false">IF(OR(T299="",U299=""),"",IF(INDEX('Referência LC 214'!$L$6:$L$967,U299)&amp;""&lt;&gt;"",INDEX('Referência LC 214'!$L$6:$L$967,U299)&amp;"",IF(SUMPRODUCT((LEFT(T299,LEN('Referência LC 214'!$N$6:$N$967))='Referência LC 214'!$N$6:$N$967)*('Referência LC 214'!$L$6:$L$967&lt;&gt;""))&gt;0,"Há outro tratamento só para alguns compradores (ex.: órgão público/SUS) — veja a referência","")))</f>
        <v/>
      </c>
      <c r="M299" s="30" t="str">
        <f aca="false">IF(T299="","",IF(AND(C299&lt;&gt;"Serviço",LEN(T299)-1&lt;&gt;8),"NCM deve ter 8 dígitos",IF(AND(C299="Serviço",LEN(T299)-1&lt;&gt;9),"NBS deve ter 9 dígitos",IF(L299&lt;&gt;"","Benefício depende do comprador: confira a coluna N",IF(G299&gt;1,"Mais de uma regra: confira o item do anexo na referência",IF(G299=0,"Sem redução na LC 214","Confira se o produto é o descrito no item"))))))</f>
        <v/>
      </c>
      <c r="N299" s="25"/>
      <c r="O299" s="23"/>
      <c r="P299" s="25"/>
      <c r="Q299" s="25"/>
      <c r="R299" s="31"/>
      <c r="S299" s="24"/>
      <c r="T299" s="4" t="str">
        <f aca="false">IF(D299="","",IF(C299="Serviço","S","P")&amp;SUBSTITUTE(SUBSTITUTE(SUBSTITUTE(D299,".",""),"-","")," ",""))</f>
        <v/>
      </c>
      <c r="U299" s="4" t="str">
        <f aca="false">IF(T299="","",IFERROR(MATCH(LEFT(T299,10),'Referência LC 214'!$N$6:$N$967,0),IFERROR(MATCH(LEFT(T299,9),'Referência LC 214'!$N$6:$N$967,0),IFERROR(MATCH(LEFT(T299,8),'Referência LC 214'!$N$6:$N$967,0),IFERROR(MATCH(LEFT(T299,7),'Referência LC 214'!$N$6:$N$967,0),IFERROR(MATCH(LEFT(T299,6),'Referência LC 214'!$N$6:$N$967,0),IFERROR(MATCH(LEFT(T299,5),'Referência LC 214'!$N$6:$N$967,0),IFERROR(MATCH(LEFT(T299,4),'Referência LC 214'!$N$6:$N$967,0),IFERROR(MATCH(LEFT(T299,3),'Referência LC 214'!$N$6:$N$967,0),"")))))))))</f>
        <v/>
      </c>
    </row>
    <row r="300" customFormat="false" ht="15" hidden="false" customHeight="false" outlineLevel="0" collapsed="false">
      <c r="A300" s="23"/>
      <c r="B300" s="24"/>
      <c r="C300" s="25"/>
      <c r="D300" s="23"/>
      <c r="E300" s="23"/>
      <c r="F300" s="25"/>
      <c r="G300" s="26" t="str">
        <f aca="false">IF(T300="","",SUMPRODUCT(--(LEFT(T300,LEN('Referência LC 214'!$N$6:$N$967))='Referência LC 214'!$N$6:$N$967)))</f>
        <v/>
      </c>
      <c r="H300" s="27" t="str">
        <f aca="false">IF(T300="","",IF(U300="","000001",INDEX('Referência LC 214'!$I$6:$I$967,U300)))</f>
        <v/>
      </c>
      <c r="I300" s="28" t="str">
        <f aca="false">IF(T300="","",IF(U300="","Sem anexo: tributação integral",INDEX('Referência LC 214'!$H$6:$H$967,U300)))</f>
        <v/>
      </c>
      <c r="J300" s="29" t="str">
        <f aca="false">IF(T300="","",IF(U300="",0,INDEX('Referência LC 214'!$K$6:$K$967,U300)))</f>
        <v/>
      </c>
      <c r="K300" s="28" t="str">
        <f aca="false">IF(OR(T300="",U300=""),"","Anexo "&amp;INDEX('Referência LC 214'!$E$6:$E$967,U300)&amp;", item "&amp;INDEX('Referência LC 214'!$F$6:$F$967,U300)&amp;": "&amp;INDEX('Referência LC 214'!$G$6:$G$967,U300))</f>
        <v/>
      </c>
      <c r="L300" s="28" t="str">
        <f aca="false">IF(OR(T300="",U300=""),"",IF(INDEX('Referência LC 214'!$L$6:$L$967,U300)&amp;""&lt;&gt;"",INDEX('Referência LC 214'!$L$6:$L$967,U300)&amp;"",IF(SUMPRODUCT((LEFT(T300,LEN('Referência LC 214'!$N$6:$N$967))='Referência LC 214'!$N$6:$N$967)*('Referência LC 214'!$L$6:$L$967&lt;&gt;""))&gt;0,"Há outro tratamento só para alguns compradores (ex.: órgão público/SUS) — veja a referência","")))</f>
        <v/>
      </c>
      <c r="M300" s="30" t="str">
        <f aca="false">IF(T300="","",IF(AND(C300&lt;&gt;"Serviço",LEN(T300)-1&lt;&gt;8),"NCM deve ter 8 dígitos",IF(AND(C300="Serviço",LEN(T300)-1&lt;&gt;9),"NBS deve ter 9 dígitos",IF(L300&lt;&gt;"","Benefício depende do comprador: confira a coluna N",IF(G300&gt;1,"Mais de uma regra: confira o item do anexo na referência",IF(G300=0,"Sem redução na LC 214","Confira se o produto é o descrito no item"))))))</f>
        <v/>
      </c>
      <c r="N300" s="25"/>
      <c r="O300" s="23"/>
      <c r="P300" s="25"/>
      <c r="Q300" s="25"/>
      <c r="R300" s="31"/>
      <c r="S300" s="24"/>
      <c r="T300" s="4" t="str">
        <f aca="false">IF(D300="","",IF(C300="Serviço","S","P")&amp;SUBSTITUTE(SUBSTITUTE(SUBSTITUTE(D300,".",""),"-","")," ",""))</f>
        <v/>
      </c>
      <c r="U300" s="4" t="str">
        <f aca="false">IF(T300="","",IFERROR(MATCH(LEFT(T300,10),'Referência LC 214'!$N$6:$N$967,0),IFERROR(MATCH(LEFT(T300,9),'Referência LC 214'!$N$6:$N$967,0),IFERROR(MATCH(LEFT(T300,8),'Referência LC 214'!$N$6:$N$967,0),IFERROR(MATCH(LEFT(T300,7),'Referência LC 214'!$N$6:$N$967,0),IFERROR(MATCH(LEFT(T300,6),'Referência LC 214'!$N$6:$N$967,0),IFERROR(MATCH(LEFT(T300,5),'Referência LC 214'!$N$6:$N$967,0),IFERROR(MATCH(LEFT(T300,4),'Referência LC 214'!$N$6:$N$967,0),IFERROR(MATCH(LEFT(T300,3),'Referência LC 214'!$N$6:$N$967,0),"")))))))))</f>
        <v/>
      </c>
    </row>
    <row r="301" customFormat="false" ht="15" hidden="false" customHeight="false" outlineLevel="0" collapsed="false">
      <c r="A301" s="23"/>
      <c r="B301" s="24"/>
      <c r="C301" s="25"/>
      <c r="D301" s="23"/>
      <c r="E301" s="23"/>
      <c r="F301" s="25"/>
      <c r="G301" s="26" t="str">
        <f aca="false">IF(T301="","",SUMPRODUCT(--(LEFT(T301,LEN('Referência LC 214'!$N$6:$N$967))='Referência LC 214'!$N$6:$N$967)))</f>
        <v/>
      </c>
      <c r="H301" s="27" t="str">
        <f aca="false">IF(T301="","",IF(U301="","000001",INDEX('Referência LC 214'!$I$6:$I$967,U301)))</f>
        <v/>
      </c>
      <c r="I301" s="28" t="str">
        <f aca="false">IF(T301="","",IF(U301="","Sem anexo: tributação integral",INDEX('Referência LC 214'!$H$6:$H$967,U301)))</f>
        <v/>
      </c>
      <c r="J301" s="29" t="str">
        <f aca="false">IF(T301="","",IF(U301="",0,INDEX('Referência LC 214'!$K$6:$K$967,U301)))</f>
        <v/>
      </c>
      <c r="K301" s="28" t="str">
        <f aca="false">IF(OR(T301="",U301=""),"","Anexo "&amp;INDEX('Referência LC 214'!$E$6:$E$967,U301)&amp;", item "&amp;INDEX('Referência LC 214'!$F$6:$F$967,U301)&amp;": "&amp;INDEX('Referência LC 214'!$G$6:$G$967,U301))</f>
        <v/>
      </c>
      <c r="L301" s="28" t="str">
        <f aca="false">IF(OR(T301="",U301=""),"",IF(INDEX('Referência LC 214'!$L$6:$L$967,U301)&amp;""&lt;&gt;"",INDEX('Referência LC 214'!$L$6:$L$967,U301)&amp;"",IF(SUMPRODUCT((LEFT(T301,LEN('Referência LC 214'!$N$6:$N$967))='Referência LC 214'!$N$6:$N$967)*('Referência LC 214'!$L$6:$L$967&lt;&gt;""))&gt;0,"Há outro tratamento só para alguns compradores (ex.: órgão público/SUS) — veja a referência","")))</f>
        <v/>
      </c>
      <c r="M301" s="30" t="str">
        <f aca="false">IF(T301="","",IF(AND(C301&lt;&gt;"Serviço",LEN(T301)-1&lt;&gt;8),"NCM deve ter 8 dígitos",IF(AND(C301="Serviço",LEN(T301)-1&lt;&gt;9),"NBS deve ter 9 dígitos",IF(L301&lt;&gt;"","Benefício depende do comprador: confira a coluna N",IF(G301&gt;1,"Mais de uma regra: confira o item do anexo na referência",IF(G301=0,"Sem redução na LC 214","Confira se o produto é o descrito no item"))))))</f>
        <v/>
      </c>
      <c r="N301" s="25"/>
      <c r="O301" s="23"/>
      <c r="P301" s="25"/>
      <c r="Q301" s="25"/>
      <c r="R301" s="31"/>
      <c r="S301" s="24"/>
      <c r="T301" s="4" t="str">
        <f aca="false">IF(D301="","",IF(C301="Serviço","S","P")&amp;SUBSTITUTE(SUBSTITUTE(SUBSTITUTE(D301,".",""),"-","")," ",""))</f>
        <v/>
      </c>
      <c r="U301" s="4" t="str">
        <f aca="false">IF(T301="","",IFERROR(MATCH(LEFT(T301,10),'Referência LC 214'!$N$6:$N$967,0),IFERROR(MATCH(LEFT(T301,9),'Referência LC 214'!$N$6:$N$967,0),IFERROR(MATCH(LEFT(T301,8),'Referência LC 214'!$N$6:$N$967,0),IFERROR(MATCH(LEFT(T301,7),'Referência LC 214'!$N$6:$N$967,0),IFERROR(MATCH(LEFT(T301,6),'Referência LC 214'!$N$6:$N$967,0),IFERROR(MATCH(LEFT(T301,5),'Referência LC 214'!$N$6:$N$967,0),IFERROR(MATCH(LEFT(T301,4),'Referência LC 214'!$N$6:$N$967,0),IFERROR(MATCH(LEFT(T301,3),'Referência LC 214'!$N$6:$N$967,0),"")))))))))</f>
        <v/>
      </c>
    </row>
    <row r="302" customFormat="false" ht="15" hidden="false" customHeight="false" outlineLevel="0" collapsed="false">
      <c r="A302" s="23"/>
      <c r="B302" s="24"/>
      <c r="C302" s="25"/>
      <c r="D302" s="23"/>
      <c r="E302" s="23"/>
      <c r="F302" s="25"/>
      <c r="G302" s="26" t="str">
        <f aca="false">IF(T302="","",SUMPRODUCT(--(LEFT(T302,LEN('Referência LC 214'!$N$6:$N$967))='Referência LC 214'!$N$6:$N$967)))</f>
        <v/>
      </c>
      <c r="H302" s="27" t="str">
        <f aca="false">IF(T302="","",IF(U302="","000001",INDEX('Referência LC 214'!$I$6:$I$967,U302)))</f>
        <v/>
      </c>
      <c r="I302" s="28" t="str">
        <f aca="false">IF(T302="","",IF(U302="","Sem anexo: tributação integral",INDEX('Referência LC 214'!$H$6:$H$967,U302)))</f>
        <v/>
      </c>
      <c r="J302" s="29" t="str">
        <f aca="false">IF(T302="","",IF(U302="",0,INDEX('Referência LC 214'!$K$6:$K$967,U302)))</f>
        <v/>
      </c>
      <c r="K302" s="28" t="str">
        <f aca="false">IF(OR(T302="",U302=""),"","Anexo "&amp;INDEX('Referência LC 214'!$E$6:$E$967,U302)&amp;", item "&amp;INDEX('Referência LC 214'!$F$6:$F$967,U302)&amp;": "&amp;INDEX('Referência LC 214'!$G$6:$G$967,U302))</f>
        <v/>
      </c>
      <c r="L302" s="28" t="str">
        <f aca="false">IF(OR(T302="",U302=""),"",IF(INDEX('Referência LC 214'!$L$6:$L$967,U302)&amp;""&lt;&gt;"",INDEX('Referência LC 214'!$L$6:$L$967,U302)&amp;"",IF(SUMPRODUCT((LEFT(T302,LEN('Referência LC 214'!$N$6:$N$967))='Referência LC 214'!$N$6:$N$967)*('Referência LC 214'!$L$6:$L$967&lt;&gt;""))&gt;0,"Há outro tratamento só para alguns compradores (ex.: órgão público/SUS) — veja a referência","")))</f>
        <v/>
      </c>
      <c r="M302" s="30" t="str">
        <f aca="false">IF(T302="","",IF(AND(C302&lt;&gt;"Serviço",LEN(T302)-1&lt;&gt;8),"NCM deve ter 8 dígitos",IF(AND(C302="Serviço",LEN(T302)-1&lt;&gt;9),"NBS deve ter 9 dígitos",IF(L302&lt;&gt;"","Benefício depende do comprador: confira a coluna N",IF(G302&gt;1,"Mais de uma regra: confira o item do anexo na referência",IF(G302=0,"Sem redução na LC 214","Confira se o produto é o descrito no item"))))))</f>
        <v/>
      </c>
      <c r="N302" s="25"/>
      <c r="O302" s="23"/>
      <c r="P302" s="25"/>
      <c r="Q302" s="25"/>
      <c r="R302" s="31"/>
      <c r="S302" s="24"/>
      <c r="T302" s="4" t="str">
        <f aca="false">IF(D302="","",IF(C302="Serviço","S","P")&amp;SUBSTITUTE(SUBSTITUTE(SUBSTITUTE(D302,".",""),"-","")," ",""))</f>
        <v/>
      </c>
      <c r="U302" s="4" t="str">
        <f aca="false">IF(T302="","",IFERROR(MATCH(LEFT(T302,10),'Referência LC 214'!$N$6:$N$967,0),IFERROR(MATCH(LEFT(T302,9),'Referência LC 214'!$N$6:$N$967,0),IFERROR(MATCH(LEFT(T302,8),'Referência LC 214'!$N$6:$N$967,0),IFERROR(MATCH(LEFT(T302,7),'Referência LC 214'!$N$6:$N$967,0),IFERROR(MATCH(LEFT(T302,6),'Referência LC 214'!$N$6:$N$967,0),IFERROR(MATCH(LEFT(T302,5),'Referência LC 214'!$N$6:$N$967,0),IFERROR(MATCH(LEFT(T302,4),'Referência LC 214'!$N$6:$N$967,0),IFERROR(MATCH(LEFT(T302,3),'Referência LC 214'!$N$6:$N$967,0),"")))))))))</f>
        <v/>
      </c>
    </row>
    <row r="303" customFormat="false" ht="15" hidden="false" customHeight="false" outlineLevel="0" collapsed="false">
      <c r="A303" s="23"/>
      <c r="B303" s="24"/>
      <c r="C303" s="25"/>
      <c r="D303" s="23"/>
      <c r="E303" s="23"/>
      <c r="F303" s="25"/>
      <c r="G303" s="26" t="str">
        <f aca="false">IF(T303="","",SUMPRODUCT(--(LEFT(T303,LEN('Referência LC 214'!$N$6:$N$967))='Referência LC 214'!$N$6:$N$967)))</f>
        <v/>
      </c>
      <c r="H303" s="27" t="str">
        <f aca="false">IF(T303="","",IF(U303="","000001",INDEX('Referência LC 214'!$I$6:$I$967,U303)))</f>
        <v/>
      </c>
      <c r="I303" s="28" t="str">
        <f aca="false">IF(T303="","",IF(U303="","Sem anexo: tributação integral",INDEX('Referência LC 214'!$H$6:$H$967,U303)))</f>
        <v/>
      </c>
      <c r="J303" s="29" t="str">
        <f aca="false">IF(T303="","",IF(U303="",0,INDEX('Referência LC 214'!$K$6:$K$967,U303)))</f>
        <v/>
      </c>
      <c r="K303" s="28" t="str">
        <f aca="false">IF(OR(T303="",U303=""),"","Anexo "&amp;INDEX('Referência LC 214'!$E$6:$E$967,U303)&amp;", item "&amp;INDEX('Referência LC 214'!$F$6:$F$967,U303)&amp;": "&amp;INDEX('Referência LC 214'!$G$6:$G$967,U303))</f>
        <v/>
      </c>
      <c r="L303" s="28" t="str">
        <f aca="false">IF(OR(T303="",U303=""),"",IF(INDEX('Referência LC 214'!$L$6:$L$967,U303)&amp;""&lt;&gt;"",INDEX('Referência LC 214'!$L$6:$L$967,U303)&amp;"",IF(SUMPRODUCT((LEFT(T303,LEN('Referência LC 214'!$N$6:$N$967))='Referência LC 214'!$N$6:$N$967)*('Referência LC 214'!$L$6:$L$967&lt;&gt;""))&gt;0,"Há outro tratamento só para alguns compradores (ex.: órgão público/SUS) — veja a referência","")))</f>
        <v/>
      </c>
      <c r="M303" s="30" t="str">
        <f aca="false">IF(T303="","",IF(AND(C303&lt;&gt;"Serviço",LEN(T303)-1&lt;&gt;8),"NCM deve ter 8 dígitos",IF(AND(C303="Serviço",LEN(T303)-1&lt;&gt;9),"NBS deve ter 9 dígitos",IF(L303&lt;&gt;"","Benefício depende do comprador: confira a coluna N",IF(G303&gt;1,"Mais de uma regra: confira o item do anexo na referência",IF(G303=0,"Sem redução na LC 214","Confira se o produto é o descrito no item"))))))</f>
        <v/>
      </c>
      <c r="N303" s="25"/>
      <c r="O303" s="23"/>
      <c r="P303" s="25"/>
      <c r="Q303" s="25"/>
      <c r="R303" s="31"/>
      <c r="S303" s="24"/>
      <c r="T303" s="4" t="str">
        <f aca="false">IF(D303="","",IF(C303="Serviço","S","P")&amp;SUBSTITUTE(SUBSTITUTE(SUBSTITUTE(D303,".",""),"-","")," ",""))</f>
        <v/>
      </c>
      <c r="U303" s="4" t="str">
        <f aca="false">IF(T303="","",IFERROR(MATCH(LEFT(T303,10),'Referência LC 214'!$N$6:$N$967,0),IFERROR(MATCH(LEFT(T303,9),'Referência LC 214'!$N$6:$N$967,0),IFERROR(MATCH(LEFT(T303,8),'Referência LC 214'!$N$6:$N$967,0),IFERROR(MATCH(LEFT(T303,7),'Referência LC 214'!$N$6:$N$967,0),IFERROR(MATCH(LEFT(T303,6),'Referência LC 214'!$N$6:$N$967,0),IFERROR(MATCH(LEFT(T303,5),'Referência LC 214'!$N$6:$N$967,0),IFERROR(MATCH(LEFT(T303,4),'Referência LC 214'!$N$6:$N$967,0),IFERROR(MATCH(LEFT(T303,3),'Referência LC 214'!$N$6:$N$967,0),"")))))))))</f>
        <v/>
      </c>
    </row>
    <row r="304" customFormat="false" ht="15" hidden="false" customHeight="false" outlineLevel="0" collapsed="false">
      <c r="A304" s="23"/>
      <c r="B304" s="24"/>
      <c r="C304" s="25"/>
      <c r="D304" s="23"/>
      <c r="E304" s="23"/>
      <c r="F304" s="25"/>
      <c r="G304" s="26" t="str">
        <f aca="false">IF(T304="","",SUMPRODUCT(--(LEFT(T304,LEN('Referência LC 214'!$N$6:$N$967))='Referência LC 214'!$N$6:$N$967)))</f>
        <v/>
      </c>
      <c r="H304" s="27" t="str">
        <f aca="false">IF(T304="","",IF(U304="","000001",INDEX('Referência LC 214'!$I$6:$I$967,U304)))</f>
        <v/>
      </c>
      <c r="I304" s="28" t="str">
        <f aca="false">IF(T304="","",IF(U304="","Sem anexo: tributação integral",INDEX('Referência LC 214'!$H$6:$H$967,U304)))</f>
        <v/>
      </c>
      <c r="J304" s="29" t="str">
        <f aca="false">IF(T304="","",IF(U304="",0,INDEX('Referência LC 214'!$K$6:$K$967,U304)))</f>
        <v/>
      </c>
      <c r="K304" s="28" t="str">
        <f aca="false">IF(OR(T304="",U304=""),"","Anexo "&amp;INDEX('Referência LC 214'!$E$6:$E$967,U304)&amp;", item "&amp;INDEX('Referência LC 214'!$F$6:$F$967,U304)&amp;": "&amp;INDEX('Referência LC 214'!$G$6:$G$967,U304))</f>
        <v/>
      </c>
      <c r="L304" s="28" t="str">
        <f aca="false">IF(OR(T304="",U304=""),"",IF(INDEX('Referência LC 214'!$L$6:$L$967,U304)&amp;""&lt;&gt;"",INDEX('Referência LC 214'!$L$6:$L$967,U304)&amp;"",IF(SUMPRODUCT((LEFT(T304,LEN('Referência LC 214'!$N$6:$N$967))='Referência LC 214'!$N$6:$N$967)*('Referência LC 214'!$L$6:$L$967&lt;&gt;""))&gt;0,"Há outro tratamento só para alguns compradores (ex.: órgão público/SUS) — veja a referência","")))</f>
        <v/>
      </c>
      <c r="M304" s="30" t="str">
        <f aca="false">IF(T304="","",IF(AND(C304&lt;&gt;"Serviço",LEN(T304)-1&lt;&gt;8),"NCM deve ter 8 dígitos",IF(AND(C304="Serviço",LEN(T304)-1&lt;&gt;9),"NBS deve ter 9 dígitos",IF(L304&lt;&gt;"","Benefício depende do comprador: confira a coluna N",IF(G304&gt;1,"Mais de uma regra: confira o item do anexo na referência",IF(G304=0,"Sem redução na LC 214","Confira se o produto é o descrito no item"))))))</f>
        <v/>
      </c>
      <c r="N304" s="25"/>
      <c r="O304" s="23"/>
      <c r="P304" s="25"/>
      <c r="Q304" s="25"/>
      <c r="R304" s="31"/>
      <c r="S304" s="24"/>
      <c r="T304" s="4" t="str">
        <f aca="false">IF(D304="","",IF(C304="Serviço","S","P")&amp;SUBSTITUTE(SUBSTITUTE(SUBSTITUTE(D304,".",""),"-","")," ",""))</f>
        <v/>
      </c>
      <c r="U304" s="4" t="str">
        <f aca="false">IF(T304="","",IFERROR(MATCH(LEFT(T304,10),'Referência LC 214'!$N$6:$N$967,0),IFERROR(MATCH(LEFT(T304,9),'Referência LC 214'!$N$6:$N$967,0),IFERROR(MATCH(LEFT(T304,8),'Referência LC 214'!$N$6:$N$967,0),IFERROR(MATCH(LEFT(T304,7),'Referência LC 214'!$N$6:$N$967,0),IFERROR(MATCH(LEFT(T304,6),'Referência LC 214'!$N$6:$N$967,0),IFERROR(MATCH(LEFT(T304,5),'Referência LC 214'!$N$6:$N$967,0),IFERROR(MATCH(LEFT(T304,4),'Referência LC 214'!$N$6:$N$967,0),IFERROR(MATCH(LEFT(T304,3),'Referência LC 214'!$N$6:$N$967,0),"")))))))))</f>
        <v/>
      </c>
    </row>
    <row r="305" customFormat="false" ht="15" hidden="false" customHeight="false" outlineLevel="0" collapsed="false">
      <c r="A305" s="23"/>
      <c r="B305" s="24"/>
      <c r="C305" s="25"/>
      <c r="D305" s="23"/>
      <c r="E305" s="23"/>
      <c r="F305" s="25"/>
      <c r="G305" s="26" t="str">
        <f aca="false">IF(T305="","",SUMPRODUCT(--(LEFT(T305,LEN('Referência LC 214'!$N$6:$N$967))='Referência LC 214'!$N$6:$N$967)))</f>
        <v/>
      </c>
      <c r="H305" s="27" t="str">
        <f aca="false">IF(T305="","",IF(U305="","000001",INDEX('Referência LC 214'!$I$6:$I$967,U305)))</f>
        <v/>
      </c>
      <c r="I305" s="28" t="str">
        <f aca="false">IF(T305="","",IF(U305="","Sem anexo: tributação integral",INDEX('Referência LC 214'!$H$6:$H$967,U305)))</f>
        <v/>
      </c>
      <c r="J305" s="29" t="str">
        <f aca="false">IF(T305="","",IF(U305="",0,INDEX('Referência LC 214'!$K$6:$K$967,U305)))</f>
        <v/>
      </c>
      <c r="K305" s="28" t="str">
        <f aca="false">IF(OR(T305="",U305=""),"","Anexo "&amp;INDEX('Referência LC 214'!$E$6:$E$967,U305)&amp;", item "&amp;INDEX('Referência LC 214'!$F$6:$F$967,U305)&amp;": "&amp;INDEX('Referência LC 214'!$G$6:$G$967,U305))</f>
        <v/>
      </c>
      <c r="L305" s="28" t="str">
        <f aca="false">IF(OR(T305="",U305=""),"",IF(INDEX('Referência LC 214'!$L$6:$L$967,U305)&amp;""&lt;&gt;"",INDEX('Referência LC 214'!$L$6:$L$967,U305)&amp;"",IF(SUMPRODUCT((LEFT(T305,LEN('Referência LC 214'!$N$6:$N$967))='Referência LC 214'!$N$6:$N$967)*('Referência LC 214'!$L$6:$L$967&lt;&gt;""))&gt;0,"Há outro tratamento só para alguns compradores (ex.: órgão público/SUS) — veja a referência","")))</f>
        <v/>
      </c>
      <c r="M305" s="30" t="str">
        <f aca="false">IF(T305="","",IF(AND(C305&lt;&gt;"Serviço",LEN(T305)-1&lt;&gt;8),"NCM deve ter 8 dígitos",IF(AND(C305="Serviço",LEN(T305)-1&lt;&gt;9),"NBS deve ter 9 dígitos",IF(L305&lt;&gt;"","Benefício depende do comprador: confira a coluna N",IF(G305&gt;1,"Mais de uma regra: confira o item do anexo na referência",IF(G305=0,"Sem redução na LC 214","Confira se o produto é o descrito no item"))))))</f>
        <v/>
      </c>
      <c r="N305" s="25"/>
      <c r="O305" s="23"/>
      <c r="P305" s="25"/>
      <c r="Q305" s="25"/>
      <c r="R305" s="31"/>
      <c r="S305" s="24"/>
      <c r="T305" s="4" t="str">
        <f aca="false">IF(D305="","",IF(C305="Serviço","S","P")&amp;SUBSTITUTE(SUBSTITUTE(SUBSTITUTE(D305,".",""),"-","")," ",""))</f>
        <v/>
      </c>
      <c r="U305" s="4" t="str">
        <f aca="false">IF(T305="","",IFERROR(MATCH(LEFT(T305,10),'Referência LC 214'!$N$6:$N$967,0),IFERROR(MATCH(LEFT(T305,9),'Referência LC 214'!$N$6:$N$967,0),IFERROR(MATCH(LEFT(T305,8),'Referência LC 214'!$N$6:$N$967,0),IFERROR(MATCH(LEFT(T305,7),'Referência LC 214'!$N$6:$N$967,0),IFERROR(MATCH(LEFT(T305,6),'Referência LC 214'!$N$6:$N$967,0),IFERROR(MATCH(LEFT(T305,5),'Referência LC 214'!$N$6:$N$967,0),IFERROR(MATCH(LEFT(T305,4),'Referência LC 214'!$N$6:$N$967,0),IFERROR(MATCH(LEFT(T305,3),'Referência LC 214'!$N$6:$N$967,0),"")))))))))</f>
        <v/>
      </c>
    </row>
    <row r="306" customFormat="false" ht="15" hidden="false" customHeight="false" outlineLevel="0" collapsed="false">
      <c r="A306" s="23"/>
      <c r="B306" s="24"/>
      <c r="C306" s="25"/>
      <c r="D306" s="23"/>
      <c r="E306" s="23"/>
      <c r="F306" s="25"/>
      <c r="G306" s="26" t="str">
        <f aca="false">IF(T306="","",SUMPRODUCT(--(LEFT(T306,LEN('Referência LC 214'!$N$6:$N$967))='Referência LC 214'!$N$6:$N$967)))</f>
        <v/>
      </c>
      <c r="H306" s="27" t="str">
        <f aca="false">IF(T306="","",IF(U306="","000001",INDEX('Referência LC 214'!$I$6:$I$967,U306)))</f>
        <v/>
      </c>
      <c r="I306" s="28" t="str">
        <f aca="false">IF(T306="","",IF(U306="","Sem anexo: tributação integral",INDEX('Referência LC 214'!$H$6:$H$967,U306)))</f>
        <v/>
      </c>
      <c r="J306" s="29" t="str">
        <f aca="false">IF(T306="","",IF(U306="",0,INDEX('Referência LC 214'!$K$6:$K$967,U306)))</f>
        <v/>
      </c>
      <c r="K306" s="28" t="str">
        <f aca="false">IF(OR(T306="",U306=""),"","Anexo "&amp;INDEX('Referência LC 214'!$E$6:$E$967,U306)&amp;", item "&amp;INDEX('Referência LC 214'!$F$6:$F$967,U306)&amp;": "&amp;INDEX('Referência LC 214'!$G$6:$G$967,U306))</f>
        <v/>
      </c>
      <c r="L306" s="28" t="str">
        <f aca="false">IF(OR(T306="",U306=""),"",IF(INDEX('Referência LC 214'!$L$6:$L$967,U306)&amp;""&lt;&gt;"",INDEX('Referência LC 214'!$L$6:$L$967,U306)&amp;"",IF(SUMPRODUCT((LEFT(T306,LEN('Referência LC 214'!$N$6:$N$967))='Referência LC 214'!$N$6:$N$967)*('Referência LC 214'!$L$6:$L$967&lt;&gt;""))&gt;0,"Há outro tratamento só para alguns compradores (ex.: órgão público/SUS) — veja a referência","")))</f>
        <v/>
      </c>
      <c r="M306" s="30" t="str">
        <f aca="false">IF(T306="","",IF(AND(C306&lt;&gt;"Serviço",LEN(T306)-1&lt;&gt;8),"NCM deve ter 8 dígitos",IF(AND(C306="Serviço",LEN(T306)-1&lt;&gt;9),"NBS deve ter 9 dígitos",IF(L306&lt;&gt;"","Benefício depende do comprador: confira a coluna N",IF(G306&gt;1,"Mais de uma regra: confira o item do anexo na referência",IF(G306=0,"Sem redução na LC 214","Confira se o produto é o descrito no item"))))))</f>
        <v/>
      </c>
      <c r="N306" s="25"/>
      <c r="O306" s="23"/>
      <c r="P306" s="25"/>
      <c r="Q306" s="25"/>
      <c r="R306" s="31"/>
      <c r="S306" s="24"/>
      <c r="T306" s="4" t="str">
        <f aca="false">IF(D306="","",IF(C306="Serviço","S","P")&amp;SUBSTITUTE(SUBSTITUTE(SUBSTITUTE(D306,".",""),"-","")," ",""))</f>
        <v/>
      </c>
      <c r="U306" s="4" t="str">
        <f aca="false">IF(T306="","",IFERROR(MATCH(LEFT(T306,10),'Referência LC 214'!$N$6:$N$967,0),IFERROR(MATCH(LEFT(T306,9),'Referência LC 214'!$N$6:$N$967,0),IFERROR(MATCH(LEFT(T306,8),'Referência LC 214'!$N$6:$N$967,0),IFERROR(MATCH(LEFT(T306,7),'Referência LC 214'!$N$6:$N$967,0),IFERROR(MATCH(LEFT(T306,6),'Referência LC 214'!$N$6:$N$967,0),IFERROR(MATCH(LEFT(T306,5),'Referência LC 214'!$N$6:$N$967,0),IFERROR(MATCH(LEFT(T306,4),'Referência LC 214'!$N$6:$N$967,0),IFERROR(MATCH(LEFT(T306,3),'Referência LC 214'!$N$6:$N$967,0),"")))))))))</f>
        <v/>
      </c>
    </row>
  </sheetData>
  <autoFilter ref="A6:S306"/>
  <mergeCells count="2">
    <mergeCell ref="A2:S2"/>
    <mergeCell ref="A3:S3"/>
  </mergeCells>
  <dataValidations count="4">
    <dataValidation allowBlank="true" errorStyle="stop" operator="between" showDropDown="false" showErrorMessage="false" showInputMessage="false" sqref="C7:C306" type="list">
      <formula1>"Produto,Serviço"</formula1>
      <formula2>0</formula2>
    </dataValidation>
    <dataValidation allowBlank="true" errorStyle="stop" operator="between" showDropDown="false" showErrorMessage="false" showInputMessage="false" sqref="N7:N306" type="list">
      <formula1>"Sim,Não"</formula1>
      <formula2>0</formula2>
    </dataValidation>
    <dataValidation allowBlank="true" errorStyle="stop" operator="between" showDropDown="false" showErrorMessage="false" showInputMessage="false" sqref="P7:P306" type="list">
      <formula1>"Pendente,Revisar,Aprovado"</formula1>
      <formula2>0</formula2>
    </dataValidation>
    <dataValidation allowBlank="true" errorStyle="stop" operator="between" showDropDown="false" showErrorMessage="false" showInputMessage="false" sqref="O7:O306" type="list">
      <formula1>"000001,200003,200004,200005,200007,200008,200011,200014,200028,200029,200030,200031,200033,200034,200035,200038,200039,200043,200044"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2026-10-27T01:46:28Z</dcterms:created>
  <dc:creator>Nota Certa</dc:creator>
  <dc:description/>
  <dc:language>en-US</dc:language>
  <cp:lastModifiedBy/>
  <dcterms:modified xsi:type="dcterms:W3CDTF">2026-10-27T01:46:29Z</dcterms:modified>
  <cp:revision>0</cp:revision>
  <dc:subject/>
  <dc:title>Nota Certa — Base de trabalho</dc:title>
</cp:coreProperties>
</file>

<file path=docProps/custom.xml><?xml version="1.0" encoding="utf-8"?>
<Properties xmlns="http://schemas.openxmlformats.org/officeDocument/2006/custom-properties" xmlns:vt="http://schemas.openxmlformats.org/officeDocument/2006/docPropsVTypes"/>
</file>